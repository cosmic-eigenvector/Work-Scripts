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tglbuc.sharepoint.com/sites/PersonalFernando/Shared Documents/Macros Analytics/Lift ROI Reporting Tool/"/>
    </mc:Choice>
  </mc:AlternateContent>
  <xr:revisionPtr revIDLastSave="12" documentId="8_{7B80B50D-F3BB-4F55-8ACE-A4C11468741A}" xr6:coauthVersionLast="47" xr6:coauthVersionMax="47" xr10:uidLastSave="{850419A7-0DFB-4679-9DFC-B952FBE41071}"/>
  <bookViews>
    <workbookView xWindow="-120" yWindow="-120" windowWidth="29040" windowHeight="15720" activeTab="2" xr2:uid="{00000000-000D-0000-FFFF-FFFF00000000}"/>
  </bookViews>
  <sheets>
    <sheet name="AVP" sheetId="5" r:id="rId1"/>
    <sheet name="Model Result" sheetId="6" r:id="rId2"/>
    <sheet name="Decomposition" sheetId="4" r:id="rId3"/>
    <sheet name="Comparison" sheetId="8" r:id="rId4"/>
    <sheet name="Graficos" sheetId="17" r:id="rId5"/>
    <sheet name="Raw Data" sheetId="1" r:id="rId6"/>
    <sheet name="SPLIT ADSTOCK" sheetId="20" r:id="rId7"/>
    <sheet name="Dinamica" sheetId="19" r:id="rId8"/>
    <sheet name="Full Data" sheetId="12" r:id="rId9"/>
    <sheet name="Descriptivos" sheetId="15" r:id="rId10"/>
    <sheet name="Corr" sheetId="16" r:id="rId11"/>
    <sheet name="Rolling Twinings Global" sheetId="21" r:id="rId12"/>
    <sheet name="Comparacion Base modelos" sheetId="18" r:id="rId13"/>
    <sheet name="Contribution" sheetId="11" state="hidden" r:id="rId14"/>
  </sheets>
  <definedNames>
    <definedName name="_xlnm._FilterDatabase" localSheetId="4" hidden="1">Graficos!$A$1:$J$1</definedName>
    <definedName name="_xlnm._FilterDatabase" localSheetId="1" hidden="1">'Model Result'!$A$2:$AJ$22</definedName>
    <definedName name="_xlnm._FilterDatabase" localSheetId="5" hidden="1">'Raw Data'!$A$1:$S$38</definedName>
  </definedNames>
  <calcPr calcId="191028"/>
  <pivotCaches>
    <pivotCache cacheId="0" r:id="rId15"/>
    <pivotCache cacheId="1" r:id="rId16"/>
    <pivotCache cacheId="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5" l="1"/>
  <c r="P2" i="5"/>
  <c r="AB9" i="6" a="1"/>
  <c r="AB9" i="6" s="1"/>
  <c r="O61" i="4"/>
  <c r="N60" i="4"/>
  <c r="M56" i="4" l="1"/>
  <c r="N57" i="4"/>
  <c r="BK55" i="4"/>
  <c r="BK27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H50" i="4"/>
  <c r="G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G49" i="4"/>
  <c r="Q48" i="1"/>
  <c r="Q42" i="1"/>
  <c r="L25" i="20"/>
  <c r="S26" i="20"/>
  <c r="AD52" i="1"/>
  <c r="G43" i="1"/>
  <c r="G42" i="1"/>
  <c r="G41" i="1"/>
  <c r="AE53" i="1"/>
  <c r="AD53" i="1"/>
  <c r="X53" i="1"/>
  <c r="W53" i="1"/>
  <c r="R53" i="1"/>
  <c r="S53" i="1"/>
  <c r="T53" i="1"/>
  <c r="U53" i="1"/>
  <c r="V53" i="1"/>
  <c r="Z53" i="1"/>
  <c r="AA53" i="1"/>
  <c r="AB53" i="1"/>
  <c r="AC53" i="1"/>
  <c r="Q53" i="1"/>
  <c r="R52" i="1"/>
  <c r="S52" i="1"/>
  <c r="T52" i="1"/>
  <c r="U52" i="1"/>
  <c r="V52" i="1"/>
  <c r="W52" i="1"/>
  <c r="X52" i="1"/>
  <c r="Z52" i="1"/>
  <c r="AA52" i="1"/>
  <c r="AB52" i="1"/>
  <c r="AC52" i="1"/>
  <c r="AE52" i="1"/>
  <c r="AF52" i="1"/>
  <c r="AG52" i="1"/>
  <c r="Q52" i="1"/>
  <c r="R47" i="1"/>
  <c r="L5" i="20"/>
  <c r="L4" i="20"/>
  <c r="BJ59" i="20"/>
  <c r="BI59" i="20"/>
  <c r="BH59" i="20"/>
  <c r="BG59" i="20"/>
  <c r="BJ66" i="20"/>
  <c r="BH66" i="20"/>
  <c r="BJ65" i="20"/>
  <c r="BH65" i="20"/>
  <c r="BJ64" i="20"/>
  <c r="BH64" i="20"/>
  <c r="BJ63" i="20"/>
  <c r="BH63" i="20"/>
  <c r="BJ62" i="20"/>
  <c r="BH62" i="20"/>
  <c r="BJ61" i="20"/>
  <c r="BH61" i="20"/>
  <c r="BJ60" i="20"/>
  <c r="BH60" i="20"/>
  <c r="BI66" i="20"/>
  <c r="BG66" i="20"/>
  <c r="BI65" i="20"/>
  <c r="BG65" i="20"/>
  <c r="BI64" i="20"/>
  <c r="BG64" i="20"/>
  <c r="BI63" i="20"/>
  <c r="BG63" i="20"/>
  <c r="BI62" i="20"/>
  <c r="BG62" i="20"/>
  <c r="BI61" i="20"/>
  <c r="BG61" i="20"/>
  <c r="BI60" i="20"/>
  <c r="BG60" i="20"/>
  <c r="AU49" i="20"/>
  <c r="AV49" i="20"/>
  <c r="AW49" i="20"/>
  <c r="AX49" i="20"/>
  <c r="AY49" i="20"/>
  <c r="AZ49" i="20"/>
  <c r="BA49" i="20"/>
  <c r="BB49" i="20"/>
  <c r="BC49" i="20"/>
  <c r="BD49" i="20"/>
  <c r="BE49" i="20"/>
  <c r="BF49" i="20"/>
  <c r="BG49" i="20"/>
  <c r="BH49" i="20"/>
  <c r="AV48" i="20"/>
  <c r="AW48" i="20"/>
  <c r="AX48" i="20"/>
  <c r="AY48" i="20"/>
  <c r="AZ48" i="20"/>
  <c r="BA48" i="20"/>
  <c r="BB48" i="20"/>
  <c r="BC48" i="20"/>
  <c r="BD48" i="20"/>
  <c r="BE48" i="20"/>
  <c r="BF48" i="20"/>
  <c r="BG48" i="20"/>
  <c r="BH48" i="20"/>
  <c r="AU48" i="20"/>
  <c r="BB59" i="20"/>
  <c r="BC59" i="20"/>
  <c r="BD59" i="20"/>
  <c r="BA59" i="20"/>
  <c r="BF3" i="20"/>
  <c r="BG3" i="20"/>
  <c r="BH3" i="20"/>
  <c r="AZ3" i="20"/>
  <c r="BA3" i="20"/>
  <c r="Q4" i="20"/>
  <c r="X4" i="20" s="1"/>
  <c r="AL4" i="20" s="1"/>
  <c r="BG4" i="20" s="1"/>
  <c r="R4" i="20"/>
  <c r="Y4" i="20" s="1"/>
  <c r="AM4" i="20" s="1"/>
  <c r="BH4" i="20" s="1"/>
  <c r="BK54" i="4" l="1"/>
  <c r="BK56" i="4" s="1"/>
  <c r="M55" i="4"/>
  <c r="M57" i="4"/>
  <c r="AF4" i="20"/>
  <c r="BA4" i="20" s="1"/>
  <c r="AE4" i="20"/>
  <c r="AZ4" i="20" s="1"/>
  <c r="Q5" i="20"/>
  <c r="R5" i="20"/>
  <c r="R6" i="20" l="1"/>
  <c r="Y6" i="20" s="1"/>
  <c r="AM6" i="20" s="1"/>
  <c r="BH6" i="20" s="1"/>
  <c r="AF5" i="20"/>
  <c r="BA5" i="20" s="1"/>
  <c r="Q6" i="20"/>
  <c r="X6" i="20" s="1"/>
  <c r="AL6" i="20" s="1"/>
  <c r="BG6" i="20" s="1"/>
  <c r="AE5" i="20"/>
  <c r="AZ5" i="20" s="1"/>
  <c r="X5" i="20"/>
  <c r="AL5" i="20" s="1"/>
  <c r="BG5" i="20" s="1"/>
  <c r="Y5" i="20"/>
  <c r="AM5" i="20" s="1"/>
  <c r="BH5" i="20" s="1"/>
  <c r="Q7" i="20" l="1"/>
  <c r="AE6" i="20"/>
  <c r="AZ6" i="20" s="1"/>
  <c r="R7" i="20"/>
  <c r="AF6" i="20"/>
  <c r="BA6" i="20" s="1"/>
  <c r="Q8" i="20" l="1"/>
  <c r="AE7" i="20"/>
  <c r="AZ7" i="20" s="1"/>
  <c r="X7" i="20"/>
  <c r="AL7" i="20" s="1"/>
  <c r="BG7" i="20" s="1"/>
  <c r="R8" i="20"/>
  <c r="AF7" i="20"/>
  <c r="BA7" i="20" s="1"/>
  <c r="Y7" i="20"/>
  <c r="AM7" i="20" s="1"/>
  <c r="BH7" i="20" s="1"/>
  <c r="Q9" i="20" l="1"/>
  <c r="AE8" i="20"/>
  <c r="AZ8" i="20" s="1"/>
  <c r="X8" i="20"/>
  <c r="AL8" i="20" s="1"/>
  <c r="BG8" i="20" s="1"/>
  <c r="R9" i="20"/>
  <c r="AF8" i="20"/>
  <c r="BA8" i="20" s="1"/>
  <c r="Y8" i="20"/>
  <c r="AM8" i="20" s="1"/>
  <c r="BH8" i="20" s="1"/>
  <c r="Q10" i="20" l="1"/>
  <c r="AE9" i="20"/>
  <c r="AZ9" i="20" s="1"/>
  <c r="X9" i="20"/>
  <c r="AL9" i="20" s="1"/>
  <c r="BG9" i="20" s="1"/>
  <c r="R10" i="20"/>
  <c r="AF9" i="20"/>
  <c r="BA9" i="20" s="1"/>
  <c r="Y9" i="20"/>
  <c r="AM9" i="20" s="1"/>
  <c r="BH9" i="20" s="1"/>
  <c r="Q11" i="20" l="1"/>
  <c r="AE10" i="20"/>
  <c r="AZ10" i="20" s="1"/>
  <c r="X10" i="20"/>
  <c r="AL10" i="20" s="1"/>
  <c r="BG10" i="20" s="1"/>
  <c r="R11" i="20"/>
  <c r="AF10" i="20"/>
  <c r="BA10" i="20" s="1"/>
  <c r="Y10" i="20"/>
  <c r="AM10" i="20" s="1"/>
  <c r="BH10" i="20" s="1"/>
  <c r="Q12" i="20" l="1"/>
  <c r="AE11" i="20"/>
  <c r="AZ11" i="20" s="1"/>
  <c r="X11" i="20"/>
  <c r="AL11" i="20" s="1"/>
  <c r="BG11" i="20" s="1"/>
  <c r="R12" i="20"/>
  <c r="AF11" i="20"/>
  <c r="BA11" i="20" s="1"/>
  <c r="Y11" i="20"/>
  <c r="AM11" i="20" s="1"/>
  <c r="BH11" i="20" s="1"/>
  <c r="R13" i="20" l="1"/>
  <c r="AF12" i="20"/>
  <c r="BA12" i="20" s="1"/>
  <c r="Y12" i="20"/>
  <c r="AM12" i="20" s="1"/>
  <c r="BH12" i="20" s="1"/>
  <c r="Q13" i="20"/>
  <c r="AE12" i="20"/>
  <c r="AZ12" i="20" s="1"/>
  <c r="X12" i="20"/>
  <c r="AL12" i="20" s="1"/>
  <c r="BG12" i="20" s="1"/>
  <c r="Q14" i="20" l="1"/>
  <c r="AE13" i="20"/>
  <c r="AZ13" i="20" s="1"/>
  <c r="X13" i="20"/>
  <c r="AL13" i="20" s="1"/>
  <c r="BG13" i="20" s="1"/>
  <c r="R14" i="20"/>
  <c r="AF13" i="20"/>
  <c r="BA13" i="20" s="1"/>
  <c r="Y13" i="20"/>
  <c r="AM13" i="20" s="1"/>
  <c r="BH13" i="20" s="1"/>
  <c r="R15" i="20" l="1"/>
  <c r="AF14" i="20"/>
  <c r="BA14" i="20" s="1"/>
  <c r="Y14" i="20"/>
  <c r="AM14" i="20" s="1"/>
  <c r="BH14" i="20" s="1"/>
  <c r="Q15" i="20"/>
  <c r="AE14" i="20"/>
  <c r="AZ14" i="20" s="1"/>
  <c r="X14" i="20"/>
  <c r="AL14" i="20" s="1"/>
  <c r="BG14" i="20" s="1"/>
  <c r="R16" i="20" l="1"/>
  <c r="AF15" i="20"/>
  <c r="BA15" i="20" s="1"/>
  <c r="Y15" i="20"/>
  <c r="AM15" i="20" s="1"/>
  <c r="BH15" i="20" s="1"/>
  <c r="Q16" i="20"/>
  <c r="AE15" i="20"/>
  <c r="AZ15" i="20" s="1"/>
  <c r="X15" i="20"/>
  <c r="AL15" i="20" s="1"/>
  <c r="BG15" i="20" s="1"/>
  <c r="R17" i="20" l="1"/>
  <c r="AF16" i="20"/>
  <c r="BA16" i="20" s="1"/>
  <c r="Y16" i="20"/>
  <c r="AM16" i="20" s="1"/>
  <c r="BH16" i="20" s="1"/>
  <c r="Q17" i="20"/>
  <c r="AE16" i="20"/>
  <c r="AZ16" i="20" s="1"/>
  <c r="X16" i="20"/>
  <c r="AL16" i="20" s="1"/>
  <c r="BG16" i="20" s="1"/>
  <c r="Q18" i="20" l="1"/>
  <c r="AE17" i="20"/>
  <c r="AZ17" i="20" s="1"/>
  <c r="X17" i="20"/>
  <c r="AL17" i="20" s="1"/>
  <c r="BG17" i="20" s="1"/>
  <c r="R18" i="20"/>
  <c r="AF17" i="20"/>
  <c r="BA17" i="20" s="1"/>
  <c r="Y17" i="20"/>
  <c r="AM17" i="20" s="1"/>
  <c r="BH17" i="20" s="1"/>
  <c r="R19" i="20" l="1"/>
  <c r="AF18" i="20"/>
  <c r="BA18" i="20" s="1"/>
  <c r="Y18" i="20"/>
  <c r="AM18" i="20" s="1"/>
  <c r="BH18" i="20" s="1"/>
  <c r="Q19" i="20"/>
  <c r="AE18" i="20"/>
  <c r="AZ18" i="20" s="1"/>
  <c r="X18" i="20"/>
  <c r="AL18" i="20" s="1"/>
  <c r="BG18" i="20" s="1"/>
  <c r="R20" i="20" l="1"/>
  <c r="AF19" i="20"/>
  <c r="BA19" i="20" s="1"/>
  <c r="Y19" i="20"/>
  <c r="AM19" i="20" s="1"/>
  <c r="BH19" i="20" s="1"/>
  <c r="Q20" i="20"/>
  <c r="AE19" i="20"/>
  <c r="AZ19" i="20" s="1"/>
  <c r="X19" i="20"/>
  <c r="AL19" i="20" s="1"/>
  <c r="BG19" i="20" s="1"/>
  <c r="R21" i="20" l="1"/>
  <c r="AF20" i="20"/>
  <c r="BA20" i="20" s="1"/>
  <c r="Y20" i="20"/>
  <c r="AM20" i="20" s="1"/>
  <c r="BH20" i="20" s="1"/>
  <c r="Q21" i="20"/>
  <c r="AE20" i="20"/>
  <c r="AZ20" i="20" s="1"/>
  <c r="X20" i="20"/>
  <c r="AL20" i="20" s="1"/>
  <c r="BG20" i="20" s="1"/>
  <c r="R22" i="20" l="1"/>
  <c r="AF21" i="20"/>
  <c r="BA21" i="20" s="1"/>
  <c r="Y21" i="20"/>
  <c r="AM21" i="20" s="1"/>
  <c r="BH21" i="20" s="1"/>
  <c r="Q22" i="20"/>
  <c r="AE21" i="20"/>
  <c r="AZ21" i="20" s="1"/>
  <c r="X21" i="20"/>
  <c r="AL21" i="20" s="1"/>
  <c r="BG21" i="20" s="1"/>
  <c r="Q23" i="20" l="1"/>
  <c r="AE22" i="20"/>
  <c r="AZ22" i="20" s="1"/>
  <c r="X22" i="20"/>
  <c r="AL22" i="20" s="1"/>
  <c r="BG22" i="20" s="1"/>
  <c r="R23" i="20"/>
  <c r="AF22" i="20"/>
  <c r="BA22" i="20" s="1"/>
  <c r="Y22" i="20"/>
  <c r="AM22" i="20" s="1"/>
  <c r="BH22" i="20" s="1"/>
  <c r="Q24" i="20" l="1"/>
  <c r="AE23" i="20"/>
  <c r="AZ23" i="20" s="1"/>
  <c r="X23" i="20"/>
  <c r="AL23" i="20" s="1"/>
  <c r="BG23" i="20" s="1"/>
  <c r="R24" i="20"/>
  <c r="AF23" i="20"/>
  <c r="BA23" i="20" s="1"/>
  <c r="Y23" i="20"/>
  <c r="AM23" i="20" s="1"/>
  <c r="BH23" i="20" s="1"/>
  <c r="X24" i="20" l="1"/>
  <c r="AL24" i="20" s="1"/>
  <c r="BG24" i="20" s="1"/>
  <c r="AE24" i="20"/>
  <c r="AZ24" i="20" s="1"/>
  <c r="Q25" i="20"/>
  <c r="R25" i="20"/>
  <c r="AF24" i="20"/>
  <c r="BA24" i="20" s="1"/>
  <c r="Y24" i="20"/>
  <c r="AM24" i="20" s="1"/>
  <c r="BH24" i="20" s="1"/>
  <c r="X25" i="20" l="1"/>
  <c r="AL25" i="20" s="1"/>
  <c r="BG25" i="20" s="1"/>
  <c r="AE25" i="20"/>
  <c r="AZ25" i="20" s="1"/>
  <c r="Q26" i="20"/>
  <c r="Y25" i="20"/>
  <c r="AM25" i="20" s="1"/>
  <c r="BH25" i="20" s="1"/>
  <c r="AF25" i="20"/>
  <c r="BA25" i="20" s="1"/>
  <c r="R26" i="20"/>
  <c r="Y26" i="20" l="1"/>
  <c r="AM26" i="20" s="1"/>
  <c r="BH26" i="20" s="1"/>
  <c r="AF26" i="20"/>
  <c r="BA26" i="20" s="1"/>
  <c r="R27" i="20"/>
  <c r="AE26" i="20"/>
  <c r="AZ26" i="20" s="1"/>
  <c r="X26" i="20"/>
  <c r="AL26" i="20" s="1"/>
  <c r="BG26" i="20" s="1"/>
  <c r="Q27" i="20"/>
  <c r="AZ42" i="20" l="1"/>
  <c r="X27" i="20"/>
  <c r="AL27" i="20" s="1"/>
  <c r="BG27" i="20" s="1"/>
  <c r="AE27" i="20"/>
  <c r="AZ27" i="20" s="1"/>
  <c r="Q28" i="20"/>
  <c r="AF27" i="20"/>
  <c r="BA27" i="20" s="1"/>
  <c r="R28" i="20"/>
  <c r="Y27" i="20"/>
  <c r="AM27" i="20" s="1"/>
  <c r="BH27" i="20" s="1"/>
  <c r="AF28" i="20" l="1"/>
  <c r="BA28" i="20" s="1"/>
  <c r="R29" i="20"/>
  <c r="Y28" i="20"/>
  <c r="AM28" i="20" s="1"/>
  <c r="BH28" i="20" s="1"/>
  <c r="AE28" i="20"/>
  <c r="AZ28" i="20" s="1"/>
  <c r="Q29" i="20"/>
  <c r="X28" i="20"/>
  <c r="AL28" i="20" s="1"/>
  <c r="BG28" i="20" s="1"/>
  <c r="AE29" i="20" l="1"/>
  <c r="AZ29" i="20" s="1"/>
  <c r="Q30" i="20"/>
  <c r="X29" i="20"/>
  <c r="AL29" i="20" s="1"/>
  <c r="BG29" i="20" s="1"/>
  <c r="AF29" i="20"/>
  <c r="BA29" i="20" s="1"/>
  <c r="R30" i="20"/>
  <c r="Y29" i="20"/>
  <c r="AM29" i="20" s="1"/>
  <c r="BH29" i="20" s="1"/>
  <c r="H80" i="21"/>
  <c r="I80" i="21"/>
  <c r="I70" i="21"/>
  <c r="H70" i="21"/>
  <c r="H73" i="21"/>
  <c r="I73" i="21"/>
  <c r="H74" i="21"/>
  <c r="I74" i="21"/>
  <c r="H75" i="21"/>
  <c r="I75" i="21"/>
  <c r="H76" i="21"/>
  <c r="I76" i="21"/>
  <c r="H77" i="21"/>
  <c r="I77" i="21"/>
  <c r="H78" i="21"/>
  <c r="I78" i="21"/>
  <c r="H79" i="21"/>
  <c r="I79" i="21"/>
  <c r="I72" i="21"/>
  <c r="H72" i="21"/>
  <c r="H15" i="21"/>
  <c r="AX78" i="20"/>
  <c r="AY78" i="20"/>
  <c r="AZ78" i="20"/>
  <c r="AW78" i="20"/>
  <c r="J22" i="21"/>
  <c r="I22" i="21"/>
  <c r="J21" i="21"/>
  <c r="I21" i="21"/>
  <c r="H20" i="21"/>
  <c r="H19" i="21"/>
  <c r="H18" i="21"/>
  <c r="H22" i="21" s="1"/>
  <c r="H17" i="21"/>
  <c r="H21" i="21" s="1"/>
  <c r="H16" i="21"/>
  <c r="G11" i="21"/>
  <c r="F11" i="21"/>
  <c r="E11" i="21"/>
  <c r="D11" i="21"/>
  <c r="C11" i="21"/>
  <c r="G10" i="21"/>
  <c r="F10" i="21"/>
  <c r="E10" i="21"/>
  <c r="D10" i="21"/>
  <c r="C10" i="21"/>
  <c r="AF30" i="20" l="1"/>
  <c r="BA30" i="20" s="1"/>
  <c r="R31" i="20"/>
  <c r="Y30" i="20"/>
  <c r="AM30" i="20" s="1"/>
  <c r="BH30" i="20" s="1"/>
  <c r="AE30" i="20"/>
  <c r="AZ30" i="20" s="1"/>
  <c r="Q31" i="20"/>
  <c r="X30" i="20"/>
  <c r="AL30" i="20" s="1"/>
  <c r="BG30" i="20" s="1"/>
  <c r="G47" i="1"/>
  <c r="H47" i="1"/>
  <c r="I47" i="1"/>
  <c r="J47" i="1"/>
  <c r="K47" i="1"/>
  <c r="L47" i="1"/>
  <c r="M47" i="1"/>
  <c r="N47" i="1"/>
  <c r="O47" i="1"/>
  <c r="P47" i="1"/>
  <c r="Q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G48" i="1"/>
  <c r="H48" i="1"/>
  <c r="I48" i="1"/>
  <c r="J48" i="1"/>
  <c r="K48" i="1"/>
  <c r="L48" i="1"/>
  <c r="M48" i="1"/>
  <c r="N48" i="1"/>
  <c r="O48" i="1"/>
  <c r="P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F48" i="1"/>
  <c r="F47" i="1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G46" i="4"/>
  <c r="O2" i="12"/>
  <c r="BC3" i="20"/>
  <c r="BD3" i="20"/>
  <c r="BE3" i="20"/>
  <c r="BB3" i="20"/>
  <c r="AV3" i="20"/>
  <c r="AW3" i="20"/>
  <c r="AX3" i="20"/>
  <c r="AY3" i="20"/>
  <c r="AU3" i="20"/>
  <c r="M4" i="20"/>
  <c r="M5" i="20" s="1"/>
  <c r="M6" i="20" s="1"/>
  <c r="T6" i="20" s="1"/>
  <c r="AH6" i="20" s="1"/>
  <c r="BC6" i="20" s="1"/>
  <c r="N4" i="20"/>
  <c r="AB4" i="20" s="1"/>
  <c r="AW4" i="20" s="1"/>
  <c r="O4" i="20"/>
  <c r="AC4" i="20" s="1"/>
  <c r="AX4" i="20" s="1"/>
  <c r="P4" i="20"/>
  <c r="AD4" i="20" s="1"/>
  <c r="AY4" i="20" s="1"/>
  <c r="S4" i="20"/>
  <c r="AG4" i="20" s="1"/>
  <c r="BB4" i="20" s="1"/>
  <c r="M131" i="17"/>
  <c r="M132" i="17"/>
  <c r="M133" i="17"/>
  <c r="M134" i="17"/>
  <c r="M135" i="17"/>
  <c r="M136" i="17"/>
  <c r="M137" i="17"/>
  <c r="L132" i="17"/>
  <c r="L133" i="17"/>
  <c r="L134" i="17"/>
  <c r="L135" i="17"/>
  <c r="L136" i="17"/>
  <c r="L137" i="17"/>
  <c r="L131" i="17"/>
  <c r="E28" i="19"/>
  <c r="F28" i="19"/>
  <c r="E29" i="19"/>
  <c r="F29" i="19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E27" i="19"/>
  <c r="F27" i="19"/>
  <c r="E26" i="19"/>
  <c r="F26" i="19"/>
  <c r="F21" i="19"/>
  <c r="F22" i="19"/>
  <c r="F23" i="19"/>
  <c r="F24" i="19"/>
  <c r="F25" i="19"/>
  <c r="E22" i="19"/>
  <c r="E23" i="19"/>
  <c r="E25" i="19"/>
  <c r="E21" i="19"/>
  <c r="E42" i="1"/>
  <c r="F42" i="1"/>
  <c r="H42" i="1"/>
  <c r="I42" i="1"/>
  <c r="J42" i="1"/>
  <c r="K42" i="1"/>
  <c r="L42" i="1"/>
  <c r="M42" i="1"/>
  <c r="N42" i="1"/>
  <c r="O42" i="1"/>
  <c r="P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E43" i="1"/>
  <c r="F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F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E41" i="1"/>
  <c r="H171" i="17"/>
  <c r="K171" i="17"/>
  <c r="N161" i="17"/>
  <c r="H162" i="17"/>
  <c r="I162" i="17"/>
  <c r="J162" i="17"/>
  <c r="K162" i="17"/>
  <c r="L162" i="17"/>
  <c r="M162" i="17"/>
  <c r="H163" i="17"/>
  <c r="I163" i="17"/>
  <c r="J163" i="17"/>
  <c r="K163" i="17"/>
  <c r="L163" i="17"/>
  <c r="M163" i="17"/>
  <c r="H164" i="17"/>
  <c r="I164" i="17"/>
  <c r="J164" i="17"/>
  <c r="K164" i="17"/>
  <c r="L164" i="17"/>
  <c r="M164" i="17"/>
  <c r="H165" i="17"/>
  <c r="I165" i="17"/>
  <c r="J165" i="17"/>
  <c r="K165" i="17"/>
  <c r="L165" i="17"/>
  <c r="M165" i="17"/>
  <c r="I161" i="17"/>
  <c r="J161" i="17"/>
  <c r="K161" i="17"/>
  <c r="L161" i="17"/>
  <c r="M161" i="17"/>
  <c r="O162" i="17"/>
  <c r="P162" i="17"/>
  <c r="H161" i="17"/>
  <c r="O161" i="17"/>
  <c r="P161" i="17"/>
  <c r="L172" i="17"/>
  <c r="L171" i="17"/>
  <c r="M171" i="17"/>
  <c r="K172" i="17"/>
  <c r="M172" i="17"/>
  <c r="K173" i="17"/>
  <c r="L173" i="17"/>
  <c r="M173" i="17"/>
  <c r="I171" i="17"/>
  <c r="J171" i="17"/>
  <c r="I172" i="17"/>
  <c r="J172" i="17"/>
  <c r="I173" i="17"/>
  <c r="J173" i="17"/>
  <c r="H172" i="17"/>
  <c r="H173" i="17"/>
  <c r="Q4" i="18"/>
  <c r="Q5" i="18"/>
  <c r="Q6" i="18"/>
  <c r="Q3" i="18"/>
  <c r="AF31" i="20" l="1"/>
  <c r="BA31" i="20" s="1"/>
  <c r="R32" i="20"/>
  <c r="Y31" i="20"/>
  <c r="AM31" i="20" s="1"/>
  <c r="BH31" i="20" s="1"/>
  <c r="AE31" i="20"/>
  <c r="AZ31" i="20" s="1"/>
  <c r="Q32" i="20"/>
  <c r="X31" i="20"/>
  <c r="AL31" i="20" s="1"/>
  <c r="BG31" i="20" s="1"/>
  <c r="W4" i="20"/>
  <c r="AK4" i="20" s="1"/>
  <c r="BF4" i="20" s="1"/>
  <c r="T5" i="20"/>
  <c r="AH5" i="20" s="1"/>
  <c r="BC5" i="20" s="1"/>
  <c r="V4" i="20"/>
  <c r="AJ4" i="20" s="1"/>
  <c r="BE4" i="20" s="1"/>
  <c r="AA4" i="20"/>
  <c r="AV4" i="20" s="1"/>
  <c r="N5" i="20"/>
  <c r="N6" i="20" s="1"/>
  <c r="U4" i="20"/>
  <c r="AI4" i="20" s="1"/>
  <c r="BD4" i="20" s="1"/>
  <c r="AA5" i="20"/>
  <c r="AV5" i="20" s="1"/>
  <c r="T4" i="20"/>
  <c r="AH4" i="20" s="1"/>
  <c r="BC4" i="20" s="1"/>
  <c r="AA6" i="20"/>
  <c r="AV6" i="20" s="1"/>
  <c r="M7" i="20"/>
  <c r="Z4" i="20"/>
  <c r="AU4" i="20" s="1"/>
  <c r="P5" i="20"/>
  <c r="O5" i="20"/>
  <c r="N171" i="17"/>
  <c r="P165" i="17"/>
  <c r="O165" i="17"/>
  <c r="N162" i="17"/>
  <c r="P164" i="17"/>
  <c r="N165" i="17"/>
  <c r="O164" i="17"/>
  <c r="N173" i="17"/>
  <c r="N164" i="17"/>
  <c r="P163" i="17"/>
  <c r="N163" i="17"/>
  <c r="O163" i="17"/>
  <c r="N172" i="17"/>
  <c r="O173" i="17"/>
  <c r="O171" i="17"/>
  <c r="P172" i="17"/>
  <c r="P171" i="17"/>
  <c r="O172" i="17"/>
  <c r="P173" i="17"/>
  <c r="V83" i="17"/>
  <c r="AE32" i="20" l="1"/>
  <c r="AZ32" i="20" s="1"/>
  <c r="Q33" i="20"/>
  <c r="X32" i="20"/>
  <c r="AL32" i="20" s="1"/>
  <c r="BG32" i="20" s="1"/>
  <c r="AF32" i="20"/>
  <c r="BA32" i="20" s="1"/>
  <c r="R33" i="20"/>
  <c r="Y32" i="20"/>
  <c r="AM32" i="20" s="1"/>
  <c r="BH32" i="20" s="1"/>
  <c r="U5" i="20"/>
  <c r="AI5" i="20" s="1"/>
  <c r="BD5" i="20" s="1"/>
  <c r="AB5" i="20"/>
  <c r="AW5" i="20" s="1"/>
  <c r="O6" i="20"/>
  <c r="AC5" i="20"/>
  <c r="AX5" i="20" s="1"/>
  <c r="V5" i="20"/>
  <c r="AJ5" i="20" s="1"/>
  <c r="BE5" i="20" s="1"/>
  <c r="P6" i="20"/>
  <c r="AD5" i="20"/>
  <c r="AY5" i="20" s="1"/>
  <c r="W5" i="20"/>
  <c r="AK5" i="20" s="1"/>
  <c r="BF5" i="20" s="1"/>
  <c r="L6" i="20"/>
  <c r="S5" i="20"/>
  <c r="AG5" i="20" s="1"/>
  <c r="BB5" i="20" s="1"/>
  <c r="Z5" i="20"/>
  <c r="AU5" i="20" s="1"/>
  <c r="M8" i="20"/>
  <c r="T7" i="20"/>
  <c r="AH7" i="20" s="1"/>
  <c r="BC7" i="20" s="1"/>
  <c r="AA7" i="20"/>
  <c r="AV7" i="20" s="1"/>
  <c r="N7" i="20"/>
  <c r="AB6" i="20"/>
  <c r="AW6" i="20" s="1"/>
  <c r="U6" i="20"/>
  <c r="AI6" i="20" s="1"/>
  <c r="BD6" i="20" s="1"/>
  <c r="V84" i="17"/>
  <c r="W84" i="17" s="1"/>
  <c r="V82" i="17"/>
  <c r="T83" i="17"/>
  <c r="T84" i="17"/>
  <c r="U84" i="17" s="1"/>
  <c r="T82" i="17"/>
  <c r="V34" i="17"/>
  <c r="W34" i="17"/>
  <c r="X34" i="17"/>
  <c r="Y34" i="17"/>
  <c r="Z34" i="17"/>
  <c r="AA34" i="17"/>
  <c r="AB34" i="17"/>
  <c r="V35" i="17"/>
  <c r="W35" i="17"/>
  <c r="X35" i="17"/>
  <c r="Y35" i="17"/>
  <c r="Z35" i="17"/>
  <c r="AA35" i="17"/>
  <c r="AB35" i="17"/>
  <c r="V36" i="17"/>
  <c r="W36" i="17"/>
  <c r="X36" i="17"/>
  <c r="Y36" i="17"/>
  <c r="Z36" i="17"/>
  <c r="AA36" i="17"/>
  <c r="AB36" i="17"/>
  <c r="V37" i="17"/>
  <c r="W37" i="17"/>
  <c r="X37" i="17"/>
  <c r="Y37" i="17"/>
  <c r="Z37" i="17"/>
  <c r="AA37" i="17"/>
  <c r="AB37" i="17"/>
  <c r="V38" i="17"/>
  <c r="W38" i="17"/>
  <c r="X38" i="17"/>
  <c r="Y38" i="17"/>
  <c r="Z38" i="17"/>
  <c r="AA38" i="17"/>
  <c r="AB38" i="17"/>
  <c r="V39" i="17"/>
  <c r="W39" i="17"/>
  <c r="X39" i="17"/>
  <c r="Y39" i="17"/>
  <c r="Z39" i="17"/>
  <c r="AA39" i="17"/>
  <c r="AB39" i="17"/>
  <c r="V40" i="17"/>
  <c r="W40" i="17"/>
  <c r="X40" i="17"/>
  <c r="Y40" i="17"/>
  <c r="Z40" i="17"/>
  <c r="AA40" i="17"/>
  <c r="AB40" i="17"/>
  <c r="V41" i="17"/>
  <c r="W41" i="17"/>
  <c r="X41" i="17"/>
  <c r="Y41" i="17"/>
  <c r="Z41" i="17"/>
  <c r="AA41" i="17"/>
  <c r="AB41" i="17"/>
  <c r="V42" i="17"/>
  <c r="W42" i="17"/>
  <c r="X42" i="17"/>
  <c r="Y42" i="17"/>
  <c r="Z42" i="17"/>
  <c r="AA42" i="17"/>
  <c r="AB42" i="17"/>
  <c r="V43" i="17"/>
  <c r="W43" i="17"/>
  <c r="X43" i="17"/>
  <c r="Y43" i="17"/>
  <c r="Z43" i="17"/>
  <c r="AA43" i="17"/>
  <c r="AB43" i="17"/>
  <c r="V44" i="17"/>
  <c r="W44" i="17"/>
  <c r="X44" i="17"/>
  <c r="Y44" i="17"/>
  <c r="Z44" i="17"/>
  <c r="AA44" i="17"/>
  <c r="AB44" i="17"/>
  <c r="V45" i="17"/>
  <c r="W45" i="17"/>
  <c r="X45" i="17"/>
  <c r="Y45" i="17"/>
  <c r="Z45" i="17"/>
  <c r="AA45" i="17"/>
  <c r="AB45" i="17"/>
  <c r="V46" i="17"/>
  <c r="W46" i="17"/>
  <c r="X46" i="17"/>
  <c r="Y46" i="17"/>
  <c r="Z46" i="17"/>
  <c r="AA46" i="17"/>
  <c r="AB46" i="17"/>
  <c r="V47" i="17"/>
  <c r="W47" i="17"/>
  <c r="X47" i="17"/>
  <c r="Y47" i="17"/>
  <c r="Z47" i="17"/>
  <c r="AA47" i="17"/>
  <c r="AB47" i="17"/>
  <c r="V48" i="17"/>
  <c r="W48" i="17"/>
  <c r="X48" i="17"/>
  <c r="Y48" i="17"/>
  <c r="Z48" i="17"/>
  <c r="AA48" i="17"/>
  <c r="AB48" i="17"/>
  <c r="V49" i="17"/>
  <c r="W49" i="17"/>
  <c r="X49" i="17"/>
  <c r="Y49" i="17"/>
  <c r="Z49" i="17"/>
  <c r="AA49" i="17"/>
  <c r="AB49" i="17"/>
  <c r="V50" i="17"/>
  <c r="W50" i="17"/>
  <c r="X50" i="17"/>
  <c r="Y50" i="17"/>
  <c r="Z50" i="17"/>
  <c r="AA50" i="17"/>
  <c r="AB50" i="17"/>
  <c r="V51" i="17"/>
  <c r="W51" i="17"/>
  <c r="X51" i="17"/>
  <c r="Y51" i="17"/>
  <c r="Z51" i="17"/>
  <c r="AA51" i="17"/>
  <c r="AB51" i="17"/>
  <c r="V52" i="17"/>
  <c r="W52" i="17"/>
  <c r="X52" i="17"/>
  <c r="Y52" i="17"/>
  <c r="Z52" i="17"/>
  <c r="AA52" i="17"/>
  <c r="AB52" i="17"/>
  <c r="V53" i="17"/>
  <c r="W53" i="17"/>
  <c r="X53" i="17"/>
  <c r="Y53" i="17"/>
  <c r="Z53" i="17"/>
  <c r="AA53" i="17"/>
  <c r="AB53" i="17"/>
  <c r="V54" i="17"/>
  <c r="W54" i="17"/>
  <c r="X54" i="17"/>
  <c r="Y54" i="17"/>
  <c r="Z54" i="17"/>
  <c r="AA54" i="17"/>
  <c r="AB54" i="17"/>
  <c r="V55" i="17"/>
  <c r="W55" i="17"/>
  <c r="X55" i="17"/>
  <c r="Y55" i="17"/>
  <c r="Z55" i="17"/>
  <c r="AA55" i="17"/>
  <c r="AB55" i="17"/>
  <c r="V56" i="17"/>
  <c r="W56" i="17"/>
  <c r="X56" i="17"/>
  <c r="Y56" i="17"/>
  <c r="Z56" i="17"/>
  <c r="AA56" i="17"/>
  <c r="AB56" i="17"/>
  <c r="V57" i="17"/>
  <c r="W57" i="17"/>
  <c r="X57" i="17"/>
  <c r="Y57" i="17"/>
  <c r="Z57" i="17"/>
  <c r="AA57" i="17"/>
  <c r="AB57" i="17"/>
  <c r="V58" i="17"/>
  <c r="W58" i="17"/>
  <c r="X58" i="17"/>
  <c r="Y58" i="17"/>
  <c r="Z58" i="17"/>
  <c r="AA58" i="17"/>
  <c r="AB58" i="17"/>
  <c r="V59" i="17"/>
  <c r="W59" i="17"/>
  <c r="X59" i="17"/>
  <c r="Y59" i="17"/>
  <c r="Z59" i="17"/>
  <c r="AA59" i="17"/>
  <c r="AB59" i="17"/>
  <c r="V60" i="17"/>
  <c r="W60" i="17"/>
  <c r="X60" i="17"/>
  <c r="Y60" i="17"/>
  <c r="Z60" i="17"/>
  <c r="AA60" i="17"/>
  <c r="AB60" i="17"/>
  <c r="V61" i="17"/>
  <c r="W61" i="17"/>
  <c r="X61" i="17"/>
  <c r="Y61" i="17"/>
  <c r="Z61" i="17"/>
  <c r="AA61" i="17"/>
  <c r="AB61" i="17"/>
  <c r="V62" i="17"/>
  <c r="W62" i="17"/>
  <c r="X62" i="17"/>
  <c r="Y62" i="17"/>
  <c r="Z62" i="17"/>
  <c r="AA62" i="17"/>
  <c r="AB62" i="17"/>
  <c r="V63" i="17"/>
  <c r="W63" i="17"/>
  <c r="X63" i="17"/>
  <c r="Y63" i="17"/>
  <c r="Z63" i="17"/>
  <c r="AA63" i="17"/>
  <c r="AB63" i="17"/>
  <c r="V64" i="17"/>
  <c r="W64" i="17"/>
  <c r="X64" i="17"/>
  <c r="Y64" i="17"/>
  <c r="Z64" i="17"/>
  <c r="AA64" i="17"/>
  <c r="AB64" i="17"/>
  <c r="V65" i="17"/>
  <c r="W65" i="17"/>
  <c r="X65" i="17"/>
  <c r="Y65" i="17"/>
  <c r="Z65" i="17"/>
  <c r="AA65" i="17"/>
  <c r="AB65" i="17"/>
  <c r="V66" i="17"/>
  <c r="W66" i="17"/>
  <c r="X66" i="17"/>
  <c r="Y66" i="17"/>
  <c r="Z66" i="17"/>
  <c r="AA66" i="17"/>
  <c r="AB66" i="17"/>
  <c r="V67" i="17"/>
  <c r="W67" i="17"/>
  <c r="X67" i="17"/>
  <c r="Y67" i="17"/>
  <c r="Z67" i="17"/>
  <c r="AA67" i="17"/>
  <c r="AB67" i="17"/>
  <c r="V68" i="17"/>
  <c r="W68" i="17"/>
  <c r="X68" i="17"/>
  <c r="Y68" i="17"/>
  <c r="Z68" i="17"/>
  <c r="AA68" i="17"/>
  <c r="AB68" i="17"/>
  <c r="V69" i="17"/>
  <c r="W69" i="17"/>
  <c r="X69" i="17"/>
  <c r="Y69" i="17"/>
  <c r="Z69" i="17"/>
  <c r="AA69" i="17"/>
  <c r="AB69" i="17"/>
  <c r="AB33" i="17"/>
  <c r="AA33" i="17"/>
  <c r="Z33" i="17"/>
  <c r="Y33" i="17"/>
  <c r="X33" i="17"/>
  <c r="W33" i="17"/>
  <c r="V33" i="17"/>
  <c r="AD33" i="17" s="1"/>
  <c r="AE33" i="20" l="1"/>
  <c r="AZ33" i="20" s="1"/>
  <c r="Q34" i="20"/>
  <c r="X33" i="20"/>
  <c r="AL33" i="20" s="1"/>
  <c r="BG33" i="20" s="1"/>
  <c r="AF33" i="20"/>
  <c r="BA33" i="20" s="1"/>
  <c r="R34" i="20"/>
  <c r="Y33" i="20"/>
  <c r="AM33" i="20" s="1"/>
  <c r="BH33" i="20" s="1"/>
  <c r="AA8" i="20"/>
  <c r="AV8" i="20" s="1"/>
  <c r="T8" i="20"/>
  <c r="AH8" i="20" s="1"/>
  <c r="BC8" i="20" s="1"/>
  <c r="M9" i="20"/>
  <c r="P7" i="20"/>
  <c r="W6" i="20"/>
  <c r="AK6" i="20" s="1"/>
  <c r="BF6" i="20" s="1"/>
  <c r="AD6" i="20"/>
  <c r="AY6" i="20" s="1"/>
  <c r="N8" i="20"/>
  <c r="U7" i="20"/>
  <c r="AI7" i="20" s="1"/>
  <c r="BD7" i="20" s="1"/>
  <c r="AB7" i="20"/>
  <c r="AW7" i="20" s="1"/>
  <c r="L7" i="20"/>
  <c r="Z6" i="20"/>
  <c r="AU6" i="20" s="1"/>
  <c r="S6" i="20"/>
  <c r="AG6" i="20" s="1"/>
  <c r="BB6" i="20" s="1"/>
  <c r="O7" i="20"/>
  <c r="AC6" i="20"/>
  <c r="AX6" i="20" s="1"/>
  <c r="V6" i="20"/>
  <c r="AJ6" i="20" s="1"/>
  <c r="BE6" i="20" s="1"/>
  <c r="U83" i="17"/>
  <c r="W71" i="17"/>
  <c r="AD60" i="17"/>
  <c r="AD38" i="17"/>
  <c r="AB71" i="17"/>
  <c r="AA71" i="17"/>
  <c r="Z71" i="17"/>
  <c r="Y71" i="17"/>
  <c r="X71" i="17"/>
  <c r="AD63" i="17"/>
  <c r="AD41" i="17"/>
  <c r="AD59" i="17"/>
  <c r="AD37" i="17"/>
  <c r="AD62" i="17"/>
  <c r="AD68" i="17"/>
  <c r="AD49" i="17"/>
  <c r="AD39" i="17"/>
  <c r="AD64" i="17"/>
  <c r="AD42" i="17"/>
  <c r="AD67" i="17"/>
  <c r="AD45" i="17"/>
  <c r="AD66" i="17"/>
  <c r="AD44" i="17"/>
  <c r="AD69" i="17"/>
  <c r="AD50" i="17"/>
  <c r="AD56" i="17"/>
  <c r="AD34" i="17"/>
  <c r="V71" i="17"/>
  <c r="AD40" i="17"/>
  <c r="AD65" i="17"/>
  <c r="AD52" i="17"/>
  <c r="AD55" i="17"/>
  <c r="AD48" i="17"/>
  <c r="AD51" i="17"/>
  <c r="AD47" i="17"/>
  <c r="AD53" i="17"/>
  <c r="AD46" i="17"/>
  <c r="AD36" i="17"/>
  <c r="AD61" i="17"/>
  <c r="AD54" i="17"/>
  <c r="AD43" i="17"/>
  <c r="AD58" i="17"/>
  <c r="AD57" i="17"/>
  <c r="AD35" i="17"/>
  <c r="F15" i="8"/>
  <c r="X34" i="20" l="1"/>
  <c r="AL34" i="20" s="1"/>
  <c r="BG34" i="20" s="1"/>
  <c r="AE34" i="20"/>
  <c r="AZ34" i="20" s="1"/>
  <c r="Q35" i="20"/>
  <c r="AF34" i="20"/>
  <c r="BA34" i="20" s="1"/>
  <c r="R35" i="20"/>
  <c r="Y34" i="20"/>
  <c r="AM34" i="20" s="1"/>
  <c r="BH34" i="20" s="1"/>
  <c r="AC7" i="20"/>
  <c r="AX7" i="20" s="1"/>
  <c r="V7" i="20"/>
  <c r="AJ7" i="20" s="1"/>
  <c r="BE7" i="20" s="1"/>
  <c r="O8" i="20"/>
  <c r="L8" i="20"/>
  <c r="S7" i="20"/>
  <c r="AG7" i="20" s="1"/>
  <c r="BB7" i="20" s="1"/>
  <c r="Z7" i="20"/>
  <c r="AU7" i="20" s="1"/>
  <c r="N9" i="20"/>
  <c r="U8" i="20"/>
  <c r="AI8" i="20" s="1"/>
  <c r="BD8" i="20" s="1"/>
  <c r="AB8" i="20"/>
  <c r="AW8" i="20" s="1"/>
  <c r="AD7" i="20"/>
  <c r="AY7" i="20" s="1"/>
  <c r="P8" i="20"/>
  <c r="W7" i="20"/>
  <c r="AK7" i="20" s="1"/>
  <c r="BF7" i="20" s="1"/>
  <c r="M10" i="20"/>
  <c r="AA9" i="20"/>
  <c r="AV9" i="20" s="1"/>
  <c r="T9" i="20"/>
  <c r="AH9" i="20" s="1"/>
  <c r="BC9" i="20" s="1"/>
  <c r="W14" i="6"/>
  <c r="AF35" i="20" l="1"/>
  <c r="BA35" i="20" s="1"/>
  <c r="R36" i="20"/>
  <c r="Y35" i="20"/>
  <c r="AM35" i="20" s="1"/>
  <c r="BH35" i="20" s="1"/>
  <c r="AE35" i="20"/>
  <c r="AZ35" i="20" s="1"/>
  <c r="Q36" i="20"/>
  <c r="X35" i="20"/>
  <c r="AL35" i="20" s="1"/>
  <c r="BG35" i="20" s="1"/>
  <c r="M11" i="20"/>
  <c r="T10" i="20"/>
  <c r="AH10" i="20" s="1"/>
  <c r="BC10" i="20" s="1"/>
  <c r="AA10" i="20"/>
  <c r="AV10" i="20" s="1"/>
  <c r="P9" i="20"/>
  <c r="W8" i="20"/>
  <c r="AK8" i="20" s="1"/>
  <c r="BF8" i="20" s="1"/>
  <c r="AD8" i="20"/>
  <c r="AY8" i="20" s="1"/>
  <c r="N10" i="20"/>
  <c r="AB9" i="20"/>
  <c r="AW9" i="20" s="1"/>
  <c r="U9" i="20"/>
  <c r="AI9" i="20" s="1"/>
  <c r="BD9" i="20" s="1"/>
  <c r="L9" i="20"/>
  <c r="Z8" i="20"/>
  <c r="AU8" i="20" s="1"/>
  <c r="S8" i="20"/>
  <c r="AG8" i="20" s="1"/>
  <c r="BB8" i="20" s="1"/>
  <c r="O9" i="20"/>
  <c r="V8" i="20"/>
  <c r="AJ8" i="20" s="1"/>
  <c r="BE8" i="20" s="1"/>
  <c r="AC8" i="20"/>
  <c r="AX8" i="20" s="1"/>
  <c r="X11" i="6" a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B13" i="6" s="1" a="1"/>
  <c r="AB13" i="6" s="1"/>
  <c r="AD40" i="1"/>
  <c r="X13" i="6" s="1" a="1"/>
  <c r="AC40" i="1"/>
  <c r="AB40" i="1"/>
  <c r="X12" i="6" s="1" a="1"/>
  <c r="AA40" i="1"/>
  <c r="Z40" i="1"/>
  <c r="Y40" i="1"/>
  <c r="X40" i="1"/>
  <c r="X10" i="6" s="1" a="1"/>
  <c r="V40" i="1"/>
  <c r="U40" i="1"/>
  <c r="T40" i="1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H47" i="4" s="1"/>
  <c r="BG33" i="4"/>
  <c r="BG47" i="4" s="1"/>
  <c r="BF33" i="4"/>
  <c r="BF47" i="4" s="1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V30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V29" i="4"/>
  <c r="BU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V27" i="4"/>
  <c r="BU27" i="4"/>
  <c r="BT27" i="4"/>
  <c r="BS27" i="4"/>
  <c r="BR27" i="4"/>
  <c r="BQ27" i="4"/>
  <c r="BP27" i="4"/>
  <c r="BO27" i="4"/>
  <c r="BN27" i="4"/>
  <c r="BM27" i="4"/>
  <c r="BL27" i="4"/>
  <c r="BJ27" i="4"/>
  <c r="BI27" i="4"/>
  <c r="BH27" i="4"/>
  <c r="BG27" i="4"/>
  <c r="BF27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V23" i="4"/>
  <c r="BV46" i="4" s="1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V2" i="4"/>
  <c r="BU2" i="4"/>
  <c r="BT2" i="4"/>
  <c r="BS2" i="4"/>
  <c r="BR2" i="4"/>
  <c r="BQ2" i="4"/>
  <c r="BP2" i="4"/>
  <c r="BO2" i="4"/>
  <c r="BN2" i="4"/>
  <c r="BM2" i="4"/>
  <c r="BL2" i="4"/>
  <c r="BK2" i="4"/>
  <c r="BJ2" i="4"/>
  <c r="BI2" i="4"/>
  <c r="BH2" i="4"/>
  <c r="BG2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BK47" i="4" l="1"/>
  <c r="BR47" i="4"/>
  <c r="BL47" i="4"/>
  <c r="BI47" i="4"/>
  <c r="BM47" i="4"/>
  <c r="BN47" i="4"/>
  <c r="BO46" i="4"/>
  <c r="BJ46" i="4"/>
  <c r="BI46" i="4"/>
  <c r="BK46" i="4"/>
  <c r="BG46" i="4"/>
  <c r="E14" i="6" a="1"/>
  <c r="E14" i="6" s="1"/>
  <c r="E47" i="6" s="1"/>
  <c r="BT47" i="4"/>
  <c r="BP46" i="4"/>
  <c r="BQ46" i="4"/>
  <c r="BR46" i="4"/>
  <c r="BH46" i="4"/>
  <c r="BO47" i="4"/>
  <c r="BP47" i="4"/>
  <c r="BQ47" i="4"/>
  <c r="BM46" i="4"/>
  <c r="BS46" i="4"/>
  <c r="BF46" i="4"/>
  <c r="BT46" i="4"/>
  <c r="BJ47" i="4"/>
  <c r="BL46" i="4"/>
  <c r="BS47" i="4"/>
  <c r="BN46" i="4"/>
  <c r="BU47" i="4"/>
  <c r="BV47" i="4"/>
  <c r="BU46" i="4"/>
  <c r="AF36" i="20"/>
  <c r="BA36" i="20" s="1"/>
  <c r="R37" i="20"/>
  <c r="Y36" i="20"/>
  <c r="AM36" i="20" s="1"/>
  <c r="BH36" i="20" s="1"/>
  <c r="AE36" i="20"/>
  <c r="AZ36" i="20" s="1"/>
  <c r="Q37" i="20"/>
  <c r="X36" i="20"/>
  <c r="AL36" i="20" s="1"/>
  <c r="BG36" i="20" s="1"/>
  <c r="P10" i="20"/>
  <c r="W9" i="20"/>
  <c r="AK9" i="20" s="1"/>
  <c r="BF9" i="20" s="1"/>
  <c r="AD9" i="20"/>
  <c r="AY9" i="20" s="1"/>
  <c r="O10" i="20"/>
  <c r="AC9" i="20"/>
  <c r="AX9" i="20" s="1"/>
  <c r="V9" i="20"/>
  <c r="AJ9" i="20" s="1"/>
  <c r="BE9" i="20" s="1"/>
  <c r="L10" i="20"/>
  <c r="S9" i="20"/>
  <c r="AG9" i="20" s="1"/>
  <c r="BB9" i="20" s="1"/>
  <c r="Z9" i="20"/>
  <c r="AU9" i="20" s="1"/>
  <c r="N11" i="20"/>
  <c r="AB10" i="20"/>
  <c r="AW10" i="20" s="1"/>
  <c r="U10" i="20"/>
  <c r="AI10" i="20" s="1"/>
  <c r="BD10" i="20" s="1"/>
  <c r="M12" i="20"/>
  <c r="T11" i="20"/>
  <c r="AH11" i="20" s="1"/>
  <c r="BC11" i="20" s="1"/>
  <c r="AA11" i="20"/>
  <c r="AV11" i="20" s="1"/>
  <c r="X12" i="6"/>
  <c r="X11" i="6"/>
  <c r="X10" i="6"/>
  <c r="X13" i="6"/>
  <c r="AG13" i="6"/>
  <c r="AH13" i="6"/>
  <c r="AI13" i="6"/>
  <c r="AB12" i="6" a="1"/>
  <c r="AB12" i="6" s="1"/>
  <c r="AF12" i="6" s="1"/>
  <c r="AB11" i="6" a="1"/>
  <c r="AB11" i="6" s="1"/>
  <c r="X9" i="6" a="1"/>
  <c r="AO11" i="6" s="1"/>
  <c r="G47" i="6" l="1"/>
  <c r="H47" i="6"/>
  <c r="F47" i="6"/>
  <c r="AF37" i="20"/>
  <c r="BA37" i="20" s="1"/>
  <c r="R38" i="20"/>
  <c r="Y37" i="20"/>
  <c r="AM37" i="20" s="1"/>
  <c r="BH37" i="20" s="1"/>
  <c r="AE37" i="20"/>
  <c r="AZ37" i="20" s="1"/>
  <c r="Q38" i="20"/>
  <c r="X37" i="20"/>
  <c r="AL37" i="20" s="1"/>
  <c r="BG37" i="20" s="1"/>
  <c r="N12" i="20"/>
  <c r="AB11" i="20"/>
  <c r="AW11" i="20" s="1"/>
  <c r="U11" i="20"/>
  <c r="AI11" i="20" s="1"/>
  <c r="BD11" i="20" s="1"/>
  <c r="M13" i="20"/>
  <c r="AA12" i="20"/>
  <c r="AV12" i="20" s="1"/>
  <c r="T12" i="20"/>
  <c r="AH12" i="20" s="1"/>
  <c r="BC12" i="20" s="1"/>
  <c r="L11" i="20"/>
  <c r="S10" i="20"/>
  <c r="AG10" i="20" s="1"/>
  <c r="BB10" i="20" s="1"/>
  <c r="Z10" i="20"/>
  <c r="AU10" i="20" s="1"/>
  <c r="O11" i="20"/>
  <c r="AC10" i="20"/>
  <c r="AX10" i="20" s="1"/>
  <c r="V10" i="20"/>
  <c r="AJ10" i="20" s="1"/>
  <c r="BE10" i="20" s="1"/>
  <c r="P11" i="20"/>
  <c r="AD10" i="20"/>
  <c r="AY10" i="20" s="1"/>
  <c r="W10" i="20"/>
  <c r="AK10" i="20" s="1"/>
  <c r="BF10" i="20" s="1"/>
  <c r="AJ13" i="6"/>
  <c r="AO10" i="6"/>
  <c r="AP12" i="6"/>
  <c r="AO13" i="6"/>
  <c r="AN13" i="6"/>
  <c r="AX13" i="6" s="1"/>
  <c r="AP13" i="6"/>
  <c r="AN10" i="6"/>
  <c r="AX10" i="6" s="1"/>
  <c r="AP10" i="6"/>
  <c r="AP11" i="6"/>
  <c r="AN11" i="6"/>
  <c r="AX11" i="6" s="1"/>
  <c r="X9" i="6"/>
  <c r="Y46" i="6"/>
  <c r="AA46" i="6"/>
  <c r="AP9" i="6"/>
  <c r="AN9" i="6"/>
  <c r="AX9" i="6" s="1"/>
  <c r="Z46" i="6"/>
  <c r="AO9" i="6"/>
  <c r="AN12" i="6"/>
  <c r="AX12" i="6" s="1"/>
  <c r="AF11" i="6"/>
  <c r="AO12" i="6"/>
  <c r="AM12" i="6"/>
  <c r="AF13" i="6"/>
  <c r="AJ14" i="6"/>
  <c r="AI11" i="6"/>
  <c r="AH11" i="6"/>
  <c r="AG11" i="6"/>
  <c r="AG12" i="6"/>
  <c r="AH12" i="6"/>
  <c r="AI12" i="6"/>
  <c r="AE38" i="20" l="1"/>
  <c r="AZ38" i="20" s="1"/>
  <c r="Q39" i="20"/>
  <c r="X38" i="20"/>
  <c r="AL38" i="20" s="1"/>
  <c r="BG38" i="20" s="1"/>
  <c r="AF38" i="20"/>
  <c r="BA38" i="20" s="1"/>
  <c r="R39" i="20"/>
  <c r="Y38" i="20"/>
  <c r="AM38" i="20" s="1"/>
  <c r="BH38" i="20" s="1"/>
  <c r="O12" i="20"/>
  <c r="AC11" i="20"/>
  <c r="AX11" i="20" s="1"/>
  <c r="V11" i="20"/>
  <c r="AJ11" i="20" s="1"/>
  <c r="BE11" i="20" s="1"/>
  <c r="M14" i="20"/>
  <c r="T13" i="20"/>
  <c r="AH13" i="20" s="1"/>
  <c r="BC13" i="20" s="1"/>
  <c r="AA13" i="20"/>
  <c r="AV13" i="20" s="1"/>
  <c r="P12" i="20"/>
  <c r="AD11" i="20"/>
  <c r="AY11" i="20" s="1"/>
  <c r="W11" i="20"/>
  <c r="AK11" i="20" s="1"/>
  <c r="BF11" i="20" s="1"/>
  <c r="L12" i="20"/>
  <c r="Z11" i="20"/>
  <c r="AU11" i="20" s="1"/>
  <c r="S11" i="20"/>
  <c r="AG11" i="20" s="1"/>
  <c r="BB11" i="20" s="1"/>
  <c r="N13" i="20"/>
  <c r="U12" i="20"/>
  <c r="AI12" i="20" s="1"/>
  <c r="BD12" i="20" s="1"/>
  <c r="AB12" i="20"/>
  <c r="AW12" i="20" s="1"/>
  <c r="AM9" i="6"/>
  <c r="X46" i="6"/>
  <c r="AM11" i="6"/>
  <c r="AM10" i="6"/>
  <c r="AM13" i="6"/>
  <c r="AJ12" i="6"/>
  <c r="AJ11" i="6"/>
  <c r="M2" i="5"/>
  <c r="AF39" i="20" l="1"/>
  <c r="BA39" i="20" s="1"/>
  <c r="R40" i="20"/>
  <c r="Y39" i="20"/>
  <c r="AM39" i="20" s="1"/>
  <c r="BH39" i="20" s="1"/>
  <c r="AE39" i="20"/>
  <c r="AZ39" i="20" s="1"/>
  <c r="Q40" i="20"/>
  <c r="X39" i="20"/>
  <c r="AL39" i="20" s="1"/>
  <c r="BG39" i="20" s="1"/>
  <c r="N14" i="20"/>
  <c r="U13" i="20"/>
  <c r="AI13" i="20" s="1"/>
  <c r="BD13" i="20" s="1"/>
  <c r="AB13" i="20"/>
  <c r="AW13" i="20" s="1"/>
  <c r="L13" i="20"/>
  <c r="Z12" i="20"/>
  <c r="AU12" i="20" s="1"/>
  <c r="S12" i="20"/>
  <c r="AG12" i="20" s="1"/>
  <c r="BB12" i="20" s="1"/>
  <c r="P13" i="20"/>
  <c r="W12" i="20"/>
  <c r="AK12" i="20" s="1"/>
  <c r="BF12" i="20" s="1"/>
  <c r="AD12" i="20"/>
  <c r="AY12" i="20" s="1"/>
  <c r="M15" i="20"/>
  <c r="AA14" i="20"/>
  <c r="AV14" i="20" s="1"/>
  <c r="T14" i="20"/>
  <c r="AH14" i="20" s="1"/>
  <c r="BC14" i="20" s="1"/>
  <c r="O13" i="20"/>
  <c r="V12" i="20"/>
  <c r="AJ12" i="20" s="1"/>
  <c r="BE12" i="20" s="1"/>
  <c r="AC12" i="20"/>
  <c r="AX12" i="20" s="1"/>
  <c r="BV1" i="4"/>
  <c r="BU1" i="4"/>
  <c r="E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BD43" i="4"/>
  <c r="BD42" i="4"/>
  <c r="BD41" i="4"/>
  <c r="BD40" i="4"/>
  <c r="D43" i="4"/>
  <c r="G40" i="4"/>
  <c r="G43" i="4"/>
  <c r="G42" i="4"/>
  <c r="G41" i="4"/>
  <c r="D40" i="4"/>
  <c r="M5" i="5"/>
  <c r="BG46" i="20" l="1"/>
  <c r="BA46" i="20"/>
  <c r="Y40" i="20"/>
  <c r="AM40" i="20" s="1"/>
  <c r="BH40" i="20" s="1"/>
  <c r="AF40" i="20"/>
  <c r="BA40" i="20" s="1"/>
  <c r="X40" i="20"/>
  <c r="AL40" i="20" s="1"/>
  <c r="BG40" i="20" s="1"/>
  <c r="AE40" i="20"/>
  <c r="AZ40" i="20" s="1"/>
  <c r="O14" i="20"/>
  <c r="AC13" i="20"/>
  <c r="AX13" i="20" s="1"/>
  <c r="V13" i="20"/>
  <c r="AJ13" i="20" s="1"/>
  <c r="BE13" i="20" s="1"/>
  <c r="M16" i="20"/>
  <c r="AA15" i="20"/>
  <c r="AV15" i="20" s="1"/>
  <c r="T15" i="20"/>
  <c r="AH15" i="20" s="1"/>
  <c r="BC15" i="20" s="1"/>
  <c r="P14" i="20"/>
  <c r="AD13" i="20"/>
  <c r="AY13" i="20" s="1"/>
  <c r="W13" i="20"/>
  <c r="AK13" i="20" s="1"/>
  <c r="BF13" i="20" s="1"/>
  <c r="L14" i="20"/>
  <c r="S13" i="20"/>
  <c r="AG13" i="20" s="1"/>
  <c r="BB13" i="20" s="1"/>
  <c r="Z13" i="20"/>
  <c r="AU13" i="20" s="1"/>
  <c r="N15" i="20"/>
  <c r="AB14" i="20"/>
  <c r="AW14" i="20" s="1"/>
  <c r="U14" i="20"/>
  <c r="AI14" i="20" s="1"/>
  <c r="BD14" i="20" s="1"/>
  <c r="E3" i="6" a="1"/>
  <c r="W40" i="1"/>
  <c r="AB10" i="6" s="1" a="1"/>
  <c r="BH42" i="20" l="1"/>
  <c r="BH45" i="20"/>
  <c r="BH43" i="20"/>
  <c r="BH46" i="20"/>
  <c r="AZ45" i="20"/>
  <c r="AZ43" i="20"/>
  <c r="AZ46" i="20"/>
  <c r="BG42" i="20"/>
  <c r="BG45" i="20"/>
  <c r="BG43" i="20"/>
  <c r="BA42" i="20"/>
  <c r="BA45" i="20"/>
  <c r="BA43" i="20"/>
  <c r="N16" i="20"/>
  <c r="AB15" i="20"/>
  <c r="AW15" i="20" s="1"/>
  <c r="U15" i="20"/>
  <c r="AI15" i="20" s="1"/>
  <c r="BD15" i="20" s="1"/>
  <c r="P15" i="20"/>
  <c r="AD14" i="20"/>
  <c r="AY14" i="20" s="1"/>
  <c r="W14" i="20"/>
  <c r="AK14" i="20" s="1"/>
  <c r="BF14" i="20" s="1"/>
  <c r="M17" i="20"/>
  <c r="AA16" i="20"/>
  <c r="AV16" i="20" s="1"/>
  <c r="T16" i="20"/>
  <c r="AH16" i="20" s="1"/>
  <c r="BC16" i="20" s="1"/>
  <c r="L15" i="20"/>
  <c r="Z14" i="20"/>
  <c r="AU14" i="20" s="1"/>
  <c r="S14" i="20"/>
  <c r="AG14" i="20" s="1"/>
  <c r="BB14" i="20" s="1"/>
  <c r="O15" i="20"/>
  <c r="AC14" i="20"/>
  <c r="AX14" i="20" s="1"/>
  <c r="V14" i="20"/>
  <c r="AJ14" i="20" s="1"/>
  <c r="BE14" i="20" s="1"/>
  <c r="AB10" i="6"/>
  <c r="AB46" i="6" s="1"/>
  <c r="AF46" i="6" s="1"/>
  <c r="AD46" i="6"/>
  <c r="AH46" i="6" s="1"/>
  <c r="AE46" i="6"/>
  <c r="AI46" i="6" s="1"/>
  <c r="AJ46" i="6" s="1"/>
  <c r="AC46" i="6"/>
  <c r="AG46" i="6" s="1"/>
  <c r="F28" i="6"/>
  <c r="E3" i="6"/>
  <c r="H28" i="6"/>
  <c r="G28" i="6"/>
  <c r="E28" i="6"/>
  <c r="X7" i="6" a="1"/>
  <c r="X8" i="6" a="1"/>
  <c r="E9" i="6" a="1"/>
  <c r="E19" i="6" a="1"/>
  <c r="E4" i="6" a="1"/>
  <c r="E16" i="6" a="1"/>
  <c r="E11" i="6" a="1"/>
  <c r="E13" i="6" a="1"/>
  <c r="E7" i="6" a="1"/>
  <c r="E15" i="6" a="1"/>
  <c r="E17" i="6" a="1"/>
  <c r="E10" i="6" a="1"/>
  <c r="E12" i="6" a="1"/>
  <c r="E6" i="6" a="1"/>
  <c r="E8" i="6" a="1"/>
  <c r="E18" i="6" a="1"/>
  <c r="E5" i="6" a="1"/>
  <c r="G23" i="6" l="1"/>
  <c r="O16" i="20"/>
  <c r="AC15" i="20"/>
  <c r="AX15" i="20" s="1"/>
  <c r="V15" i="20"/>
  <c r="AJ15" i="20" s="1"/>
  <c r="BE15" i="20" s="1"/>
  <c r="L16" i="20"/>
  <c r="Z15" i="20"/>
  <c r="AU15" i="20" s="1"/>
  <c r="S15" i="20"/>
  <c r="AG15" i="20" s="1"/>
  <c r="BB15" i="20" s="1"/>
  <c r="M18" i="20"/>
  <c r="T17" i="20"/>
  <c r="AH17" i="20" s="1"/>
  <c r="BC17" i="20" s="1"/>
  <c r="AA17" i="20"/>
  <c r="AV17" i="20" s="1"/>
  <c r="P16" i="20"/>
  <c r="W15" i="20"/>
  <c r="AK15" i="20" s="1"/>
  <c r="BF15" i="20" s="1"/>
  <c r="AD15" i="20"/>
  <c r="AY15" i="20" s="1"/>
  <c r="N17" i="20"/>
  <c r="U16" i="20"/>
  <c r="AI16" i="20" s="1"/>
  <c r="BD16" i="20" s="1"/>
  <c r="AB16" i="20"/>
  <c r="AW16" i="20" s="1"/>
  <c r="L47" i="6"/>
  <c r="N47" i="6"/>
  <c r="F23" i="6"/>
  <c r="G24" i="6" s="1"/>
  <c r="E40" i="6"/>
  <c r="H23" i="6"/>
  <c r="E9" i="6"/>
  <c r="N9" i="6"/>
  <c r="J47" i="6"/>
  <c r="F48" i="6"/>
  <c r="J48" i="6" s="1"/>
  <c r="G48" i="6"/>
  <c r="H48" i="6"/>
  <c r="M47" i="6"/>
  <c r="K47" i="6"/>
  <c r="N14" i="6"/>
  <c r="M14" i="6"/>
  <c r="L14" i="6"/>
  <c r="K14" i="6"/>
  <c r="J14" i="6"/>
  <c r="N28" i="6"/>
  <c r="M28" i="6"/>
  <c r="K28" i="6"/>
  <c r="J28" i="6"/>
  <c r="L28" i="6"/>
  <c r="H46" i="6"/>
  <c r="G46" i="6"/>
  <c r="F46" i="6"/>
  <c r="J46" i="6" s="1"/>
  <c r="AF10" i="6"/>
  <c r="X8" i="6"/>
  <c r="X7" i="6"/>
  <c r="AG10" i="6"/>
  <c r="AH10" i="6"/>
  <c r="AI10" i="6"/>
  <c r="N19" i="6"/>
  <c r="M19" i="6"/>
  <c r="E19" i="6"/>
  <c r="L19" i="6"/>
  <c r="K19" i="6"/>
  <c r="J19" i="6"/>
  <c r="AG9" i="6"/>
  <c r="AH9" i="6"/>
  <c r="AI9" i="6"/>
  <c r="AF9" i="6"/>
  <c r="H32" i="6"/>
  <c r="G32" i="6"/>
  <c r="F32" i="6"/>
  <c r="H31" i="6"/>
  <c r="G31" i="6"/>
  <c r="F31" i="6"/>
  <c r="J31" i="6" s="1"/>
  <c r="G33" i="6"/>
  <c r="H33" i="6"/>
  <c r="F33" i="6"/>
  <c r="H34" i="6"/>
  <c r="G34" i="6"/>
  <c r="F34" i="6"/>
  <c r="G35" i="6"/>
  <c r="H35" i="6"/>
  <c r="F35" i="6"/>
  <c r="H30" i="6"/>
  <c r="G30" i="6"/>
  <c r="F30" i="6"/>
  <c r="E4" i="6"/>
  <c r="G29" i="6"/>
  <c r="F29" i="6"/>
  <c r="H29" i="6"/>
  <c r="N3" i="6"/>
  <c r="N10" i="6"/>
  <c r="M10" i="6"/>
  <c r="M8" i="6"/>
  <c r="N8" i="6"/>
  <c r="N17" i="6"/>
  <c r="M17" i="6"/>
  <c r="N13" i="6"/>
  <c r="M13" i="6"/>
  <c r="N6" i="6"/>
  <c r="M6" i="6"/>
  <c r="N11" i="6"/>
  <c r="M11" i="6"/>
  <c r="N15" i="6"/>
  <c r="M15" i="6"/>
  <c r="N5" i="6"/>
  <c r="M5" i="6"/>
  <c r="M12" i="6"/>
  <c r="N12" i="6"/>
  <c r="M9" i="6"/>
  <c r="N16" i="6"/>
  <c r="M16" i="6"/>
  <c r="N7" i="6"/>
  <c r="M7" i="6"/>
  <c r="N4" i="6"/>
  <c r="N18" i="6"/>
  <c r="M18" i="6"/>
  <c r="M4" i="6"/>
  <c r="M3" i="6"/>
  <c r="L17" i="6"/>
  <c r="L5" i="6"/>
  <c r="L13" i="6"/>
  <c r="L6" i="6"/>
  <c r="L15" i="6"/>
  <c r="L11" i="6"/>
  <c r="L3" i="6"/>
  <c r="L12" i="6"/>
  <c r="L9" i="6"/>
  <c r="L16" i="6"/>
  <c r="K8" i="6"/>
  <c r="L8" i="6"/>
  <c r="L18" i="6"/>
  <c r="L10" i="6"/>
  <c r="AU10" i="6" s="1"/>
  <c r="AZ10" i="6" s="1"/>
  <c r="L7" i="6"/>
  <c r="L4" i="6"/>
  <c r="K18" i="6"/>
  <c r="K17" i="6"/>
  <c r="K3" i="6"/>
  <c r="K13" i="6"/>
  <c r="K6" i="6"/>
  <c r="K15" i="6"/>
  <c r="K11" i="6"/>
  <c r="K5" i="6"/>
  <c r="K12" i="6"/>
  <c r="K9" i="6"/>
  <c r="K16" i="6"/>
  <c r="K10" i="6"/>
  <c r="K7" i="6"/>
  <c r="K4" i="6"/>
  <c r="E10" i="6"/>
  <c r="J10" i="6"/>
  <c r="E8" i="6"/>
  <c r="J8" i="6"/>
  <c r="J3" i="6"/>
  <c r="E6" i="6"/>
  <c r="J6" i="6"/>
  <c r="E15" i="6"/>
  <c r="J15" i="6"/>
  <c r="E11" i="6"/>
  <c r="J11" i="6"/>
  <c r="E5" i="6"/>
  <c r="J5" i="6"/>
  <c r="E12" i="6"/>
  <c r="J12" i="6"/>
  <c r="J9" i="6"/>
  <c r="E16" i="6"/>
  <c r="J16" i="6"/>
  <c r="E13" i="6"/>
  <c r="J13" i="6"/>
  <c r="J4" i="6"/>
  <c r="E17" i="6"/>
  <c r="J17" i="6"/>
  <c r="E18" i="6"/>
  <c r="J18" i="6"/>
  <c r="E7" i="6"/>
  <c r="J7" i="6"/>
  <c r="I47" i="6" l="1"/>
  <c r="AT10" i="6"/>
  <c r="AY10" i="6" s="1"/>
  <c r="P17" i="20"/>
  <c r="W16" i="20"/>
  <c r="AK16" i="20" s="1"/>
  <c r="BF16" i="20" s="1"/>
  <c r="AD16" i="20"/>
  <c r="AY16" i="20" s="1"/>
  <c r="L17" i="20"/>
  <c r="S16" i="20"/>
  <c r="AG16" i="20" s="1"/>
  <c r="BB16" i="20" s="1"/>
  <c r="Z16" i="20"/>
  <c r="AU16" i="20" s="1"/>
  <c r="M19" i="20"/>
  <c r="AA18" i="20"/>
  <c r="AV18" i="20" s="1"/>
  <c r="T18" i="20"/>
  <c r="AH18" i="20" s="1"/>
  <c r="BC18" i="20" s="1"/>
  <c r="N18" i="20"/>
  <c r="U17" i="20"/>
  <c r="AI17" i="20" s="1"/>
  <c r="BD17" i="20" s="1"/>
  <c r="AB17" i="20"/>
  <c r="AW17" i="20" s="1"/>
  <c r="O17" i="20"/>
  <c r="AC16" i="20"/>
  <c r="AX16" i="20" s="1"/>
  <c r="V16" i="20"/>
  <c r="AJ16" i="20" s="1"/>
  <c r="BE16" i="20" s="1"/>
  <c r="N48" i="6"/>
  <c r="L48" i="6"/>
  <c r="E32" i="6"/>
  <c r="H25" i="6"/>
  <c r="H24" i="6"/>
  <c r="AU9" i="6"/>
  <c r="AZ9" i="6" s="1"/>
  <c r="AT9" i="6"/>
  <c r="AY9" i="6" s="1"/>
  <c r="AU13" i="6"/>
  <c r="AZ13" i="6" s="1"/>
  <c r="AT11" i="6"/>
  <c r="AY11" i="6" s="1"/>
  <c r="AT12" i="6"/>
  <c r="AY12" i="6" s="1"/>
  <c r="AU11" i="6"/>
  <c r="AZ11" i="6" s="1"/>
  <c r="AT13" i="6"/>
  <c r="AY13" i="6" s="1"/>
  <c r="AU12" i="6"/>
  <c r="AZ12" i="6" s="1"/>
  <c r="M48" i="6"/>
  <c r="K48" i="6"/>
  <c r="E48" i="6"/>
  <c r="I48" i="6" s="1"/>
  <c r="I14" i="6"/>
  <c r="I28" i="6"/>
  <c r="E46" i="6"/>
  <c r="I46" i="6" s="1"/>
  <c r="K46" i="6"/>
  <c r="M46" i="6"/>
  <c r="N46" i="6"/>
  <c r="L46" i="6"/>
  <c r="AJ9" i="6"/>
  <c r="AJ10" i="6"/>
  <c r="I19" i="6"/>
  <c r="J33" i="6"/>
  <c r="J32" i="6"/>
  <c r="E33" i="6"/>
  <c r="N32" i="6"/>
  <c r="J35" i="6"/>
  <c r="J34" i="6"/>
  <c r="M32" i="6"/>
  <c r="N30" i="6"/>
  <c r="M31" i="6"/>
  <c r="N29" i="6"/>
  <c r="N33" i="6"/>
  <c r="N34" i="6"/>
  <c r="N31" i="6"/>
  <c r="M34" i="6"/>
  <c r="M30" i="6"/>
  <c r="N35" i="6"/>
  <c r="M35" i="6"/>
  <c r="M33" i="6"/>
  <c r="M29" i="6"/>
  <c r="K34" i="6"/>
  <c r="K31" i="6"/>
  <c r="K35" i="6"/>
  <c r="K33" i="6"/>
  <c r="K32" i="6"/>
  <c r="L34" i="6"/>
  <c r="L31" i="6"/>
  <c r="L35" i="6"/>
  <c r="L33" i="6"/>
  <c r="L32" i="6"/>
  <c r="E35" i="6"/>
  <c r="E34" i="6"/>
  <c r="E30" i="6"/>
  <c r="E31" i="6"/>
  <c r="I31" i="6" s="1"/>
  <c r="E29" i="6"/>
  <c r="N19" i="20" l="1"/>
  <c r="AB18" i="20"/>
  <c r="AW18" i="20" s="1"/>
  <c r="U18" i="20"/>
  <c r="AI18" i="20" s="1"/>
  <c r="BD18" i="20" s="1"/>
  <c r="M20" i="20"/>
  <c r="AA19" i="20"/>
  <c r="AV19" i="20" s="1"/>
  <c r="T19" i="20"/>
  <c r="AH19" i="20" s="1"/>
  <c r="BC19" i="20" s="1"/>
  <c r="O18" i="20"/>
  <c r="V17" i="20"/>
  <c r="AJ17" i="20" s="1"/>
  <c r="BE17" i="20" s="1"/>
  <c r="AC17" i="20"/>
  <c r="AX17" i="20" s="1"/>
  <c r="L18" i="20"/>
  <c r="S17" i="20"/>
  <c r="AG17" i="20" s="1"/>
  <c r="BB17" i="20" s="1"/>
  <c r="Z17" i="20"/>
  <c r="AU17" i="20" s="1"/>
  <c r="P18" i="20"/>
  <c r="W17" i="20"/>
  <c r="AK17" i="20" s="1"/>
  <c r="BF17" i="20" s="1"/>
  <c r="AD17" i="20"/>
  <c r="AY17" i="20" s="1"/>
  <c r="E14" i="8"/>
  <c r="O4" i="5"/>
  <c r="O3" i="5"/>
  <c r="N5" i="5"/>
  <c r="L19" i="20" l="1"/>
  <c r="Z18" i="20"/>
  <c r="AU18" i="20" s="1"/>
  <c r="S18" i="20"/>
  <c r="AG18" i="20" s="1"/>
  <c r="BB18" i="20" s="1"/>
  <c r="N20" i="20"/>
  <c r="AB19" i="20"/>
  <c r="AW19" i="20" s="1"/>
  <c r="U19" i="20"/>
  <c r="AI19" i="20" s="1"/>
  <c r="BD19" i="20" s="1"/>
  <c r="P19" i="20"/>
  <c r="W18" i="20"/>
  <c r="AK18" i="20" s="1"/>
  <c r="BF18" i="20" s="1"/>
  <c r="AD18" i="20"/>
  <c r="AY18" i="20" s="1"/>
  <c r="O19" i="20"/>
  <c r="AC18" i="20"/>
  <c r="AX18" i="20" s="1"/>
  <c r="V18" i="20"/>
  <c r="AJ18" i="20" s="1"/>
  <c r="BE18" i="20" s="1"/>
  <c r="M21" i="20"/>
  <c r="AA20" i="20"/>
  <c r="AV20" i="20" s="1"/>
  <c r="T20" i="20"/>
  <c r="AH20" i="20" s="1"/>
  <c r="BC20" i="20" s="1"/>
  <c r="BG1" i="4"/>
  <c r="BH1" i="4"/>
  <c r="BI1" i="4"/>
  <c r="BJ1" i="4"/>
  <c r="BK1" i="4"/>
  <c r="BL1" i="4"/>
  <c r="BM1" i="4"/>
  <c r="BN1" i="4"/>
  <c r="BO1" i="4"/>
  <c r="BP1" i="4"/>
  <c r="BQ1" i="4"/>
  <c r="BR1" i="4"/>
  <c r="BS1" i="4"/>
  <c r="BT1" i="4"/>
  <c r="O20" i="20" l="1"/>
  <c r="AC19" i="20"/>
  <c r="AX19" i="20" s="1"/>
  <c r="V19" i="20"/>
  <c r="AJ19" i="20" s="1"/>
  <c r="BE19" i="20" s="1"/>
  <c r="P20" i="20"/>
  <c r="AD19" i="20"/>
  <c r="AY19" i="20" s="1"/>
  <c r="W19" i="20"/>
  <c r="AK19" i="20" s="1"/>
  <c r="BF19" i="20" s="1"/>
  <c r="M22" i="20"/>
  <c r="AA21" i="20"/>
  <c r="AV21" i="20" s="1"/>
  <c r="T21" i="20"/>
  <c r="AH21" i="20" s="1"/>
  <c r="BC21" i="20" s="1"/>
  <c r="N21" i="20"/>
  <c r="AB20" i="20"/>
  <c r="AW20" i="20" s="1"/>
  <c r="U20" i="20"/>
  <c r="AI20" i="20" s="1"/>
  <c r="BD20" i="20" s="1"/>
  <c r="L20" i="20"/>
  <c r="S19" i="20"/>
  <c r="AG19" i="20" s="1"/>
  <c r="BB19" i="20" s="1"/>
  <c r="Z19" i="20"/>
  <c r="AU19" i="20" s="1"/>
  <c r="BT43" i="4"/>
  <c r="BL43" i="4"/>
  <c r="BP42" i="4"/>
  <c r="BH42" i="4"/>
  <c r="BT41" i="4"/>
  <c r="BT40" i="4"/>
  <c r="BL41" i="4"/>
  <c r="BL40" i="4"/>
  <c r="BM41" i="4"/>
  <c r="BM40" i="4"/>
  <c r="BS43" i="4"/>
  <c r="BK43" i="4"/>
  <c r="BO42" i="4"/>
  <c r="BG42" i="4"/>
  <c r="BS41" i="4"/>
  <c r="BS40" i="4"/>
  <c r="BK41" i="4"/>
  <c r="BK40" i="4"/>
  <c r="BM43" i="4"/>
  <c r="BI42" i="4"/>
  <c r="BR43" i="4"/>
  <c r="BJ43" i="4"/>
  <c r="BV42" i="4"/>
  <c r="BN42" i="4"/>
  <c r="BR41" i="4"/>
  <c r="BR40" i="4"/>
  <c r="BJ41" i="4"/>
  <c r="BJ40" i="4"/>
  <c r="BM42" i="4"/>
  <c r="BQ40" i="4"/>
  <c r="BQ41" i="4"/>
  <c r="BI41" i="4"/>
  <c r="BI40" i="4"/>
  <c r="BP43" i="4"/>
  <c r="BH43" i="4"/>
  <c r="BT42" i="4"/>
  <c r="BL42" i="4"/>
  <c r="BP40" i="4"/>
  <c r="BP41" i="4"/>
  <c r="BH41" i="4"/>
  <c r="BH40" i="4"/>
  <c r="BO43" i="4"/>
  <c r="BG43" i="4"/>
  <c r="BS42" i="4"/>
  <c r="BK42" i="4"/>
  <c r="BO40" i="4"/>
  <c r="BO41" i="4"/>
  <c r="BG40" i="4"/>
  <c r="BG41" i="4"/>
  <c r="BQ42" i="4"/>
  <c r="BQ43" i="4"/>
  <c r="BI43" i="4"/>
  <c r="BV43" i="4"/>
  <c r="BN43" i="4"/>
  <c r="BR42" i="4"/>
  <c r="BJ42" i="4"/>
  <c r="BV41" i="4"/>
  <c r="BV40" i="4"/>
  <c r="BN41" i="4"/>
  <c r="BN40" i="4"/>
  <c r="BU43" i="4"/>
  <c r="BU41" i="4"/>
  <c r="BU40" i="4"/>
  <c r="BU42" i="4"/>
  <c r="W5" i="6"/>
  <c r="AJ5" i="6"/>
  <c r="W15" i="6"/>
  <c r="AJ15" i="6"/>
  <c r="M3" i="5"/>
  <c r="M4" i="5"/>
  <c r="L21" i="20" l="1"/>
  <c r="Z20" i="20"/>
  <c r="AU20" i="20" s="1"/>
  <c r="S20" i="20"/>
  <c r="AG20" i="20" s="1"/>
  <c r="BB20" i="20" s="1"/>
  <c r="M23" i="20"/>
  <c r="T22" i="20"/>
  <c r="AH22" i="20" s="1"/>
  <c r="BC22" i="20" s="1"/>
  <c r="AA22" i="20"/>
  <c r="AV22" i="20" s="1"/>
  <c r="O21" i="20"/>
  <c r="AC20" i="20"/>
  <c r="AX20" i="20" s="1"/>
  <c r="V20" i="20"/>
  <c r="AJ20" i="20" s="1"/>
  <c r="BE20" i="20" s="1"/>
  <c r="N22" i="20"/>
  <c r="U21" i="20"/>
  <c r="AI21" i="20" s="1"/>
  <c r="BD21" i="20" s="1"/>
  <c r="AB21" i="20"/>
  <c r="AW21" i="20" s="1"/>
  <c r="P21" i="20"/>
  <c r="AD20" i="20"/>
  <c r="AY20" i="20" s="1"/>
  <c r="W20" i="20"/>
  <c r="AK20" i="20" s="1"/>
  <c r="BF20" i="20" s="1"/>
  <c r="M6" i="5"/>
  <c r="M7" i="5"/>
  <c r="X32" i="6"/>
  <c r="Y32" i="6"/>
  <c r="Z32" i="6"/>
  <c r="AA32" i="6"/>
  <c r="BF2" i="4"/>
  <c r="D41" i="4"/>
  <c r="D42" i="4"/>
  <c r="BF1" i="4"/>
  <c r="O14" i="6" s="1" a="1"/>
  <c r="P22" i="20" l="1"/>
  <c r="W21" i="20"/>
  <c r="AK21" i="20" s="1"/>
  <c r="BF21" i="20" s="1"/>
  <c r="AD21" i="20"/>
  <c r="AY21" i="20" s="1"/>
  <c r="N23" i="20"/>
  <c r="U22" i="20"/>
  <c r="AI22" i="20" s="1"/>
  <c r="BD22" i="20" s="1"/>
  <c r="AB22" i="20"/>
  <c r="AW22" i="20" s="1"/>
  <c r="O22" i="20"/>
  <c r="V21" i="20"/>
  <c r="AJ21" i="20" s="1"/>
  <c r="BE21" i="20" s="1"/>
  <c r="AC21" i="20"/>
  <c r="AX21" i="20" s="1"/>
  <c r="M24" i="20"/>
  <c r="AA23" i="20"/>
  <c r="AV23" i="20" s="1"/>
  <c r="T23" i="20"/>
  <c r="AH23" i="20" s="1"/>
  <c r="BC23" i="20" s="1"/>
  <c r="L22" i="20"/>
  <c r="Z21" i="20"/>
  <c r="AU21" i="20" s="1"/>
  <c r="S21" i="20"/>
  <c r="AG21" i="20" s="1"/>
  <c r="BB21" i="20" s="1"/>
  <c r="P47" i="6"/>
  <c r="R47" i="6"/>
  <c r="Q47" i="6"/>
  <c r="O14" i="6"/>
  <c r="O47" i="6" s="1"/>
  <c r="O16" i="6" a="1"/>
  <c r="O7" i="6" a="1"/>
  <c r="O7" i="6" s="1"/>
  <c r="O15" i="6" a="1"/>
  <c r="O6" i="6" a="1"/>
  <c r="O6" i="6" s="1"/>
  <c r="O17" i="6" a="1"/>
  <c r="O17" i="6" s="1"/>
  <c r="O13" i="6" a="1"/>
  <c r="O5" i="6" a="1"/>
  <c r="O5" i="6" s="1"/>
  <c r="O12" i="6" a="1"/>
  <c r="O12" i="6" s="1"/>
  <c r="O4" i="6" a="1"/>
  <c r="O4" i="6" s="1"/>
  <c r="O19" i="6" a="1"/>
  <c r="O19" i="6" s="1"/>
  <c r="O8" i="6" a="1"/>
  <c r="O11" i="6" a="1"/>
  <c r="O10" i="6" a="1"/>
  <c r="O10" i="6" s="1"/>
  <c r="O18" i="6" a="1"/>
  <c r="O18" i="6" s="1"/>
  <c r="O9" i="6" a="1"/>
  <c r="O9" i="6" s="1"/>
  <c r="S9" i="6" s="1"/>
  <c r="BF42" i="4"/>
  <c r="BF43" i="4"/>
  <c r="BF41" i="4"/>
  <c r="BF40" i="4"/>
  <c r="O2" i="5"/>
  <c r="E41" i="6"/>
  <c r="N2" i="5"/>
  <c r="N3" i="5"/>
  <c r="N4" i="5"/>
  <c r="N7" i="5" s="1"/>
  <c r="AE28" i="6"/>
  <c r="AD28" i="6"/>
  <c r="AC28" i="6"/>
  <c r="N24" i="20" l="1"/>
  <c r="AB23" i="20"/>
  <c r="AW23" i="20" s="1"/>
  <c r="U23" i="20"/>
  <c r="AI23" i="20" s="1"/>
  <c r="BD23" i="20" s="1"/>
  <c r="L23" i="20"/>
  <c r="S22" i="20"/>
  <c r="AG22" i="20" s="1"/>
  <c r="BB22" i="20" s="1"/>
  <c r="Z22" i="20"/>
  <c r="AU22" i="20" s="1"/>
  <c r="M25" i="20"/>
  <c r="AA24" i="20"/>
  <c r="AV24" i="20" s="1"/>
  <c r="T24" i="20"/>
  <c r="AH24" i="20" s="1"/>
  <c r="BC24" i="20" s="1"/>
  <c r="O23" i="20"/>
  <c r="V22" i="20"/>
  <c r="AJ22" i="20" s="1"/>
  <c r="BE22" i="20" s="1"/>
  <c r="AC22" i="20"/>
  <c r="AX22" i="20" s="1"/>
  <c r="P23" i="20"/>
  <c r="AD22" i="20"/>
  <c r="AY22" i="20" s="1"/>
  <c r="W22" i="20"/>
  <c r="AK22" i="20" s="1"/>
  <c r="BF22" i="20" s="1"/>
  <c r="O11" i="6"/>
  <c r="S11" i="6" s="1"/>
  <c r="U11" i="6"/>
  <c r="O15" i="6"/>
  <c r="R48" i="6"/>
  <c r="P48" i="6"/>
  <c r="Q48" i="6"/>
  <c r="O3" i="6" a="1"/>
  <c r="P40" i="6" s="1"/>
  <c r="O13" i="6"/>
  <c r="S13" i="6" s="1"/>
  <c r="T13" i="6"/>
  <c r="U13" i="6"/>
  <c r="V13" i="6"/>
  <c r="O8" i="6"/>
  <c r="S8" i="6"/>
  <c r="V8" i="6" s="1"/>
  <c r="U8" i="6"/>
  <c r="T8" i="6"/>
  <c r="W8" i="6" s="1"/>
  <c r="O16" i="6"/>
  <c r="U10" i="6"/>
  <c r="V10" i="6"/>
  <c r="U9" i="6"/>
  <c r="V11" i="6"/>
  <c r="T11" i="6"/>
  <c r="T10" i="6"/>
  <c r="S10" i="6"/>
  <c r="I40" i="6"/>
  <c r="AB29" i="6"/>
  <c r="AB30" i="6"/>
  <c r="H41" i="6"/>
  <c r="G43" i="6"/>
  <c r="N6" i="5"/>
  <c r="AE31" i="6"/>
  <c r="W6" i="6"/>
  <c r="W4" i="6"/>
  <c r="W3" i="6"/>
  <c r="AJ4" i="6"/>
  <c r="AJ6" i="6"/>
  <c r="AJ3" i="6"/>
  <c r="AB28" i="6"/>
  <c r="F3" i="5"/>
  <c r="F4" i="5"/>
  <c r="F5" i="5"/>
  <c r="F6" i="5"/>
  <c r="F7" i="5"/>
  <c r="F9" i="5"/>
  <c r="F10" i="5"/>
  <c r="F11" i="5"/>
  <c r="F12" i="5"/>
  <c r="F13" i="5"/>
  <c r="F14" i="5"/>
  <c r="F15" i="5"/>
  <c r="F16" i="5"/>
  <c r="F17" i="5"/>
  <c r="F18" i="5"/>
  <c r="F19" i="5"/>
  <c r="F21" i="5"/>
  <c r="F22" i="5"/>
  <c r="F23" i="5"/>
  <c r="F24" i="5"/>
  <c r="F25" i="5"/>
  <c r="F26" i="5"/>
  <c r="F28" i="5"/>
  <c r="F29" i="5"/>
  <c r="F30" i="5"/>
  <c r="F31" i="5"/>
  <c r="F32" i="5"/>
  <c r="F33" i="5"/>
  <c r="F34" i="5"/>
  <c r="F35" i="5"/>
  <c r="F36" i="5"/>
  <c r="F37" i="5"/>
  <c r="F38" i="5"/>
  <c r="F2" i="5"/>
  <c r="F8" i="5"/>
  <c r="F20" i="5"/>
  <c r="F27" i="5"/>
  <c r="P24" i="20" l="1"/>
  <c r="AD23" i="20"/>
  <c r="AY23" i="20" s="1"/>
  <c r="W23" i="20"/>
  <c r="AK23" i="20" s="1"/>
  <c r="BF23" i="20" s="1"/>
  <c r="O24" i="20"/>
  <c r="AC23" i="20"/>
  <c r="AX23" i="20" s="1"/>
  <c r="V23" i="20"/>
  <c r="AJ23" i="20" s="1"/>
  <c r="BE23" i="20" s="1"/>
  <c r="M26" i="20"/>
  <c r="T25" i="20"/>
  <c r="AH25" i="20" s="1"/>
  <c r="BC25" i="20" s="1"/>
  <c r="AA25" i="20"/>
  <c r="AV25" i="20" s="1"/>
  <c r="L24" i="20"/>
  <c r="Z23" i="20"/>
  <c r="AU23" i="20" s="1"/>
  <c r="S23" i="20"/>
  <c r="AG23" i="20" s="1"/>
  <c r="BB23" i="20" s="1"/>
  <c r="N25" i="20"/>
  <c r="AB24" i="20"/>
  <c r="AW24" i="20" s="1"/>
  <c r="U24" i="20"/>
  <c r="AI24" i="20" s="1"/>
  <c r="BD24" i="20" s="1"/>
  <c r="O48" i="6"/>
  <c r="W13" i="6"/>
  <c r="P28" i="6"/>
  <c r="R28" i="6"/>
  <c r="Q28" i="6"/>
  <c r="O3" i="6"/>
  <c r="O28" i="6" s="1"/>
  <c r="W10" i="6"/>
  <c r="S7" i="6"/>
  <c r="V7" i="6" s="1"/>
  <c r="T7" i="6"/>
  <c r="W7" i="6" s="1"/>
  <c r="U7" i="6"/>
  <c r="S12" i="6"/>
  <c r="U12" i="6"/>
  <c r="T12" i="6"/>
  <c r="V12" i="6"/>
  <c r="O46" i="6"/>
  <c r="S46" i="6" s="1"/>
  <c r="R46" i="6"/>
  <c r="V46" i="6" s="1"/>
  <c r="W46" i="6" s="1"/>
  <c r="Q46" i="6"/>
  <c r="U46" i="6" s="1"/>
  <c r="P46" i="6"/>
  <c r="T46" i="6" s="1"/>
  <c r="O31" i="6"/>
  <c r="W11" i="6"/>
  <c r="R42" i="6"/>
  <c r="Q42" i="6"/>
  <c r="Q45" i="6"/>
  <c r="P45" i="6"/>
  <c r="R45" i="6"/>
  <c r="P42" i="6"/>
  <c r="R41" i="6"/>
  <c r="P41" i="6"/>
  <c r="T9" i="6"/>
  <c r="Q41" i="6"/>
  <c r="V9" i="6"/>
  <c r="W9" i="6" s="1"/>
  <c r="P44" i="6"/>
  <c r="S24" i="6"/>
  <c r="R44" i="6"/>
  <c r="Q43" i="6"/>
  <c r="P43" i="6"/>
  <c r="R43" i="6"/>
  <c r="Q44" i="6"/>
  <c r="Q40" i="6"/>
  <c r="R40" i="6"/>
  <c r="K43" i="6"/>
  <c r="L41" i="6"/>
  <c r="F2" i="4"/>
  <c r="AE30" i="6"/>
  <c r="AC30" i="6"/>
  <c r="AD30" i="6"/>
  <c r="E42" i="6"/>
  <c r="I42" i="6" s="1"/>
  <c r="I3" i="6"/>
  <c r="E3" i="8" s="1"/>
  <c r="F3" i="8" s="1"/>
  <c r="G45" i="6"/>
  <c r="AD29" i="6"/>
  <c r="AE29" i="6"/>
  <c r="I10" i="6"/>
  <c r="I11" i="6"/>
  <c r="AC29" i="6"/>
  <c r="I12" i="6"/>
  <c r="I5" i="6"/>
  <c r="E5" i="8" s="1"/>
  <c r="F5" i="8" s="1"/>
  <c r="H45" i="6"/>
  <c r="H42" i="6"/>
  <c r="H43" i="6"/>
  <c r="E44" i="6"/>
  <c r="H44" i="6"/>
  <c r="I13" i="6"/>
  <c r="F44" i="6"/>
  <c r="G40" i="6"/>
  <c r="I15" i="6"/>
  <c r="F14" i="8" s="1"/>
  <c r="G14" i="5"/>
  <c r="E14" i="4" s="1"/>
  <c r="F14" i="4"/>
  <c r="G8" i="5"/>
  <c r="E8" i="4" s="1"/>
  <c r="F8" i="4"/>
  <c r="G13" i="5"/>
  <c r="E13" i="4" s="1"/>
  <c r="F13" i="4"/>
  <c r="G25" i="5"/>
  <c r="E25" i="4" s="1"/>
  <c r="F25" i="4"/>
  <c r="G30" i="5"/>
  <c r="E30" i="4" s="1"/>
  <c r="F30" i="4"/>
  <c r="G16" i="5"/>
  <c r="E16" i="4" s="1"/>
  <c r="F16" i="4"/>
  <c r="G3" i="5"/>
  <c r="E3" i="4" s="1"/>
  <c r="F3" i="4"/>
  <c r="G24" i="5"/>
  <c r="E24" i="4" s="1"/>
  <c r="F24" i="4"/>
  <c r="G27" i="5"/>
  <c r="E27" i="4" s="1"/>
  <c r="F27" i="4"/>
  <c r="G29" i="5"/>
  <c r="E29" i="4" s="1"/>
  <c r="F29" i="4"/>
  <c r="G15" i="5"/>
  <c r="E15" i="4" s="1"/>
  <c r="F15" i="4"/>
  <c r="G20" i="5"/>
  <c r="E20" i="4" s="1"/>
  <c r="F20" i="4"/>
  <c r="G36" i="5"/>
  <c r="E36" i="4" s="1"/>
  <c r="F36" i="4"/>
  <c r="G23" i="5"/>
  <c r="E23" i="4" s="1"/>
  <c r="F23" i="4"/>
  <c r="G10" i="5"/>
  <c r="E10" i="4" s="1"/>
  <c r="F10" i="4"/>
  <c r="G12" i="5"/>
  <c r="E12" i="4" s="1"/>
  <c r="F12" i="4"/>
  <c r="G9" i="5"/>
  <c r="E9" i="4" s="1"/>
  <c r="F9" i="4"/>
  <c r="G28" i="5"/>
  <c r="E28" i="4" s="1"/>
  <c r="F28" i="4"/>
  <c r="G38" i="5"/>
  <c r="E38" i="4" s="1"/>
  <c r="F38" i="4"/>
  <c r="G37" i="5"/>
  <c r="E37" i="4" s="1"/>
  <c r="F37" i="4"/>
  <c r="G35" i="5"/>
  <c r="E35" i="4" s="1"/>
  <c r="F35" i="4"/>
  <c r="G21" i="5"/>
  <c r="E21" i="4" s="1"/>
  <c r="F21" i="4"/>
  <c r="G7" i="5"/>
  <c r="E7" i="4" s="1"/>
  <c r="F7" i="4"/>
  <c r="G26" i="5"/>
  <c r="E26" i="4" s="1"/>
  <c r="F26" i="4"/>
  <c r="G22" i="5"/>
  <c r="E22" i="4" s="1"/>
  <c r="F22" i="4"/>
  <c r="G34" i="5"/>
  <c r="E34" i="4" s="1"/>
  <c r="F34" i="4"/>
  <c r="G33" i="5"/>
  <c r="E33" i="4" s="1"/>
  <c r="F33" i="4"/>
  <c r="G19" i="5"/>
  <c r="E19" i="4" s="1"/>
  <c r="F19" i="4"/>
  <c r="G6" i="5"/>
  <c r="E6" i="4" s="1"/>
  <c r="F6" i="4"/>
  <c r="G32" i="5"/>
  <c r="E32" i="4" s="1"/>
  <c r="F32" i="4"/>
  <c r="G18" i="5"/>
  <c r="E18" i="4" s="1"/>
  <c r="F18" i="4"/>
  <c r="G5" i="5"/>
  <c r="E5" i="4" s="1"/>
  <c r="F5" i="4"/>
  <c r="G11" i="5"/>
  <c r="E11" i="4" s="1"/>
  <c r="F11" i="4"/>
  <c r="G31" i="5"/>
  <c r="E31" i="4" s="1"/>
  <c r="F31" i="4"/>
  <c r="G17" i="5"/>
  <c r="E17" i="4" s="1"/>
  <c r="F17" i="4"/>
  <c r="G4" i="5"/>
  <c r="E4" i="4" s="1"/>
  <c r="F4" i="4"/>
  <c r="F43" i="6"/>
  <c r="E43" i="6"/>
  <c r="F45" i="6"/>
  <c r="J45" i="6" s="1"/>
  <c r="K29" i="6"/>
  <c r="G41" i="6"/>
  <c r="G44" i="6"/>
  <c r="E45" i="6"/>
  <c r="J29" i="6"/>
  <c r="F41" i="6"/>
  <c r="J41" i="6" s="1"/>
  <c r="K30" i="6"/>
  <c r="G42" i="6"/>
  <c r="J30" i="6"/>
  <c r="F42" i="6"/>
  <c r="J42" i="6" s="1"/>
  <c r="H40" i="6"/>
  <c r="F40" i="6"/>
  <c r="J40" i="6" s="1"/>
  <c r="I41" i="6"/>
  <c r="AE33" i="6"/>
  <c r="L30" i="6"/>
  <c r="L29" i="6"/>
  <c r="AD33" i="6"/>
  <c r="I18" i="6"/>
  <c r="I4" i="6"/>
  <c r="E4" i="8" s="1"/>
  <c r="F4" i="8" s="1"/>
  <c r="I8" i="6"/>
  <c r="E8" i="8" s="1"/>
  <c r="F8" i="8" s="1"/>
  <c r="I7" i="6"/>
  <c r="E7" i="8" s="1"/>
  <c r="F7" i="8" s="1"/>
  <c r="AD31" i="6"/>
  <c r="AC33" i="6"/>
  <c r="AC31" i="6"/>
  <c r="I16" i="6"/>
  <c r="I9" i="6"/>
  <c r="I32" i="6"/>
  <c r="I17" i="6"/>
  <c r="I6" i="6"/>
  <c r="E6" i="8" s="1"/>
  <c r="F6" i="8" s="1"/>
  <c r="I35" i="6"/>
  <c r="G2" i="5"/>
  <c r="E2" i="4" s="1"/>
  <c r="AB33" i="6"/>
  <c r="AB31" i="6"/>
  <c r="I30" i="6"/>
  <c r="I29" i="6"/>
  <c r="I33" i="6"/>
  <c r="I34" i="6"/>
  <c r="M40" i="6" l="1"/>
  <c r="O40" i="6"/>
  <c r="M27" i="20"/>
  <c r="T26" i="20"/>
  <c r="AH26" i="20" s="1"/>
  <c r="BC26" i="20" s="1"/>
  <c r="AA26" i="20"/>
  <c r="AV26" i="20" s="1"/>
  <c r="O25" i="20"/>
  <c r="AC24" i="20"/>
  <c r="AX24" i="20" s="1"/>
  <c r="V24" i="20"/>
  <c r="AJ24" i="20" s="1"/>
  <c r="BE24" i="20" s="1"/>
  <c r="N26" i="20"/>
  <c r="U25" i="20"/>
  <c r="AI25" i="20" s="1"/>
  <c r="BD25" i="20" s="1"/>
  <c r="AB25" i="20"/>
  <c r="AW25" i="20" s="1"/>
  <c r="L26" i="20"/>
  <c r="Z24" i="20"/>
  <c r="AU24" i="20" s="1"/>
  <c r="S24" i="20"/>
  <c r="AG24" i="20" s="1"/>
  <c r="BB24" i="20" s="1"/>
  <c r="P25" i="20"/>
  <c r="W24" i="20"/>
  <c r="AK24" i="20" s="1"/>
  <c r="BF24" i="20" s="1"/>
  <c r="AD24" i="20"/>
  <c r="AY24" i="20" s="1"/>
  <c r="AR11" i="6"/>
  <c r="AW11" i="6" s="1"/>
  <c r="E13" i="8"/>
  <c r="F13" i="8" s="1"/>
  <c r="E9" i="8"/>
  <c r="F9" i="8" s="1"/>
  <c r="I24" i="6"/>
  <c r="AR9" i="6"/>
  <c r="AW9" i="6" s="1"/>
  <c r="AR13" i="6"/>
  <c r="AW13" i="6" s="1"/>
  <c r="E12" i="8"/>
  <c r="F12" i="8" s="1"/>
  <c r="E10" i="8"/>
  <c r="F10" i="8" s="1"/>
  <c r="AR10" i="6"/>
  <c r="AW10" i="6" s="1"/>
  <c r="AR12" i="6"/>
  <c r="AW12" i="6" s="1"/>
  <c r="E11" i="8"/>
  <c r="F11" i="8" s="1"/>
  <c r="N41" i="6"/>
  <c r="M41" i="6"/>
  <c r="E16" i="8"/>
  <c r="F16" i="8" s="1"/>
  <c r="W12" i="6"/>
  <c r="O43" i="6"/>
  <c r="J43" i="6"/>
  <c r="I43" i="6"/>
  <c r="I44" i="6"/>
  <c r="J44" i="6"/>
  <c r="K41" i="6"/>
  <c r="K45" i="6"/>
  <c r="M45" i="6"/>
  <c r="L43" i="6"/>
  <c r="N43" i="6"/>
  <c r="K42" i="6"/>
  <c r="M42" i="6"/>
  <c r="L42" i="6"/>
  <c r="N42" i="6"/>
  <c r="L45" i="6"/>
  <c r="N45" i="6"/>
  <c r="K44" i="6"/>
  <c r="M44" i="6"/>
  <c r="M43" i="6"/>
  <c r="L44" i="6"/>
  <c r="N44" i="6"/>
  <c r="K40" i="6"/>
  <c r="L40" i="6"/>
  <c r="N40" i="6"/>
  <c r="R30" i="6"/>
  <c r="Q29" i="6"/>
  <c r="R29" i="6"/>
  <c r="P29" i="6"/>
  <c r="O41" i="6"/>
  <c r="P30" i="6"/>
  <c r="O30" i="6"/>
  <c r="R34" i="6"/>
  <c r="P34" i="6"/>
  <c r="Q34" i="6"/>
  <c r="I45" i="6"/>
  <c r="Y31" i="6"/>
  <c r="AG31" i="6" s="1"/>
  <c r="P31" i="6"/>
  <c r="Q31" i="6"/>
  <c r="R31" i="6"/>
  <c r="Y33" i="6"/>
  <c r="AG33" i="6" s="1"/>
  <c r="AA33" i="6"/>
  <c r="Z33" i="6"/>
  <c r="AH33" i="6" s="1"/>
  <c r="Z31" i="6"/>
  <c r="AH31" i="6" s="1"/>
  <c r="AA31" i="6"/>
  <c r="AI31" i="6" s="1"/>
  <c r="X31" i="6"/>
  <c r="AF31" i="6" s="1"/>
  <c r="Z30" i="6"/>
  <c r="AH30" i="6" s="1"/>
  <c r="X30" i="6"/>
  <c r="AF30" i="6" s="1"/>
  <c r="Y30" i="6"/>
  <c r="AG30" i="6" s="1"/>
  <c r="AA30" i="6"/>
  <c r="AI30" i="6" s="1"/>
  <c r="X29" i="6"/>
  <c r="AF29" i="6" s="1"/>
  <c r="AA29" i="6"/>
  <c r="AI29" i="6" s="1"/>
  <c r="Z29" i="6"/>
  <c r="AH29" i="6" s="1"/>
  <c r="Y29" i="6"/>
  <c r="AG29" i="6" s="1"/>
  <c r="X28" i="6"/>
  <c r="AF28" i="6" s="1"/>
  <c r="AA28" i="6"/>
  <c r="AI28" i="6" s="1"/>
  <c r="Z28" i="6"/>
  <c r="AH28" i="6" s="1"/>
  <c r="Y28" i="6"/>
  <c r="AG28" i="6" s="1"/>
  <c r="O34" i="6"/>
  <c r="X33" i="6"/>
  <c r="L27" i="20" l="1"/>
  <c r="Z26" i="20"/>
  <c r="AU26" i="20" s="1"/>
  <c r="AG26" i="20"/>
  <c r="BB26" i="20" s="1"/>
  <c r="P26" i="20"/>
  <c r="AD25" i="20"/>
  <c r="AY25" i="20" s="1"/>
  <c r="W25" i="20"/>
  <c r="AK25" i="20" s="1"/>
  <c r="BF25" i="20" s="1"/>
  <c r="S25" i="20"/>
  <c r="AG25" i="20" s="1"/>
  <c r="BB25" i="20" s="1"/>
  <c r="Z25" i="20"/>
  <c r="AU25" i="20" s="1"/>
  <c r="N27" i="20"/>
  <c r="U26" i="20"/>
  <c r="AI26" i="20" s="1"/>
  <c r="BD26" i="20" s="1"/>
  <c r="AB26" i="20"/>
  <c r="AW26" i="20" s="1"/>
  <c r="O26" i="20"/>
  <c r="AC25" i="20"/>
  <c r="AX25" i="20" s="1"/>
  <c r="V25" i="20"/>
  <c r="AJ25" i="20" s="1"/>
  <c r="BE25" i="20" s="1"/>
  <c r="M28" i="20"/>
  <c r="AA27" i="20"/>
  <c r="AV27" i="20" s="1"/>
  <c r="T27" i="20"/>
  <c r="AH27" i="20" s="1"/>
  <c r="BC27" i="20" s="1"/>
  <c r="P33" i="6"/>
  <c r="T33" i="6" s="1"/>
  <c r="O45" i="6"/>
  <c r="O33" i="6"/>
  <c r="S33" i="6" s="1"/>
  <c r="R33" i="6"/>
  <c r="V33" i="6" s="1"/>
  <c r="Q33" i="6"/>
  <c r="U33" i="6" s="1"/>
  <c r="Q35" i="6"/>
  <c r="R35" i="6"/>
  <c r="O35" i="6"/>
  <c r="P35" i="6"/>
  <c r="O42" i="6"/>
  <c r="O29" i="6"/>
  <c r="Q30" i="6"/>
  <c r="R32" i="6"/>
  <c r="V32" i="6" s="1"/>
  <c r="P32" i="6"/>
  <c r="T32" i="6" s="1"/>
  <c r="O32" i="6"/>
  <c r="S32" i="6" s="1"/>
  <c r="O44" i="6"/>
  <c r="Q32" i="6"/>
  <c r="U32" i="6" s="1"/>
  <c r="AI33" i="6"/>
  <c r="AJ33" i="6" s="1"/>
  <c r="AJ30" i="6"/>
  <c r="AJ29" i="6"/>
  <c r="AJ31" i="6"/>
  <c r="AF33" i="6"/>
  <c r="AJ28" i="6"/>
  <c r="N28" i="20" l="1"/>
  <c r="AB27" i="20"/>
  <c r="AW27" i="20" s="1"/>
  <c r="U27" i="20"/>
  <c r="AI27" i="20" s="1"/>
  <c r="BD27" i="20" s="1"/>
  <c r="M29" i="20"/>
  <c r="AA28" i="20"/>
  <c r="AV28" i="20" s="1"/>
  <c r="T28" i="20"/>
  <c r="AH28" i="20" s="1"/>
  <c r="BC28" i="20" s="1"/>
  <c r="O27" i="20"/>
  <c r="V26" i="20"/>
  <c r="AJ26" i="20" s="1"/>
  <c r="BE26" i="20" s="1"/>
  <c r="AC26" i="20"/>
  <c r="AX26" i="20" s="1"/>
  <c r="P27" i="20"/>
  <c r="W26" i="20"/>
  <c r="AK26" i="20" s="1"/>
  <c r="BF26" i="20" s="1"/>
  <c r="AD26" i="20"/>
  <c r="AY26" i="20" s="1"/>
  <c r="L28" i="20"/>
  <c r="Z27" i="20"/>
  <c r="AU27" i="20" s="1"/>
  <c r="S27" i="20"/>
  <c r="AG27" i="20" s="1"/>
  <c r="BB27" i="20" s="1"/>
  <c r="W32" i="6"/>
  <c r="W33" i="6"/>
  <c r="M30" i="20" l="1"/>
  <c r="AA29" i="20"/>
  <c r="AV29" i="20" s="1"/>
  <c r="T29" i="20"/>
  <c r="AH29" i="20" s="1"/>
  <c r="BC29" i="20" s="1"/>
  <c r="L29" i="20"/>
  <c r="Z28" i="20"/>
  <c r="AU28" i="20" s="1"/>
  <c r="S28" i="20"/>
  <c r="AG28" i="20" s="1"/>
  <c r="BB28" i="20" s="1"/>
  <c r="P28" i="20"/>
  <c r="W27" i="20"/>
  <c r="AK27" i="20" s="1"/>
  <c r="BF27" i="20" s="1"/>
  <c r="AD27" i="20"/>
  <c r="AY27" i="20" s="1"/>
  <c r="O28" i="20"/>
  <c r="AC27" i="20"/>
  <c r="AX27" i="20" s="1"/>
  <c r="V27" i="20"/>
  <c r="AJ27" i="20" s="1"/>
  <c r="BE27" i="20" s="1"/>
  <c r="N29" i="20"/>
  <c r="AB28" i="20"/>
  <c r="AW28" i="20" s="1"/>
  <c r="U28" i="20"/>
  <c r="AI28" i="20" s="1"/>
  <c r="BD28" i="20" s="1"/>
  <c r="AC32" i="6"/>
  <c r="AB32" i="6"/>
  <c r="AE32" i="6"/>
  <c r="AD32" i="6"/>
  <c r="N30" i="20" l="1"/>
  <c r="AB29" i="20"/>
  <c r="AW29" i="20" s="1"/>
  <c r="U29" i="20"/>
  <c r="AI29" i="20" s="1"/>
  <c r="BD29" i="20" s="1"/>
  <c r="O29" i="20"/>
  <c r="AC28" i="20"/>
  <c r="AX28" i="20" s="1"/>
  <c r="V28" i="20"/>
  <c r="AJ28" i="20" s="1"/>
  <c r="BE28" i="20" s="1"/>
  <c r="P29" i="20"/>
  <c r="W28" i="20"/>
  <c r="AK28" i="20" s="1"/>
  <c r="BF28" i="20" s="1"/>
  <c r="AD28" i="20"/>
  <c r="AY28" i="20" s="1"/>
  <c r="M31" i="20"/>
  <c r="AA30" i="20"/>
  <c r="AV30" i="20" s="1"/>
  <c r="T30" i="20"/>
  <c r="AH30" i="20" s="1"/>
  <c r="BC30" i="20" s="1"/>
  <c r="L30" i="20"/>
  <c r="S29" i="20"/>
  <c r="AG29" i="20" s="1"/>
  <c r="BB29" i="20" s="1"/>
  <c r="Z29" i="20"/>
  <c r="AU29" i="20" s="1"/>
  <c r="AI32" i="6"/>
  <c r="AG32" i="6"/>
  <c r="AH32" i="6"/>
  <c r="AF32" i="6"/>
  <c r="P30" i="20" l="1"/>
  <c r="AD29" i="20"/>
  <c r="AY29" i="20" s="1"/>
  <c r="W29" i="20"/>
  <c r="AK29" i="20" s="1"/>
  <c r="BF29" i="20" s="1"/>
  <c r="L31" i="20"/>
  <c r="Z30" i="20"/>
  <c r="AU30" i="20" s="1"/>
  <c r="S30" i="20"/>
  <c r="AG30" i="20" s="1"/>
  <c r="BB30" i="20" s="1"/>
  <c r="M32" i="20"/>
  <c r="T31" i="20"/>
  <c r="AH31" i="20" s="1"/>
  <c r="BC31" i="20" s="1"/>
  <c r="AA31" i="20"/>
  <c r="AV31" i="20" s="1"/>
  <c r="O30" i="20"/>
  <c r="AC29" i="20"/>
  <c r="AX29" i="20" s="1"/>
  <c r="V29" i="20"/>
  <c r="AJ29" i="20" s="1"/>
  <c r="BE29" i="20" s="1"/>
  <c r="N31" i="20"/>
  <c r="AB30" i="20"/>
  <c r="AW30" i="20" s="1"/>
  <c r="U30" i="20"/>
  <c r="AI30" i="20" s="1"/>
  <c r="BD30" i="20" s="1"/>
  <c r="AJ32" i="6"/>
  <c r="N32" i="20" l="1"/>
  <c r="U31" i="20"/>
  <c r="AI31" i="20" s="1"/>
  <c r="BD31" i="20" s="1"/>
  <c r="AB31" i="20"/>
  <c r="AW31" i="20" s="1"/>
  <c r="L32" i="20"/>
  <c r="S31" i="20"/>
  <c r="AG31" i="20" s="1"/>
  <c r="BB31" i="20" s="1"/>
  <c r="Z31" i="20"/>
  <c r="AU31" i="20" s="1"/>
  <c r="M33" i="20"/>
  <c r="T32" i="20"/>
  <c r="AH32" i="20" s="1"/>
  <c r="BC32" i="20" s="1"/>
  <c r="AA32" i="20"/>
  <c r="AV32" i="20" s="1"/>
  <c r="P31" i="20"/>
  <c r="W30" i="20"/>
  <c r="AK30" i="20" s="1"/>
  <c r="BF30" i="20" s="1"/>
  <c r="AD30" i="20"/>
  <c r="AY30" i="20" s="1"/>
  <c r="O31" i="20"/>
  <c r="V30" i="20"/>
  <c r="AJ30" i="20" s="1"/>
  <c r="BE30" i="20" s="1"/>
  <c r="AC30" i="20"/>
  <c r="AX30" i="20" s="1"/>
  <c r="O32" i="20" l="1"/>
  <c r="AC31" i="20"/>
  <c r="AX31" i="20" s="1"/>
  <c r="V31" i="20"/>
  <c r="AJ31" i="20" s="1"/>
  <c r="BE31" i="20" s="1"/>
  <c r="P32" i="20"/>
  <c r="AD31" i="20"/>
  <c r="AY31" i="20" s="1"/>
  <c r="W31" i="20"/>
  <c r="AK31" i="20" s="1"/>
  <c r="BF31" i="20" s="1"/>
  <c r="M34" i="20"/>
  <c r="T33" i="20"/>
  <c r="AH33" i="20" s="1"/>
  <c r="BC33" i="20" s="1"/>
  <c r="AA33" i="20"/>
  <c r="AV33" i="20" s="1"/>
  <c r="N33" i="20"/>
  <c r="AB32" i="20"/>
  <c r="AW32" i="20" s="1"/>
  <c r="U32" i="20"/>
  <c r="AI32" i="20" s="1"/>
  <c r="BD32" i="20" s="1"/>
  <c r="L33" i="20"/>
  <c r="Z32" i="20"/>
  <c r="AU32" i="20" s="1"/>
  <c r="S32" i="20"/>
  <c r="AG32" i="20" s="1"/>
  <c r="BB32" i="20" s="1"/>
  <c r="O33" i="20" l="1"/>
  <c r="AC32" i="20"/>
  <c r="AX32" i="20" s="1"/>
  <c r="V32" i="20"/>
  <c r="AJ32" i="20" s="1"/>
  <c r="BE32" i="20" s="1"/>
  <c r="L34" i="20"/>
  <c r="Z33" i="20"/>
  <c r="AU33" i="20" s="1"/>
  <c r="S33" i="20"/>
  <c r="AG33" i="20" s="1"/>
  <c r="BB33" i="20" s="1"/>
  <c r="N34" i="20"/>
  <c r="U33" i="20"/>
  <c r="AI33" i="20" s="1"/>
  <c r="BD33" i="20" s="1"/>
  <c r="AB33" i="20"/>
  <c r="AW33" i="20" s="1"/>
  <c r="M35" i="20"/>
  <c r="T34" i="20"/>
  <c r="AH34" i="20" s="1"/>
  <c r="BC34" i="20" s="1"/>
  <c r="AA34" i="20"/>
  <c r="AV34" i="20" s="1"/>
  <c r="P33" i="20"/>
  <c r="AD32" i="20"/>
  <c r="AY32" i="20" s="1"/>
  <c r="W32" i="20"/>
  <c r="AK32" i="20" s="1"/>
  <c r="BF32" i="20" s="1"/>
  <c r="L35" i="20" l="1"/>
  <c r="Z34" i="20"/>
  <c r="AU34" i="20" s="1"/>
  <c r="S34" i="20"/>
  <c r="AG34" i="20" s="1"/>
  <c r="BB34" i="20" s="1"/>
  <c r="P34" i="20"/>
  <c r="W33" i="20"/>
  <c r="AK33" i="20" s="1"/>
  <c r="BF33" i="20" s="1"/>
  <c r="AD33" i="20"/>
  <c r="AY33" i="20" s="1"/>
  <c r="M36" i="20"/>
  <c r="T35" i="20"/>
  <c r="AH35" i="20" s="1"/>
  <c r="BC35" i="20" s="1"/>
  <c r="AA35" i="20"/>
  <c r="AV35" i="20" s="1"/>
  <c r="N35" i="20"/>
  <c r="U34" i="20"/>
  <c r="AI34" i="20" s="1"/>
  <c r="BD34" i="20" s="1"/>
  <c r="AB34" i="20"/>
  <c r="AW34" i="20" s="1"/>
  <c r="O34" i="20"/>
  <c r="AC33" i="20"/>
  <c r="AX33" i="20" s="1"/>
  <c r="V33" i="20"/>
  <c r="AJ33" i="20" s="1"/>
  <c r="BE33" i="20" s="1"/>
  <c r="O35" i="20" l="1"/>
  <c r="AC34" i="20"/>
  <c r="AX34" i="20" s="1"/>
  <c r="V34" i="20"/>
  <c r="AJ34" i="20" s="1"/>
  <c r="BE34" i="20" s="1"/>
  <c r="M37" i="20"/>
  <c r="AA36" i="20"/>
  <c r="AV36" i="20" s="1"/>
  <c r="T36" i="20"/>
  <c r="AH36" i="20" s="1"/>
  <c r="BC36" i="20" s="1"/>
  <c r="P35" i="20"/>
  <c r="AD34" i="20"/>
  <c r="AY34" i="20" s="1"/>
  <c r="W34" i="20"/>
  <c r="AK34" i="20" s="1"/>
  <c r="BF34" i="20" s="1"/>
  <c r="N36" i="20"/>
  <c r="U35" i="20"/>
  <c r="AI35" i="20" s="1"/>
  <c r="BD35" i="20" s="1"/>
  <c r="AB35" i="20"/>
  <c r="AW35" i="20" s="1"/>
  <c r="L36" i="20"/>
  <c r="S35" i="20"/>
  <c r="AG35" i="20" s="1"/>
  <c r="BB35" i="20" s="1"/>
  <c r="Z35" i="20"/>
  <c r="AU35" i="20" s="1"/>
  <c r="N37" i="20" l="1"/>
  <c r="U36" i="20"/>
  <c r="AI36" i="20" s="1"/>
  <c r="BD36" i="20" s="1"/>
  <c r="AB36" i="20"/>
  <c r="AW36" i="20" s="1"/>
  <c r="L37" i="20"/>
  <c r="Z36" i="20"/>
  <c r="AU36" i="20" s="1"/>
  <c r="S36" i="20"/>
  <c r="AG36" i="20" s="1"/>
  <c r="BB36" i="20" s="1"/>
  <c r="P36" i="20"/>
  <c r="AD35" i="20"/>
  <c r="AY35" i="20" s="1"/>
  <c r="W35" i="20"/>
  <c r="AK35" i="20" s="1"/>
  <c r="BF35" i="20" s="1"/>
  <c r="M38" i="20"/>
  <c r="AA37" i="20"/>
  <c r="AV37" i="20" s="1"/>
  <c r="T37" i="20"/>
  <c r="AH37" i="20" s="1"/>
  <c r="BC37" i="20" s="1"/>
  <c r="O36" i="20"/>
  <c r="AC35" i="20"/>
  <c r="AX35" i="20" s="1"/>
  <c r="V35" i="20"/>
  <c r="AJ35" i="20" s="1"/>
  <c r="BE35" i="20" s="1"/>
  <c r="O37" i="20" l="1"/>
  <c r="V36" i="20"/>
  <c r="AJ36" i="20" s="1"/>
  <c r="BE36" i="20" s="1"/>
  <c r="AC36" i="20"/>
  <c r="AX36" i="20" s="1"/>
  <c r="M39" i="20"/>
  <c r="AA38" i="20"/>
  <c r="AV38" i="20" s="1"/>
  <c r="T38" i="20"/>
  <c r="AH38" i="20" s="1"/>
  <c r="BC38" i="20" s="1"/>
  <c r="P37" i="20"/>
  <c r="AD36" i="20"/>
  <c r="AY36" i="20" s="1"/>
  <c r="W36" i="20"/>
  <c r="AK36" i="20" s="1"/>
  <c r="BF36" i="20" s="1"/>
  <c r="L38" i="20"/>
  <c r="Z37" i="20"/>
  <c r="AU37" i="20" s="1"/>
  <c r="S37" i="20"/>
  <c r="AG37" i="20" s="1"/>
  <c r="BB37" i="20" s="1"/>
  <c r="N38" i="20"/>
  <c r="AB37" i="20"/>
  <c r="AW37" i="20" s="1"/>
  <c r="U37" i="20"/>
  <c r="AI37" i="20" s="1"/>
  <c r="BD37" i="20" s="1"/>
  <c r="N39" i="20" l="1"/>
  <c r="AB38" i="20"/>
  <c r="AW38" i="20" s="1"/>
  <c r="U38" i="20"/>
  <c r="AI38" i="20" s="1"/>
  <c r="BD38" i="20" s="1"/>
  <c r="L39" i="20"/>
  <c r="Z38" i="20"/>
  <c r="AU38" i="20" s="1"/>
  <c r="S38" i="20"/>
  <c r="AG38" i="20" s="1"/>
  <c r="BB38" i="20" s="1"/>
  <c r="P38" i="20"/>
  <c r="W37" i="20"/>
  <c r="AK37" i="20" s="1"/>
  <c r="BF37" i="20" s="1"/>
  <c r="AD37" i="20"/>
  <c r="AY37" i="20" s="1"/>
  <c r="M40" i="20"/>
  <c r="AA39" i="20"/>
  <c r="AV39" i="20" s="1"/>
  <c r="T39" i="20"/>
  <c r="AH39" i="20" s="1"/>
  <c r="BC39" i="20" s="1"/>
  <c r="O38" i="20"/>
  <c r="V37" i="20"/>
  <c r="AJ37" i="20" s="1"/>
  <c r="BE37" i="20" s="1"/>
  <c r="AC37" i="20"/>
  <c r="AX37" i="20" s="1"/>
  <c r="O39" i="20" l="1"/>
  <c r="AC38" i="20"/>
  <c r="AX38" i="20" s="1"/>
  <c r="V38" i="20"/>
  <c r="AJ38" i="20" s="1"/>
  <c r="BE38" i="20" s="1"/>
  <c r="AA40" i="20"/>
  <c r="AV40" i="20" s="1"/>
  <c r="T40" i="20"/>
  <c r="AH40" i="20" s="1"/>
  <c r="BC40" i="20" s="1"/>
  <c r="P39" i="20"/>
  <c r="AD38" i="20"/>
  <c r="AY38" i="20" s="1"/>
  <c r="W38" i="20"/>
  <c r="AK38" i="20" s="1"/>
  <c r="BF38" i="20" s="1"/>
  <c r="L40" i="20"/>
  <c r="Z39" i="20"/>
  <c r="AU39" i="20" s="1"/>
  <c r="S39" i="20"/>
  <c r="AG39" i="20" s="1"/>
  <c r="BB39" i="20" s="1"/>
  <c r="N40" i="20"/>
  <c r="U39" i="20"/>
  <c r="AI39" i="20" s="1"/>
  <c r="BD39" i="20" s="1"/>
  <c r="AB39" i="20"/>
  <c r="AW39" i="20" s="1"/>
  <c r="BC45" i="20" l="1"/>
  <c r="AV45" i="20"/>
  <c r="BC46" i="20"/>
  <c r="AV46" i="20"/>
  <c r="U40" i="20"/>
  <c r="AI40" i="20" s="1"/>
  <c r="BD40" i="20" s="1"/>
  <c r="AB40" i="20"/>
  <c r="AW40" i="20" s="1"/>
  <c r="Z40" i="20"/>
  <c r="AU40" i="20" s="1"/>
  <c r="S40" i="20"/>
  <c r="AG40" i="20" s="1"/>
  <c r="BB40" i="20" s="1"/>
  <c r="P40" i="20"/>
  <c r="W39" i="20"/>
  <c r="AK39" i="20" s="1"/>
  <c r="BF39" i="20" s="1"/>
  <c r="AD39" i="20"/>
  <c r="AY39" i="20" s="1"/>
  <c r="BC42" i="20"/>
  <c r="BC43" i="20"/>
  <c r="AV42" i="20"/>
  <c r="AV43" i="20"/>
  <c r="O40" i="20"/>
  <c r="V39" i="20"/>
  <c r="AJ39" i="20" s="1"/>
  <c r="BE39" i="20" s="1"/>
  <c r="AC39" i="20"/>
  <c r="AX39" i="20" s="1"/>
  <c r="AU42" i="20" l="1"/>
  <c r="AU45" i="20"/>
  <c r="AU43" i="20"/>
  <c r="AW45" i="20"/>
  <c r="AU46" i="20"/>
  <c r="AW46" i="20"/>
  <c r="BD45" i="20"/>
  <c r="BD46" i="20"/>
  <c r="BB45" i="20"/>
  <c r="BB46" i="20"/>
  <c r="AC40" i="20"/>
  <c r="AX40" i="20" s="1"/>
  <c r="V40" i="20"/>
  <c r="AJ40" i="20" s="1"/>
  <c r="BE40" i="20" s="1"/>
  <c r="W40" i="20"/>
  <c r="AK40" i="20" s="1"/>
  <c r="BF40" i="20" s="1"/>
  <c r="AD40" i="20"/>
  <c r="AY40" i="20" s="1"/>
  <c r="BB42" i="20"/>
  <c r="BB43" i="20"/>
  <c r="AW42" i="20"/>
  <c r="AW43" i="20"/>
  <c r="BD42" i="20"/>
  <c r="BD43" i="20"/>
  <c r="BE45" i="20" l="1"/>
  <c r="BF45" i="20"/>
  <c r="AX45" i="20"/>
  <c r="AX46" i="20"/>
  <c r="BF46" i="20"/>
  <c r="BE46" i="20"/>
  <c r="AY45" i="20"/>
  <c r="AY46" i="20"/>
  <c r="BF42" i="20"/>
  <c r="BF43" i="20"/>
  <c r="AY42" i="20"/>
  <c r="AY43" i="20"/>
  <c r="BE42" i="20"/>
  <c r="BE43" i="20"/>
  <c r="AX42" i="20"/>
  <c r="AX43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<sst xmlns="http://schemas.openxmlformats.org/spreadsheetml/2006/main" count="1549" uniqueCount="295">
  <si>
    <t>g</t>
  </si>
  <si>
    <t>Period</t>
  </si>
  <si>
    <t>Observed</t>
  </si>
  <si>
    <t>Estimated</t>
  </si>
  <si>
    <t>Base</t>
  </si>
  <si>
    <t>Residual</t>
  </si>
  <si>
    <t>APE</t>
  </si>
  <si>
    <t>Model Stat</t>
  </si>
  <si>
    <t>Year</t>
  </si>
  <si>
    <t>RSQ</t>
  </si>
  <si>
    <t>Total RSQ</t>
  </si>
  <si>
    <t>FY_2022</t>
  </si>
  <si>
    <t>FY_2021</t>
  </si>
  <si>
    <t>Adj Rsq</t>
  </si>
  <si>
    <t>Mape</t>
  </si>
  <si>
    <t>FY_2023</t>
  </si>
  <si>
    <t>DW</t>
  </si>
  <si>
    <t>FY_2024</t>
  </si>
  <si>
    <t>Due to 23 vs 22 (12 Months)</t>
  </si>
  <si>
    <t>Due to 24 vs 23 (12 Months)</t>
  </si>
  <si>
    <t>FY_2025</t>
  </si>
  <si>
    <t>Volume Contribution (in KG)</t>
  </si>
  <si>
    <t>Contribution %</t>
  </si>
  <si>
    <t>Due-to</t>
  </si>
  <si>
    <t>Revenue (in CLP)</t>
  </si>
  <si>
    <t>ROI</t>
  </si>
  <si>
    <t>Spends</t>
  </si>
  <si>
    <t>Activity
(Impressions, Clicks, GRPs, Search Index)</t>
  </si>
  <si>
    <t>CPRP
(Cost per Impressions/Click/GRP)</t>
  </si>
  <si>
    <t>Variable Name</t>
  </si>
  <si>
    <t>Type</t>
  </si>
  <si>
    <t>Media Type</t>
  </si>
  <si>
    <t>Total</t>
  </si>
  <si>
    <t>FY23 vs FY22 (12 Months)</t>
  </si>
  <si>
    <t>FY24 vs FY23 (12 Months)</t>
  </si>
  <si>
    <t>Change</t>
  </si>
  <si>
    <t>Twinings_Price</t>
  </si>
  <si>
    <t>Twinings' Price</t>
  </si>
  <si>
    <t>Price</t>
  </si>
  <si>
    <t>Competitor_Price</t>
  </si>
  <si>
    <t>Competitors' Price</t>
  </si>
  <si>
    <t>Twinings_WD</t>
  </si>
  <si>
    <t>Twinings' Distribution</t>
  </si>
  <si>
    <t>Distribution</t>
  </si>
  <si>
    <t>Competitor_WD</t>
  </si>
  <si>
    <t>Competitors' Distribution</t>
  </si>
  <si>
    <t>inversion</t>
  </si>
  <si>
    <t>Contribucion</t>
  </si>
  <si>
    <t>Discounts_5%_Min</t>
  </si>
  <si>
    <t>Discount</t>
  </si>
  <si>
    <t>YouTube_FB_Impressions</t>
  </si>
  <si>
    <t>YouTube_FB_Spends</t>
  </si>
  <si>
    <t>Media</t>
  </si>
  <si>
    <t>Digital</t>
  </si>
  <si>
    <t>Google_Search_Clicks</t>
  </si>
  <si>
    <t>Google_Search_Spends</t>
  </si>
  <si>
    <t>Display_Impressions</t>
  </si>
  <si>
    <t>Display_Spends</t>
  </si>
  <si>
    <t>OOH_Screen_GRPs</t>
  </si>
  <si>
    <t>OOH_Screen_Spends</t>
  </si>
  <si>
    <t>OOH</t>
  </si>
  <si>
    <t>OOH_Retail_GRPs</t>
  </si>
  <si>
    <t>OOH_Retail_Spends</t>
  </si>
  <si>
    <t>Competitor_GRPs</t>
  </si>
  <si>
    <t>Competitor_Spends</t>
  </si>
  <si>
    <t>Competitors Media</t>
  </si>
  <si>
    <t>Comp TV</t>
  </si>
  <si>
    <t>Inflation</t>
  </si>
  <si>
    <t>External Factors</t>
  </si>
  <si>
    <t>External</t>
  </si>
  <si>
    <t>Temperature</t>
  </si>
  <si>
    <t>Covid_Index</t>
  </si>
  <si>
    <t>Winter_Solstice</t>
  </si>
  <si>
    <t>Independence_Month</t>
  </si>
  <si>
    <t>*Consists of Dilmah, Lipton, Supremo, Te Club Prices</t>
  </si>
  <si>
    <t>**Consists of Dilmah and Te Club WD</t>
  </si>
  <si>
    <t>***Consists of TV GRPs of Supremo, Te Club, and Lipton</t>
  </si>
  <si>
    <t>Comp Media</t>
  </si>
  <si>
    <t>Revenue Contribution</t>
  </si>
  <si>
    <t>2023 Campaign</t>
  </si>
  <si>
    <t>2024 Campaign</t>
  </si>
  <si>
    <t>Contribution $</t>
  </si>
  <si>
    <t>2023 contribution</t>
  </si>
  <si>
    <t>Spend</t>
  </si>
  <si>
    <t>Total volume</t>
  </si>
  <si>
    <t>Modelo</t>
  </si>
  <si>
    <t>Price Own</t>
  </si>
  <si>
    <t>Price Competitors</t>
  </si>
  <si>
    <t>Distribution Comp</t>
  </si>
  <si>
    <t>Discounts</t>
  </si>
  <si>
    <t>Media YouTube FB</t>
  </si>
  <si>
    <t>Media Search</t>
  </si>
  <si>
    <t>Media OOH Screen</t>
  </si>
  <si>
    <t>Media OOH Retail</t>
  </si>
  <si>
    <t>Media Display</t>
  </si>
  <si>
    <t>NA</t>
  </si>
  <si>
    <t>Comp Media Competitor</t>
  </si>
  <si>
    <t>External Organic Search</t>
  </si>
  <si>
    <t>External Others</t>
  </si>
  <si>
    <t>Variable</t>
  </si>
  <si>
    <t>Variable 2</t>
  </si>
  <si>
    <t>Variable 3</t>
  </si>
  <si>
    <t>FY'22</t>
  </si>
  <si>
    <t>FY'23</t>
  </si>
  <si>
    <t>FY'24</t>
  </si>
  <si>
    <t>Twinings Price</t>
  </si>
  <si>
    <t>Row Labels</t>
  </si>
  <si>
    <t>Sum of Total</t>
  </si>
  <si>
    <t>Competitor Price</t>
  </si>
  <si>
    <t>Competitors</t>
  </si>
  <si>
    <t>Twinings WD</t>
  </si>
  <si>
    <t>Competitor WD</t>
  </si>
  <si>
    <t>YouTube + Facebook</t>
  </si>
  <si>
    <t>Paid Search</t>
  </si>
  <si>
    <t>Online Banners</t>
  </si>
  <si>
    <t>OOH Large Format</t>
  </si>
  <si>
    <t>Grand Total</t>
  </si>
  <si>
    <t>OOH Retail Media</t>
  </si>
  <si>
    <t>Competitor Media</t>
  </si>
  <si>
    <t>Other EF</t>
  </si>
  <si>
    <t>Covid Index</t>
  </si>
  <si>
    <t>Winter Solstice</t>
  </si>
  <si>
    <t>Independence Month</t>
  </si>
  <si>
    <t xml:space="preserve">Total estimated </t>
  </si>
  <si>
    <t>Sum of FY_2022</t>
  </si>
  <si>
    <t>Sum of FY_2023</t>
  </si>
  <si>
    <t>Sum of FY_2024</t>
  </si>
  <si>
    <t>Other Factors</t>
  </si>
  <si>
    <t>Sum of FY24 vs FY23 (12 Months)</t>
  </si>
  <si>
    <t>Sum of FY23 vs FY22 (12 Months)</t>
  </si>
  <si>
    <t>FY'23 vs FY'22</t>
  </si>
  <si>
    <t>FY'24 vs FY'23</t>
  </si>
  <si>
    <t>Contribution</t>
  </si>
  <si>
    <t>% of Media Spend</t>
  </si>
  <si>
    <t>% Media contribution</t>
  </si>
  <si>
    <t>Index of contribution / spend</t>
  </si>
  <si>
    <t>YouTube + Facebook + Instagram</t>
  </si>
  <si>
    <t>OOH Large format</t>
  </si>
  <si>
    <t>Geography</t>
  </si>
  <si>
    <t>Twinings_Volume</t>
  </si>
  <si>
    <t>Twinings_Value</t>
  </si>
  <si>
    <t>Dilmah_WD</t>
  </si>
  <si>
    <t>Te_Club_WD</t>
  </si>
  <si>
    <t>Discounts_7%_Min</t>
  </si>
  <si>
    <t>Discounts_Price_Differential_vs_Year_Max</t>
  </si>
  <si>
    <t>Discounts_6%_Min</t>
  </si>
  <si>
    <t>Facebook_Instagram_Impressions</t>
  </si>
  <si>
    <t>Facebook_Instagram_Spends</t>
  </si>
  <si>
    <t>YouTube_Impressions</t>
  </si>
  <si>
    <t>YouTube_Spends</t>
  </si>
  <si>
    <t>Google_Organic_Search</t>
  </si>
  <si>
    <t>OOH_Cinema_Spends</t>
  </si>
  <si>
    <t>OOH_Cinema_GRPs</t>
  </si>
  <si>
    <t>Supremo_GRPs</t>
  </si>
  <si>
    <t>Te_Club_GRPs</t>
  </si>
  <si>
    <t>Lipton_GRPs</t>
  </si>
  <si>
    <t>Supremo_Spends</t>
  </si>
  <si>
    <t>Te_Club_Spends</t>
  </si>
  <si>
    <t>Lipton_Spends</t>
  </si>
  <si>
    <t>Unployement_Index</t>
  </si>
  <si>
    <t>GDP</t>
  </si>
  <si>
    <t>Concumer_Trust_Index</t>
  </si>
  <si>
    <t>Christmas</t>
  </si>
  <si>
    <t>Chile</t>
  </si>
  <si>
    <t>2023 AVG Spend</t>
  </si>
  <si>
    <t>2024 AVG Spend</t>
  </si>
  <si>
    <t>Direct Contribution</t>
  </si>
  <si>
    <t>Lagged Contribution</t>
  </si>
  <si>
    <t>YT+FB Adstocked Activity</t>
  </si>
  <si>
    <t>Paid Search Adstocked Act</t>
  </si>
  <si>
    <t>Online Banner Adstocked Act</t>
  </si>
  <si>
    <t>OOH Large Format Adstocked Act</t>
  </si>
  <si>
    <t>OOH Retail Adstocked Act</t>
  </si>
  <si>
    <t>FB Adstocked Act</t>
  </si>
  <si>
    <t>YT Adstocked Act</t>
  </si>
  <si>
    <t>YT+FB Adstocked Effect</t>
  </si>
  <si>
    <t>Paid Search Adstocked Effect</t>
  </si>
  <si>
    <t>Online Banner Adstocked Effect</t>
  </si>
  <si>
    <t>OOH Large Format Adstocked Effect</t>
  </si>
  <si>
    <t>OOH Retail Adstocked Effect</t>
  </si>
  <si>
    <t>FB Adstocked Effect</t>
  </si>
  <si>
    <t>YT Adstocked Effect</t>
  </si>
  <si>
    <t>YT+FB Adstocked Direct Contrib %</t>
  </si>
  <si>
    <t>Paid Search Adstocked Direct Contrib %</t>
  </si>
  <si>
    <t>Online Banner Adstocked Direct Contrib %</t>
  </si>
  <si>
    <t>OOH Large Format Adstocked Direct Contrib %</t>
  </si>
  <si>
    <t>OOH Retail Adstocked Direct Contrib %</t>
  </si>
  <si>
    <t>FB Adstocked Direct Contrib %</t>
  </si>
  <si>
    <t>YT Adstocked Direct Contrib %</t>
  </si>
  <si>
    <t>YT+FB Adstocked Laged Contrib %</t>
  </si>
  <si>
    <t>Paid Search Adstocked Laged Contrib %</t>
  </si>
  <si>
    <t>Online Banner Adstocked Laged Contrib %</t>
  </si>
  <si>
    <t>OOH Large Format Adstocked Laged Contrib %</t>
  </si>
  <si>
    <t>OOH Retail Adstocked Laged Contrib %</t>
  </si>
  <si>
    <t>FB Adstocked Laged Contrib %</t>
  </si>
  <si>
    <t>YT Adstocked Laged Contrib %</t>
  </si>
  <si>
    <t>Youtube_Impressions</t>
  </si>
  <si>
    <t>OOH Retail</t>
  </si>
  <si>
    <t>Facebook + Instagram</t>
  </si>
  <si>
    <t xml:space="preserve">YouTube </t>
  </si>
  <si>
    <t>YouTube + Facebook + Instagram - Direct Contribution</t>
  </si>
  <si>
    <t>Paid Search - Direct Contribution</t>
  </si>
  <si>
    <t>Online Banners - Direct Contribution</t>
  </si>
  <si>
    <t>OOH Large Format - Direct Contribution</t>
  </si>
  <si>
    <t>OOH Retail - Direct Contribution</t>
  </si>
  <si>
    <t>Facebook + Instagram - Direct Contribution</t>
  </si>
  <si>
    <t>YouTube  - Direct Contribution</t>
  </si>
  <si>
    <t>YouTube + Facebook + Instagram - Lagged Contribution</t>
  </si>
  <si>
    <t>Paid Search - Lagged Contribution</t>
  </si>
  <si>
    <t>Online Banners - Lagged Contribution</t>
  </si>
  <si>
    <t>OOH Large Format - Lagged Contribution</t>
  </si>
  <si>
    <t>OOH Retail - Lagged Contribution</t>
  </si>
  <si>
    <t>Facebook + Instagram - Lagged Contribution</t>
  </si>
  <si>
    <t>YouTube  - Lagged Contribution</t>
  </si>
  <si>
    <t>Direct contribution</t>
  </si>
  <si>
    <t>Lagged contribution</t>
  </si>
  <si>
    <t>Column Labels</t>
  </si>
  <si>
    <t>Values</t>
  </si>
  <si>
    <t>Sum of Discount PERIOD</t>
  </si>
  <si>
    <t>Average of Twinings_Price</t>
  </si>
  <si>
    <t>Average of Discounts_5%_Min</t>
  </si>
  <si>
    <t>Average of Twinings_WD</t>
  </si>
  <si>
    <t>Sum of YouTube_FB_Spends</t>
  </si>
  <si>
    <t>Sum of Google_Search_Spends</t>
  </si>
  <si>
    <t>Sum of Display_Spends</t>
  </si>
  <si>
    <t>Sum of OOH_Screen_Spends</t>
  </si>
  <si>
    <t>Sum of OOH_Retail_Spends</t>
  </si>
  <si>
    <t>Average of Covid_Index</t>
  </si>
  <si>
    <t>Average of Competitor_Price</t>
  </si>
  <si>
    <t>Sum of Competitor_GRPs</t>
  </si>
  <si>
    <t>KPI</t>
  </si>
  <si>
    <t>FY 2022</t>
  </si>
  <si>
    <t>FY 2023</t>
  </si>
  <si>
    <t>FY 2024</t>
  </si>
  <si>
    <t>Change FY'22 vs FY'23</t>
  </si>
  <si>
    <t>Change FY'23 vs FY'24</t>
  </si>
  <si>
    <t>Average Twinings Price</t>
  </si>
  <si>
    <t>Average Discounts</t>
  </si>
  <si>
    <t>Average Twinings WD</t>
  </si>
  <si>
    <t>Twinings Media Spend</t>
  </si>
  <si>
    <t>Average Covid Constringency Index</t>
  </si>
  <si>
    <t>Discount PERIOD</t>
  </si>
  <si>
    <t>Contribution-Base</t>
  </si>
  <si>
    <t>Contribution-Twinings_Price</t>
  </si>
  <si>
    <t>Contribution-Competitor_Price</t>
  </si>
  <si>
    <t>Contribution-Twinings_WD</t>
  </si>
  <si>
    <t>Contribution-Competitor_WD</t>
  </si>
  <si>
    <t>Contribution-Discounts_5%_Min</t>
  </si>
  <si>
    <t>Contribution-YouTube_FB_Impressions</t>
  </si>
  <si>
    <t>Contribution-Google_Search_Clicks</t>
  </si>
  <si>
    <t>Contribution-Display_Impressions</t>
  </si>
  <si>
    <t>Contribution-OOH_Screen_GRPs</t>
  </si>
  <si>
    <t>Contribution-OOH_Retail_GRPs</t>
  </si>
  <si>
    <t>Contribution-Competitor_GRPs</t>
  </si>
  <si>
    <t>Contribution-Inflation</t>
  </si>
  <si>
    <t>Contribution-Temperature</t>
  </si>
  <si>
    <t>Contribution-Covid_Index</t>
  </si>
  <si>
    <t>Contribution-Winter_Solstice</t>
  </si>
  <si>
    <t>Contribution-Independence_Month</t>
  </si>
  <si>
    <t>Contribution - Residual</t>
  </si>
  <si>
    <t>Contribution - Base</t>
  </si>
  <si>
    <t>Contribution - Twinings_Price</t>
  </si>
  <si>
    <t>Contribution - Competitor_Price</t>
  </si>
  <si>
    <t>Contribution - Twinings_WD</t>
  </si>
  <si>
    <t>Contribution - Competitor_WD</t>
  </si>
  <si>
    <t>Contribution - Discounts_5%_Min</t>
  </si>
  <si>
    <t>Contribution - YouTube_FB_Impressions</t>
  </si>
  <si>
    <t>Contribution - Google_Search_Clicks</t>
  </si>
  <si>
    <t>Contribution - Display_Impressions</t>
  </si>
  <si>
    <t>Contribution - OOH_Screen_GRPs</t>
  </si>
  <si>
    <t>Contribution - OOH_Retail_GRPs</t>
  </si>
  <si>
    <t>Contribution - Competitor_GRPs</t>
  </si>
  <si>
    <t>Contribution - Inflation</t>
  </si>
  <si>
    <t>Contribution - Temperature</t>
  </si>
  <si>
    <t>Contribution - Covid_Index</t>
  </si>
  <si>
    <t>Contribution - Winter_Solstice</t>
  </si>
  <si>
    <t>Contribution - Independence_Month</t>
  </si>
  <si>
    <t>count</t>
  </si>
  <si>
    <t>mean</t>
  </si>
  <si>
    <t>min</t>
  </si>
  <si>
    <t>max</t>
  </si>
  <si>
    <t>std</t>
  </si>
  <si>
    <t>Contribution (KG)</t>
  </si>
  <si>
    <t>Contribution (CLP)</t>
  </si>
  <si>
    <t>Spend (CLP)</t>
  </si>
  <si>
    <t>YouTube</t>
  </si>
  <si>
    <t/>
  </si>
  <si>
    <t>Due To's</t>
  </si>
  <si>
    <t>Absoluto</t>
  </si>
  <si>
    <t>%</t>
  </si>
  <si>
    <t>Std Dev</t>
  </si>
  <si>
    <t>Modelo 4</t>
  </si>
  <si>
    <t>Modelo 3</t>
  </si>
  <si>
    <t>Modelo 2</t>
  </si>
  <si>
    <t>Modelo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</si>
</sst>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_-* #,##0.0000_-;\-* #,##0.0000_-;_-* &quot;-&quot;??_-;_-@_-"/>
    <numFmt numFmtId="167" formatCode="mm/dd/yyyy"/>
    <numFmt numFmtId="168" formatCode="#,##0.00000"/>
    <numFmt numFmtId="169" formatCode="mmm\-yyyy"/>
    <numFmt numFmtId="170" formatCode="0.0"/>
    <numFmt numFmtId="171" formatCode="_-* #,##0_-;\-* #,##0_-;_-* &quot;-&quot;??_-;_-@_-"/>
    <numFmt numFmtId="172" formatCode="_(* #,##0_);_(* \(#,##0\);_(* &quot;-&quot;??_);_(@_)"/>
    <numFmt numFmtId="173" formatCode="_(* #,##0.0_);_(* \(#,##0.0\);_(* &quot;-&quot;??_);_(@_)"/>
    <numFmt numFmtId="174" formatCode="mmm\ 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9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i/>
      <sz val="10"/>
      <color theme="4"/>
      <name val="Arial"/>
      <family val="2"/>
    </font>
    <font>
      <i/>
      <sz val="10"/>
      <color theme="7" tint="-0.249977111117893"/>
      <name val="Arial"/>
      <family val="2"/>
    </font>
    <font>
      <i/>
      <sz val="10"/>
      <color rgb="FF7030A0"/>
      <name val="Arial"/>
      <family val="2"/>
    </font>
    <font>
      <sz val="10"/>
      <color theme="4"/>
      <name val="Arial"/>
      <family val="2"/>
    </font>
    <font>
      <sz val="10"/>
      <color rgb="FF7030A0"/>
      <name val="Arial"/>
      <family val="2"/>
    </font>
    <font>
      <sz val="10"/>
      <color theme="7" tint="-0.249977111117893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2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3" fontId="2" fillId="8" borderId="1" xfId="0" applyNumberFormat="1" applyFont="1" applyFill="1" applyBorder="1"/>
    <xf numFmtId="0" fontId="2" fillId="9" borderId="1" xfId="0" applyFont="1" applyFill="1" applyBorder="1"/>
    <xf numFmtId="9" fontId="2" fillId="9" borderId="1" xfId="2" applyFont="1" applyFill="1" applyBorder="1"/>
    <xf numFmtId="4" fontId="2" fillId="9" borderId="1" xfId="0" applyNumberFormat="1" applyFont="1" applyFill="1" applyBorder="1"/>
    <xf numFmtId="9" fontId="2" fillId="6" borderId="1" xfId="2" applyFont="1" applyFill="1" applyBorder="1" applyAlignment="1">
      <alignment horizontal="center"/>
    </xf>
    <xf numFmtId="9" fontId="2" fillId="9" borderId="1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2" fillId="0" borderId="5" xfId="2" applyNumberFormat="1" applyFont="1" applyBorder="1"/>
    <xf numFmtId="165" fontId="2" fillId="0" borderId="7" xfId="2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165" fontId="2" fillId="0" borderId="0" xfId="2" applyNumberFormat="1" applyFont="1" applyBorder="1"/>
    <xf numFmtId="0" fontId="2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0" fontId="2" fillId="0" borderId="0" xfId="2" applyNumberFormat="1" applyFont="1"/>
    <xf numFmtId="0" fontId="2" fillId="0" borderId="13" xfId="0" applyFont="1" applyBorder="1"/>
    <xf numFmtId="2" fontId="2" fillId="9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/>
    </xf>
    <xf numFmtId="165" fontId="2" fillId="3" borderId="1" xfId="2" applyNumberFormat="1" applyFont="1" applyFill="1" applyBorder="1" applyAlignment="1">
      <alignment horizontal="center"/>
    </xf>
    <xf numFmtId="165" fontId="2" fillId="4" borderId="1" xfId="2" applyNumberFormat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3" fontId="2" fillId="7" borderId="1" xfId="0" applyNumberFormat="1" applyFont="1" applyFill="1" applyBorder="1" applyAlignment="1">
      <alignment horizontal="center"/>
    </xf>
    <xf numFmtId="3" fontId="2" fillId="8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10" fontId="2" fillId="3" borderId="1" xfId="2" applyNumberFormat="1" applyFont="1" applyFill="1" applyBorder="1" applyAlignment="1">
      <alignment horizontal="center"/>
    </xf>
    <xf numFmtId="166" fontId="2" fillId="6" borderId="1" xfId="1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2" fontId="2" fillId="6" borderId="1" xfId="1" applyNumberFormat="1" applyFont="1" applyFill="1" applyBorder="1" applyAlignment="1">
      <alignment horizontal="center"/>
    </xf>
    <xf numFmtId="0" fontId="9" fillId="0" borderId="0" xfId="3" applyFont="1" applyAlignment="1">
      <alignment horizontal="center" vertical="center" wrapText="1"/>
    </xf>
    <xf numFmtId="167" fontId="10" fillId="0" borderId="0" xfId="3" applyNumberFormat="1" applyFont="1"/>
    <xf numFmtId="3" fontId="8" fillId="0" borderId="0" xfId="3" applyNumberFormat="1" applyAlignment="1">
      <alignment horizontal="center"/>
    </xf>
    <xf numFmtId="9" fontId="8" fillId="0" borderId="0" xfId="3" applyNumberFormat="1" applyAlignment="1">
      <alignment horizontal="center"/>
    </xf>
    <xf numFmtId="4" fontId="8" fillId="0" borderId="0" xfId="3" applyNumberFormat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67" fontId="4" fillId="0" borderId="1" xfId="0" applyNumberFormat="1" applyFont="1" applyBorder="1"/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18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2" fillId="0" borderId="15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165" fontId="2" fillId="0" borderId="13" xfId="2" applyNumberFormat="1" applyFont="1" applyBorder="1" applyAlignment="1">
      <alignment horizontal="center"/>
    </xf>
    <xf numFmtId="165" fontId="2" fillId="0" borderId="10" xfId="2" applyNumberFormat="1" applyFont="1" applyBorder="1" applyAlignment="1">
      <alignment horizontal="center"/>
    </xf>
    <xf numFmtId="165" fontId="2" fillId="0" borderId="15" xfId="2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3" fontId="8" fillId="0" borderId="1" xfId="3" applyNumberFormat="1" applyBorder="1" applyAlignment="1">
      <alignment horizontal="center"/>
    </xf>
    <xf numFmtId="165" fontId="2" fillId="0" borderId="24" xfId="2" applyNumberFormat="1" applyFont="1" applyBorder="1" applyAlignment="1">
      <alignment horizontal="center"/>
    </xf>
    <xf numFmtId="168" fontId="2" fillId="0" borderId="0" xfId="0" applyNumberFormat="1" applyFont="1"/>
    <xf numFmtId="0" fontId="6" fillId="10" borderId="1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3" fontId="2" fillId="9" borderId="1" xfId="0" applyNumberFormat="1" applyFont="1" applyFill="1" applyBorder="1" applyAlignment="1">
      <alignment horizontal="center"/>
    </xf>
    <xf numFmtId="9" fontId="2" fillId="9" borderId="1" xfId="2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5" fontId="2" fillId="0" borderId="11" xfId="2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169" fontId="4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8" fillId="0" borderId="0" xfId="3"/>
    <xf numFmtId="167" fontId="4" fillId="0" borderId="0" xfId="3" applyNumberFormat="1" applyFont="1"/>
    <xf numFmtId="4" fontId="2" fillId="9" borderId="1" xfId="0" applyNumberFormat="1" applyFont="1" applyFill="1" applyBorder="1" applyAlignment="1">
      <alignment horizontal="center"/>
    </xf>
    <xf numFmtId="16" fontId="3" fillId="0" borderId="0" xfId="0" applyNumberFormat="1" applyFont="1"/>
    <xf numFmtId="165" fontId="2" fillId="0" borderId="0" xfId="0" applyNumberFormat="1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9" fillId="0" borderId="0" xfId="3" applyFont="1" applyAlignment="1">
      <alignment vertical="center" wrapText="1"/>
    </xf>
    <xf numFmtId="10" fontId="2" fillId="0" borderId="0" xfId="2" applyNumberFormat="1" applyFont="1" applyAlignment="1">
      <alignment horizontal="center"/>
    </xf>
    <xf numFmtId="9" fontId="2" fillId="3" borderId="1" xfId="2" applyFont="1" applyFill="1" applyBorder="1" applyAlignment="1">
      <alignment horizontal="center"/>
    </xf>
    <xf numFmtId="3" fontId="8" fillId="0" borderId="0" xfId="3" applyNumberFormat="1"/>
    <xf numFmtId="9" fontId="2" fillId="0" borderId="10" xfId="2" applyFont="1" applyBorder="1" applyAlignment="1">
      <alignment horizontal="center"/>
    </xf>
    <xf numFmtId="9" fontId="2" fillId="0" borderId="11" xfId="2" applyFont="1" applyBorder="1" applyAlignment="1">
      <alignment horizontal="center"/>
    </xf>
    <xf numFmtId="170" fontId="2" fillId="0" borderId="12" xfId="1" applyNumberFormat="1" applyFont="1" applyBorder="1" applyAlignment="1">
      <alignment horizontal="center"/>
    </xf>
    <xf numFmtId="9" fontId="2" fillId="0" borderId="18" xfId="2" applyFont="1" applyBorder="1" applyAlignment="1">
      <alignment horizontal="center"/>
    </xf>
    <xf numFmtId="9" fontId="2" fillId="0" borderId="25" xfId="2" applyFont="1" applyBorder="1" applyAlignment="1">
      <alignment horizontal="center"/>
    </xf>
    <xf numFmtId="0" fontId="8" fillId="0" borderId="0" xfId="3" applyAlignment="1">
      <alignment horizontal="center" vertical="center" wrapText="1"/>
    </xf>
    <xf numFmtId="9" fontId="2" fillId="0" borderId="0" xfId="0" applyNumberFormat="1" applyFont="1" applyAlignment="1">
      <alignment horizontal="center"/>
    </xf>
    <xf numFmtId="165" fontId="0" fillId="0" borderId="0" xfId="0" applyNumberFormat="1"/>
    <xf numFmtId="3" fontId="0" fillId="0" borderId="0" xfId="0" applyNumberFormat="1"/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textRotation="90"/>
    </xf>
    <xf numFmtId="2" fontId="17" fillId="0" borderId="0" xfId="0" applyNumberFormat="1" applyFont="1"/>
    <xf numFmtId="165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71" fontId="0" fillId="0" borderId="0" xfId="1" applyNumberFormat="1" applyFont="1"/>
    <xf numFmtId="171" fontId="0" fillId="0" borderId="0" xfId="0" applyNumberFormat="1"/>
    <xf numFmtId="9" fontId="0" fillId="0" borderId="0" xfId="2" applyFont="1"/>
    <xf numFmtId="9" fontId="2" fillId="0" borderId="0" xfId="2" applyFont="1"/>
    <xf numFmtId="165" fontId="2" fillId="0" borderId="0" xfId="2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12" borderId="0" xfId="0" applyFont="1" applyFill="1"/>
    <xf numFmtId="0" fontId="2" fillId="13" borderId="1" xfId="0" applyFont="1" applyFill="1" applyBorder="1"/>
    <xf numFmtId="0" fontId="14" fillId="13" borderId="1" xfId="0" applyFont="1" applyFill="1" applyBorder="1"/>
    <xf numFmtId="0" fontId="15" fillId="13" borderId="1" xfId="0" applyFont="1" applyFill="1" applyBorder="1"/>
    <xf numFmtId="0" fontId="16" fillId="13" borderId="0" xfId="0" applyFont="1" applyFill="1" applyAlignment="1">
      <alignment vertical="center" wrapText="1"/>
    </xf>
    <xf numFmtId="165" fontId="2" fillId="0" borderId="0" xfId="2" applyNumberFormat="1" applyFont="1"/>
    <xf numFmtId="3" fontId="0" fillId="0" borderId="32" xfId="0" applyNumberFormat="1" applyBorder="1"/>
    <xf numFmtId="3" fontId="0" fillId="0" borderId="33" xfId="0" applyNumberFormat="1" applyBorder="1"/>
    <xf numFmtId="3" fontId="0" fillId="0" borderId="34" xfId="0" applyNumberFormat="1" applyBorder="1"/>
    <xf numFmtId="3" fontId="0" fillId="0" borderId="35" xfId="0" applyNumberFormat="1" applyBorder="1"/>
    <xf numFmtId="3" fontId="0" fillId="0" borderId="25" xfId="0" applyNumberFormat="1" applyBorder="1"/>
    <xf numFmtId="165" fontId="0" fillId="0" borderId="32" xfId="0" applyNumberFormat="1" applyBorder="1"/>
    <xf numFmtId="165" fontId="0" fillId="0" borderId="33" xfId="0" applyNumberFormat="1" applyBorder="1"/>
    <xf numFmtId="165" fontId="0" fillId="0" borderId="34" xfId="0" applyNumberFormat="1" applyBorder="1"/>
    <xf numFmtId="165" fontId="0" fillId="0" borderId="35" xfId="0" applyNumberFormat="1" applyBorder="1"/>
    <xf numFmtId="165" fontId="0" fillId="0" borderId="25" xfId="0" applyNumberFormat="1" applyBorder="1"/>
    <xf numFmtId="0" fontId="0" fillId="0" borderId="0" xfId="0" applyAlignment="1">
      <alignment wrapText="1"/>
    </xf>
    <xf numFmtId="0" fontId="0" fillId="0" borderId="29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2" fontId="2" fillId="0" borderId="12" xfId="1" applyNumberFormat="1" applyFont="1" applyBorder="1" applyAlignment="1">
      <alignment horizontal="center"/>
    </xf>
    <xf numFmtId="0" fontId="0" fillId="0" borderId="1" xfId="0" applyBorder="1"/>
    <xf numFmtId="171" fontId="0" fillId="0" borderId="1" xfId="1" applyNumberFormat="1" applyFont="1" applyBorder="1"/>
    <xf numFmtId="9" fontId="0" fillId="0" borderId="1" xfId="2" applyFont="1" applyBorder="1"/>
    <xf numFmtId="2" fontId="0" fillId="0" borderId="1" xfId="0" applyNumberFormat="1" applyBorder="1"/>
    <xf numFmtId="171" fontId="1" fillId="0" borderId="0" xfId="1" applyNumberFormat="1" applyFont="1"/>
    <xf numFmtId="0" fontId="8" fillId="0" borderId="0" xfId="3" applyAlignment="1">
      <alignment horizontal="center"/>
    </xf>
    <xf numFmtId="9" fontId="2" fillId="0" borderId="0" xfId="2" applyFont="1" applyAlignment="1">
      <alignment horizontal="center"/>
    </xf>
    <xf numFmtId="1" fontId="2" fillId="0" borderId="0" xfId="0" applyNumberFormat="1" applyFont="1"/>
    <xf numFmtId="0" fontId="9" fillId="0" borderId="29" xfId="3" applyFont="1" applyBorder="1" applyAlignment="1">
      <alignment horizontal="center" vertical="center" wrapText="1"/>
    </xf>
    <xf numFmtId="0" fontId="9" fillId="0" borderId="30" xfId="3" applyFont="1" applyBorder="1" applyAlignment="1">
      <alignment horizontal="center" vertical="center" wrapText="1"/>
    </xf>
    <xf numFmtId="0" fontId="9" fillId="0" borderId="31" xfId="3" applyFont="1" applyBorder="1" applyAlignment="1">
      <alignment horizontal="center" vertical="center" wrapText="1"/>
    </xf>
    <xf numFmtId="0" fontId="0" fillId="0" borderId="32" xfId="0" applyBorder="1"/>
    <xf numFmtId="0" fontId="0" fillId="0" borderId="33" xfId="0" applyBorder="1"/>
    <xf numFmtId="9" fontId="0" fillId="0" borderId="32" xfId="2" applyFont="1" applyBorder="1"/>
    <xf numFmtId="9" fontId="0" fillId="0" borderId="0" xfId="2" applyFont="1" applyBorder="1"/>
    <xf numFmtId="9" fontId="0" fillId="0" borderId="33" xfId="2" applyFont="1" applyBorder="1"/>
    <xf numFmtId="9" fontId="0" fillId="0" borderId="34" xfId="2" applyFont="1" applyBorder="1"/>
    <xf numFmtId="9" fontId="0" fillId="0" borderId="35" xfId="2" applyFont="1" applyBorder="1"/>
    <xf numFmtId="9" fontId="0" fillId="0" borderId="25" xfId="2" applyFont="1" applyBorder="1"/>
    <xf numFmtId="0" fontId="9" fillId="0" borderId="32" xfId="3" applyFont="1" applyBorder="1" applyAlignment="1">
      <alignment horizontal="center" vertical="center" wrapText="1"/>
    </xf>
    <xf numFmtId="0" fontId="9" fillId="0" borderId="33" xfId="3" applyFont="1" applyBorder="1" applyAlignment="1">
      <alignment horizontal="center" vertical="center" wrapText="1"/>
    </xf>
    <xf numFmtId="1" fontId="0" fillId="0" borderId="32" xfId="0" applyNumberFormat="1" applyBorder="1"/>
    <xf numFmtId="1" fontId="0" fillId="0" borderId="33" xfId="0" applyNumberFormat="1" applyBorder="1"/>
    <xf numFmtId="1" fontId="0" fillId="0" borderId="34" xfId="0" applyNumberFormat="1" applyBorder="1"/>
    <xf numFmtId="1" fontId="0" fillId="0" borderId="35" xfId="0" applyNumberFormat="1" applyBorder="1"/>
    <xf numFmtId="1" fontId="0" fillId="0" borderId="25" xfId="0" applyNumberFormat="1" applyBorder="1"/>
    <xf numFmtId="1" fontId="0" fillId="0" borderId="32" xfId="0" applyNumberFormat="1" applyBorder="1" applyAlignment="1">
      <alignment wrapText="1"/>
    </xf>
    <xf numFmtId="1" fontId="0" fillId="0" borderId="33" xfId="0" applyNumberFormat="1" applyBorder="1" applyAlignment="1">
      <alignment wrapText="1"/>
    </xf>
    <xf numFmtId="171" fontId="2" fillId="0" borderId="0" xfId="1" applyNumberFormat="1" applyFont="1"/>
    <xf numFmtId="0" fontId="2" fillId="0" borderId="0" xfId="5" applyFont="1"/>
    <xf numFmtId="0" fontId="2" fillId="0" borderId="1" xfId="5" applyFont="1" applyBorder="1"/>
    <xf numFmtId="172" fontId="2" fillId="0" borderId="0" xfId="6" applyNumberFormat="1" applyFont="1"/>
    <xf numFmtId="3" fontId="2" fillId="7" borderId="1" xfId="5" applyNumberFormat="1" applyFont="1" applyFill="1" applyBorder="1" applyAlignment="1">
      <alignment horizontal="center"/>
    </xf>
    <xf numFmtId="2" fontId="2" fillId="0" borderId="0" xfId="5" applyNumberFormat="1" applyFont="1"/>
    <xf numFmtId="44" fontId="2" fillId="0" borderId="0" xfId="7" applyFont="1"/>
    <xf numFmtId="172" fontId="2" fillId="0" borderId="0" xfId="5" applyNumberFormat="1" applyFont="1"/>
    <xf numFmtId="44" fontId="2" fillId="0" borderId="0" xfId="5" applyNumberFormat="1" applyFont="1"/>
    <xf numFmtId="43" fontId="2" fillId="0" borderId="0" xfId="6" applyFont="1"/>
    <xf numFmtId="0" fontId="0" fillId="0" borderId="30" xfId="0" applyBorder="1" applyAlignment="1">
      <alignment horizontal="center"/>
    </xf>
    <xf numFmtId="173" fontId="2" fillId="0" borderId="0" xfId="5" applyNumberFormat="1" applyFont="1"/>
    <xf numFmtId="1" fontId="0" fillId="0" borderId="0" xfId="0" applyNumberFormat="1" applyAlignment="1">
      <alignment wrapText="1"/>
    </xf>
    <xf numFmtId="0" fontId="0" fillId="0" borderId="30" xfId="0" applyBorder="1"/>
    <xf numFmtId="0" fontId="0" fillId="0" borderId="31" xfId="0" applyBorder="1"/>
    <xf numFmtId="0" fontId="9" fillId="12" borderId="0" xfId="3" applyFont="1" applyFill="1" applyAlignment="1">
      <alignment horizontal="center" vertical="center" wrapText="1"/>
    </xf>
    <xf numFmtId="174" fontId="10" fillId="0" borderId="0" xfId="3" applyNumberFormat="1" applyFont="1"/>
    <xf numFmtId="0" fontId="9" fillId="4" borderId="0" xfId="3" applyFont="1" applyFill="1" applyAlignment="1">
      <alignment horizontal="center" vertical="center" wrapText="1"/>
    </xf>
    <xf numFmtId="0" fontId="2" fillId="0" borderId="36" xfId="0" applyFont="1" applyBorder="1"/>
    <xf numFmtId="0" fontId="2" fillId="0" borderId="6" xfId="0" applyFont="1" applyBorder="1"/>
    <xf numFmtId="174" fontId="10" fillId="0" borderId="37" xfId="3" applyNumberFormat="1" applyFont="1" applyBorder="1"/>
    <xf numFmtId="3" fontId="8" fillId="0" borderId="37" xfId="3" applyNumberFormat="1" applyBorder="1" applyAlignment="1">
      <alignment horizontal="center"/>
    </xf>
    <xf numFmtId="9" fontId="8" fillId="0" borderId="37" xfId="3" applyNumberFormat="1" applyBorder="1" applyAlignment="1">
      <alignment horizontal="center"/>
    </xf>
    <xf numFmtId="4" fontId="8" fillId="0" borderId="37" xfId="3" applyNumberFormat="1" applyBorder="1" applyAlignment="1">
      <alignment horizontal="center"/>
    </xf>
    <xf numFmtId="3" fontId="8" fillId="0" borderId="38" xfId="3" applyNumberFormat="1" applyBorder="1" applyAlignment="1">
      <alignment horizontal="center"/>
    </xf>
    <xf numFmtId="3" fontId="8" fillId="0" borderId="39" xfId="3" applyNumberFormat="1" applyBorder="1" applyAlignment="1">
      <alignment horizontal="center"/>
    </xf>
    <xf numFmtId="174" fontId="10" fillId="0" borderId="40" xfId="3" applyNumberFormat="1" applyFont="1" applyBorder="1"/>
    <xf numFmtId="3" fontId="8" fillId="0" borderId="40" xfId="3" applyNumberFormat="1" applyBorder="1" applyAlignment="1">
      <alignment horizontal="center"/>
    </xf>
    <xf numFmtId="9" fontId="8" fillId="0" borderId="40" xfId="3" applyNumberFormat="1" applyBorder="1" applyAlignment="1">
      <alignment horizontal="center"/>
    </xf>
    <xf numFmtId="4" fontId="8" fillId="0" borderId="40" xfId="3" applyNumberFormat="1" applyBorder="1" applyAlignment="1">
      <alignment horizontal="center"/>
    </xf>
    <xf numFmtId="3" fontId="8" fillId="0" borderId="41" xfId="3" applyNumberFormat="1" applyBorder="1" applyAlignment="1">
      <alignment horizontal="center"/>
    </xf>
    <xf numFmtId="2" fontId="2" fillId="0" borderId="0" xfId="0" applyNumberFormat="1" applyFont="1"/>
    <xf numFmtId="3" fontId="19" fillId="0" borderId="0" xfId="0" applyNumberFormat="1" applyFont="1" applyAlignment="1">
      <alignment horizontal="center" readingOrder="1"/>
    </xf>
    <xf numFmtId="171" fontId="2" fillId="0" borderId="0" xfId="0" applyNumberFormat="1" applyFont="1"/>
    <xf numFmtId="0" fontId="3" fillId="0" borderId="19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9" fontId="2" fillId="0" borderId="20" xfId="2" applyFont="1" applyBorder="1" applyAlignment="1">
      <alignment horizontal="center" vertical="center"/>
    </xf>
    <xf numFmtId="9" fontId="2" fillId="0" borderId="21" xfId="2" applyFont="1" applyBorder="1" applyAlignment="1">
      <alignment horizontal="center" vertical="center"/>
    </xf>
    <xf numFmtId="9" fontId="2" fillId="0" borderId="22" xfId="2" applyFont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28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8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9">
    <cellStyle name="Comma" xfId="1" builtinId="3"/>
    <cellStyle name="Comma 2" xfId="4" xr:uid="{5741477E-C2EB-49C8-95AF-DAAFCDEAA126}"/>
    <cellStyle name="Comma 3" xfId="6" xr:uid="{D9C53BA0-E9EE-48D8-BB88-736948B8A79B}"/>
    <cellStyle name="Comma 4" xfId="8" xr:uid="{067C2C2C-AC24-4EAA-8970-B181DEBB4764}"/>
    <cellStyle name="Currency 2" xfId="7" xr:uid="{264DAC3E-6E64-4162-ACAB-23C75EBEE6F6}"/>
    <cellStyle name="Normal" xfId="0" builtinId="0"/>
    <cellStyle name="Normal 2" xfId="3" xr:uid="{9891BC71-1A60-44A5-BA99-214B9567769B}"/>
    <cellStyle name="Normal 3" xfId="5" xr:uid="{05C3AF66-BD8D-43EF-83EA-7951908AE3B5}"/>
    <cellStyle name="Percent" xfId="2" builtinId="5"/>
  </cellStyles>
  <dxfs count="37"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1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r>
              <a:rPr lang="en-IN" sz="1500" b="1"/>
              <a:t>AVP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AVP!$D$1</c:f>
              <c:strCache>
                <c:ptCount val="1"/>
                <c:pt idx="0">
                  <c:v>Estimated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AVP!$B$2:$B$38</c:f>
              <c:numCache>
                <c:formatCode>mmm\-yyyy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AVP!$D$2:$D$38</c:f>
              <c:numCache>
                <c:formatCode>#,##0</c:formatCode>
                <c:ptCount val="37"/>
                <c:pt idx="0">
                  <c:v>3378.9217141265799</c:v>
                </c:pt>
                <c:pt idx="1">
                  <c:v>2934.4872912763499</c:v>
                </c:pt>
                <c:pt idx="2">
                  <c:v>2703.1042810969502</c:v>
                </c:pt>
                <c:pt idx="3">
                  <c:v>2294.8617526451098</c:v>
                </c:pt>
                <c:pt idx="4">
                  <c:v>2313.7008017765102</c:v>
                </c:pt>
                <c:pt idx="5">
                  <c:v>2423.8704784376901</c:v>
                </c:pt>
                <c:pt idx="6">
                  <c:v>2418.56788308355</c:v>
                </c:pt>
                <c:pt idx="7">
                  <c:v>2525.0551683181302</c:v>
                </c:pt>
                <c:pt idx="8">
                  <c:v>3213.87025592277</c:v>
                </c:pt>
                <c:pt idx="9">
                  <c:v>3627.64620002233</c:v>
                </c:pt>
                <c:pt idx="10">
                  <c:v>2817.2819208656101</c:v>
                </c:pt>
                <c:pt idx="11">
                  <c:v>2916.90336332062</c:v>
                </c:pt>
                <c:pt idx="12">
                  <c:v>3687.1324564429901</c:v>
                </c:pt>
                <c:pt idx="13">
                  <c:v>2840.6742247361499</c:v>
                </c:pt>
                <c:pt idx="14">
                  <c:v>2329.6367900344399</c:v>
                </c:pt>
                <c:pt idx="15">
                  <c:v>2089.3192782937199</c:v>
                </c:pt>
                <c:pt idx="16">
                  <c:v>1906.4379504383501</c:v>
                </c:pt>
                <c:pt idx="17">
                  <c:v>1650.4221306306199</c:v>
                </c:pt>
                <c:pt idx="18">
                  <c:v>2241.3366191076698</c:v>
                </c:pt>
                <c:pt idx="19">
                  <c:v>2073.4924099915702</c:v>
                </c:pt>
                <c:pt idx="20">
                  <c:v>2448.3893707859702</c:v>
                </c:pt>
                <c:pt idx="21">
                  <c:v>3982.6264454942502</c:v>
                </c:pt>
                <c:pt idx="22">
                  <c:v>3438.0702998871898</c:v>
                </c:pt>
                <c:pt idx="23">
                  <c:v>2962.4676058897098</c:v>
                </c:pt>
                <c:pt idx="24">
                  <c:v>3411.4094043231999</c:v>
                </c:pt>
                <c:pt idx="25">
                  <c:v>2510.1160222356302</c:v>
                </c:pt>
                <c:pt idx="26">
                  <c:v>2182.5203986532701</c:v>
                </c:pt>
                <c:pt idx="27">
                  <c:v>2521.7387176205998</c:v>
                </c:pt>
                <c:pt idx="28">
                  <c:v>1847.76845343988</c:v>
                </c:pt>
                <c:pt idx="29">
                  <c:v>1747.63996609994</c:v>
                </c:pt>
                <c:pt idx="30">
                  <c:v>2507.1481919381199</c:v>
                </c:pt>
                <c:pt idx="31">
                  <c:v>2564.6946961691801</c:v>
                </c:pt>
                <c:pt idx="32">
                  <c:v>3044.1363822225399</c:v>
                </c:pt>
                <c:pt idx="33">
                  <c:v>4020.4414056066298</c:v>
                </c:pt>
                <c:pt idx="34">
                  <c:v>3572.32416903378</c:v>
                </c:pt>
                <c:pt idx="35">
                  <c:v>3595.0603858361001</c:v>
                </c:pt>
                <c:pt idx="36">
                  <c:v>4107.5455944458899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78-4A04-BAFA-6FBB658DA669}"/>
            </c:ext>
          </c:extLst>
        </c:ser>
        <c:ser>
          <c:idx val="0"/>
          <c:order val="1"/>
          <c:tx>
            <c:strRef>
              <c:f>AVP!$C$1</c:f>
              <c:strCache>
                <c:ptCount val="1"/>
                <c:pt idx="0">
                  <c:v>Observed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AVP!$B$2:$B$38</c:f>
              <c:numCache>
                <c:formatCode>mmm\-yyyy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AVP!$C$2:$C$38</c:f>
              <c:numCache>
                <c:formatCode>#,##0</c:formatCode>
                <c:ptCount val="37"/>
                <c:pt idx="0">
                  <c:v>3309.9679999999998</c:v>
                </c:pt>
                <c:pt idx="1">
                  <c:v>3028.2979999999998</c:v>
                </c:pt>
                <c:pt idx="2">
                  <c:v>2525.5610000000001</c:v>
                </c:pt>
                <c:pt idx="3">
                  <c:v>2741.46</c:v>
                </c:pt>
                <c:pt idx="4">
                  <c:v>2120.7910000000002</c:v>
                </c:pt>
                <c:pt idx="5">
                  <c:v>2025.4739999999999</c:v>
                </c:pt>
                <c:pt idx="6">
                  <c:v>2782.846</c:v>
                </c:pt>
                <c:pt idx="7">
                  <c:v>2487.2640000000001</c:v>
                </c:pt>
                <c:pt idx="8">
                  <c:v>3227.268</c:v>
                </c:pt>
                <c:pt idx="9">
                  <c:v>3720.3150000000001</c:v>
                </c:pt>
                <c:pt idx="10">
                  <c:v>2943.4389999999999</c:v>
                </c:pt>
                <c:pt idx="11">
                  <c:v>2856.8530000000001</c:v>
                </c:pt>
                <c:pt idx="12">
                  <c:v>3721.873</c:v>
                </c:pt>
                <c:pt idx="13">
                  <c:v>2659.5039999999999</c:v>
                </c:pt>
                <c:pt idx="14">
                  <c:v>2149.636</c:v>
                </c:pt>
                <c:pt idx="15">
                  <c:v>2506.8000000000002</c:v>
                </c:pt>
                <c:pt idx="16">
                  <c:v>1772.6769999999999</c:v>
                </c:pt>
                <c:pt idx="17">
                  <c:v>1399.56</c:v>
                </c:pt>
                <c:pt idx="18">
                  <c:v>2456.0509999999999</c:v>
                </c:pt>
                <c:pt idx="19">
                  <c:v>2132.3560000000002</c:v>
                </c:pt>
                <c:pt idx="20">
                  <c:v>2729.991</c:v>
                </c:pt>
                <c:pt idx="21">
                  <c:v>3845.5189999999998</c:v>
                </c:pt>
                <c:pt idx="22">
                  <c:v>3143.1770000000001</c:v>
                </c:pt>
                <c:pt idx="23">
                  <c:v>2766.826</c:v>
                </c:pt>
                <c:pt idx="24">
                  <c:v>3379.2</c:v>
                </c:pt>
                <c:pt idx="25">
                  <c:v>2507.8960000000002</c:v>
                </c:pt>
                <c:pt idx="26">
                  <c:v>2223.8180000000002</c:v>
                </c:pt>
                <c:pt idx="27">
                  <c:v>2936.4380000000001</c:v>
                </c:pt>
                <c:pt idx="28">
                  <c:v>1650.241</c:v>
                </c:pt>
                <c:pt idx="29">
                  <c:v>1507.9079999999999</c:v>
                </c:pt>
                <c:pt idx="30">
                  <c:v>2850.96</c:v>
                </c:pt>
                <c:pt idx="31">
                  <c:v>2431.1709999999998</c:v>
                </c:pt>
                <c:pt idx="32">
                  <c:v>3068.6970000000001</c:v>
                </c:pt>
                <c:pt idx="33">
                  <c:v>4060.66</c:v>
                </c:pt>
                <c:pt idx="34">
                  <c:v>3410.3910000000001</c:v>
                </c:pt>
                <c:pt idx="35">
                  <c:v>3635.57</c:v>
                </c:pt>
                <c:pt idx="36">
                  <c:v>4210.6840000000002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92-4A7A-9852-AB7390F2A2CD}"/>
            </c:ext>
          </c:extLst>
        </c:ser>
        <c:ser>
          <c:idx val="2"/>
          <c:order val="2"/>
          <c:tx>
            <c:strRef>
              <c:f>AVP!$E$1</c:f>
              <c:strCache>
                <c:ptCount val="1"/>
                <c:pt idx="0">
                  <c:v>Base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AVP!$B$2:$B$38</c:f>
              <c:numCache>
                <c:formatCode>mmm\-yyyy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AVP!$E$2:$E$38</c:f>
              <c:numCache>
                <c:formatCode>#,##0</c:formatCode>
                <c:ptCount val="37"/>
                <c:pt idx="0">
                  <c:v>2486.3068578007301</c:v>
                </c:pt>
                <c:pt idx="1">
                  <c:v>2472.8050198772999</c:v>
                </c:pt>
                <c:pt idx="2">
                  <c:v>2469.03999939717</c:v>
                </c:pt>
                <c:pt idx="3">
                  <c:v>2447.4368359373102</c:v>
                </c:pt>
                <c:pt idx="4">
                  <c:v>2469.8362710900501</c:v>
                </c:pt>
                <c:pt idx="5">
                  <c:v>2473.4602859516599</c:v>
                </c:pt>
                <c:pt idx="6">
                  <c:v>2439.25592812996</c:v>
                </c:pt>
                <c:pt idx="7">
                  <c:v>2438.6477837436801</c:v>
                </c:pt>
                <c:pt idx="8">
                  <c:v>2434.8380680334699</c:v>
                </c:pt>
                <c:pt idx="9">
                  <c:v>2432.4739618746098</c:v>
                </c:pt>
                <c:pt idx="10">
                  <c:v>2437.3292606247301</c:v>
                </c:pt>
                <c:pt idx="11">
                  <c:v>2451.2042402975299</c:v>
                </c:pt>
                <c:pt idx="12">
                  <c:v>2460.6864128728198</c:v>
                </c:pt>
                <c:pt idx="13">
                  <c:v>2472.3609766958798</c:v>
                </c:pt>
                <c:pt idx="14">
                  <c:v>2471.2078990211999</c:v>
                </c:pt>
                <c:pt idx="15">
                  <c:v>2458.2113251400001</c:v>
                </c:pt>
                <c:pt idx="16">
                  <c:v>2471.9961400464899</c:v>
                </c:pt>
                <c:pt idx="17">
                  <c:v>2477.0791160833601</c:v>
                </c:pt>
                <c:pt idx="18">
                  <c:v>2467.5094900091899</c:v>
                </c:pt>
                <c:pt idx="19">
                  <c:v>2470.79341779691</c:v>
                </c:pt>
                <c:pt idx="20">
                  <c:v>2477.2815097868001</c:v>
                </c:pt>
                <c:pt idx="21">
                  <c:v>2498.53462608989</c:v>
                </c:pt>
                <c:pt idx="22">
                  <c:v>2512.4215074825502</c:v>
                </c:pt>
                <c:pt idx="23">
                  <c:v>2510.2356959373401</c:v>
                </c:pt>
                <c:pt idx="24">
                  <c:v>2497.7847955812099</c:v>
                </c:pt>
                <c:pt idx="25">
                  <c:v>2483.68660311861</c:v>
                </c:pt>
                <c:pt idx="26">
                  <c:v>2469.48822164179</c:v>
                </c:pt>
                <c:pt idx="27">
                  <c:v>2457.5901297362502</c:v>
                </c:pt>
                <c:pt idx="28">
                  <c:v>2466.5158422189402</c:v>
                </c:pt>
                <c:pt idx="29">
                  <c:v>2465.5533682650498</c:v>
                </c:pt>
                <c:pt idx="30">
                  <c:v>2452.5354376427199</c:v>
                </c:pt>
                <c:pt idx="31">
                  <c:v>2457.0878180916602</c:v>
                </c:pt>
                <c:pt idx="32">
                  <c:v>2455.11850472179</c:v>
                </c:pt>
                <c:pt idx="33">
                  <c:v>2454.26857519334</c:v>
                </c:pt>
                <c:pt idx="34">
                  <c:v>2455.2399639138298</c:v>
                </c:pt>
                <c:pt idx="35">
                  <c:v>2449.2532812344598</c:v>
                </c:pt>
                <c:pt idx="36">
                  <c:v>2444.9632479841798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D3-4DB1-813E-BBAA60622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6968495"/>
        <c:axId val="896967535"/>
      </c:lineChart>
      <c:dateAx>
        <c:axId val="896968495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6967535"/>
        <c:crosses val="autoZero"/>
        <c:auto val="1"/>
        <c:lblOffset val="100"/>
        <c:baseTimeUnit val="months"/>
      </c:dateAx>
      <c:valAx>
        <c:axId val="89696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en-IN"/>
                  <a:t>Twinings Volume in 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696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 baseline="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Decomposition!$G$2:$G$38</c:f>
              <c:numCache>
                <c:formatCode>#,##0</c:formatCode>
                <c:ptCount val="37"/>
                <c:pt idx="0">
                  <c:v>2486.3068578007301</c:v>
                </c:pt>
                <c:pt idx="1">
                  <c:v>2472.8050198772999</c:v>
                </c:pt>
                <c:pt idx="2">
                  <c:v>2469.03999939717</c:v>
                </c:pt>
                <c:pt idx="3">
                  <c:v>2447.4368359373102</c:v>
                </c:pt>
                <c:pt idx="4">
                  <c:v>2469.8362710900501</c:v>
                </c:pt>
                <c:pt idx="5">
                  <c:v>2473.4602859516599</c:v>
                </c:pt>
                <c:pt idx="6">
                  <c:v>2439.25592812996</c:v>
                </c:pt>
                <c:pt idx="7">
                  <c:v>2438.6477837436801</c:v>
                </c:pt>
                <c:pt idx="8">
                  <c:v>2434.8380680334699</c:v>
                </c:pt>
                <c:pt idx="9">
                  <c:v>2432.4739618746098</c:v>
                </c:pt>
                <c:pt idx="10">
                  <c:v>2437.3292606247301</c:v>
                </c:pt>
                <c:pt idx="11">
                  <c:v>2451.2042402975299</c:v>
                </c:pt>
                <c:pt idx="12">
                  <c:v>2460.6864128728198</c:v>
                </c:pt>
                <c:pt idx="13">
                  <c:v>2472.3609766958798</c:v>
                </c:pt>
                <c:pt idx="14">
                  <c:v>2471.2078990211999</c:v>
                </c:pt>
                <c:pt idx="15">
                  <c:v>2458.2113251400001</c:v>
                </c:pt>
                <c:pt idx="16">
                  <c:v>2471.9961400464899</c:v>
                </c:pt>
                <c:pt idx="17">
                  <c:v>2477.0791160833601</c:v>
                </c:pt>
                <c:pt idx="18">
                  <c:v>2467.5094900091899</c:v>
                </c:pt>
                <c:pt idx="19">
                  <c:v>2470.79341779691</c:v>
                </c:pt>
                <c:pt idx="20">
                  <c:v>2477.2815097868001</c:v>
                </c:pt>
                <c:pt idx="21">
                  <c:v>2498.53462608989</c:v>
                </c:pt>
                <c:pt idx="22">
                  <c:v>2512.4215074825502</c:v>
                </c:pt>
                <c:pt idx="23">
                  <c:v>2510.2356959373401</c:v>
                </c:pt>
                <c:pt idx="24">
                  <c:v>2497.7847955812099</c:v>
                </c:pt>
                <c:pt idx="25">
                  <c:v>2483.68660311861</c:v>
                </c:pt>
                <c:pt idx="26">
                  <c:v>2469.48822164179</c:v>
                </c:pt>
                <c:pt idx="27">
                  <c:v>2457.5901297362502</c:v>
                </c:pt>
                <c:pt idx="28">
                  <c:v>2466.5158422189402</c:v>
                </c:pt>
                <c:pt idx="29">
                  <c:v>2465.5533682650498</c:v>
                </c:pt>
                <c:pt idx="30">
                  <c:v>2452.5354376427199</c:v>
                </c:pt>
                <c:pt idx="31">
                  <c:v>2457.0878180916602</c:v>
                </c:pt>
                <c:pt idx="32">
                  <c:v>2455.11850472179</c:v>
                </c:pt>
                <c:pt idx="33">
                  <c:v>2454.26857519334</c:v>
                </c:pt>
                <c:pt idx="34">
                  <c:v>2455.2399639138298</c:v>
                </c:pt>
                <c:pt idx="35">
                  <c:v>2449.2532812344598</c:v>
                </c:pt>
                <c:pt idx="36">
                  <c:v>2444.9632479841798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8C-4561-AAED-D9E7B0591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444624"/>
        <c:axId val="516445104"/>
      </c:lineChart>
      <c:catAx>
        <c:axId val="516444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45104"/>
        <c:crosses val="autoZero"/>
        <c:auto val="1"/>
        <c:lblAlgn val="ctr"/>
        <c:lblOffset val="100"/>
        <c:noMultiLvlLbl val="0"/>
      </c:catAx>
      <c:valAx>
        <c:axId val="516445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4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'Full Data'!$Q$1</c:f>
              <c:strCache>
                <c:ptCount val="1"/>
                <c:pt idx="0">
                  <c:v>Facebook_Instagram_Impressions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'Full Data'!$Q$2:$Q$38</c:f>
              <c:numCache>
                <c:formatCode>#,##0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22690032</c:v>
                </c:pt>
                <c:pt idx="22">
                  <c:v>27844032</c:v>
                </c:pt>
                <c:pt idx="23">
                  <c:v>13093405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9853942.2857142892</c:v>
                </c:pt>
                <c:pt idx="32">
                  <c:v>51393559</c:v>
                </c:pt>
                <c:pt idx="33">
                  <c:v>47341556.714285702</c:v>
                </c:pt>
                <c:pt idx="34">
                  <c:v>50246461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21-4E19-901B-83FCF28B4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849760"/>
        <c:axId val="827786032"/>
      </c:lineChart>
      <c:lineChart>
        <c:grouping val="standard"/>
        <c:varyColors val="0"/>
        <c:ser>
          <c:idx val="1"/>
          <c:order val="1"/>
          <c:tx>
            <c:strRef>
              <c:f>'Full Data'!$S$1</c:f>
              <c:strCache>
                <c:ptCount val="1"/>
                <c:pt idx="0">
                  <c:v>YouTube_Impressions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'Full Data'!$S$2:$S$38</c:f>
              <c:numCache>
                <c:formatCode>#,##0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6130482</c:v>
                </c:pt>
                <c:pt idx="22">
                  <c:v>4602267</c:v>
                </c:pt>
                <c:pt idx="23">
                  <c:v>3936908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3076005</c:v>
                </c:pt>
                <c:pt idx="32">
                  <c:v>12391156.428571399</c:v>
                </c:pt>
                <c:pt idx="33">
                  <c:v>10039020.571428601</c:v>
                </c:pt>
                <c:pt idx="34">
                  <c:v>7005896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21-4E19-901B-83FCF28B4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216655"/>
        <c:axId val="572219535"/>
      </c:lineChart>
      <c:catAx>
        <c:axId val="1087849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786032"/>
        <c:crosses val="autoZero"/>
        <c:auto val="1"/>
        <c:lblAlgn val="ctr"/>
        <c:lblOffset val="100"/>
        <c:noMultiLvlLbl val="0"/>
      </c:catAx>
      <c:valAx>
        <c:axId val="82778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849760"/>
        <c:crosses val="autoZero"/>
        <c:crossBetween val="between"/>
      </c:valAx>
      <c:valAx>
        <c:axId val="572219535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16655"/>
        <c:crosses val="max"/>
        <c:crossBetween val="between"/>
      </c:valAx>
      <c:catAx>
        <c:axId val="572216655"/>
        <c:scaling>
          <c:orientation val="minMax"/>
        </c:scaling>
        <c:delete val="1"/>
        <c:axPos val="b"/>
        <c:majorTickMark val="out"/>
        <c:minorTickMark val="none"/>
        <c:tickLblPos val="nextTo"/>
        <c:crossAx val="572219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'Full Data'!$F$1</c:f>
              <c:strCache>
                <c:ptCount val="1"/>
                <c:pt idx="0">
                  <c:v>Twinings_Price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'Full Data'!$F$2:$F$38</c:f>
              <c:numCache>
                <c:formatCode>#,##0</c:formatCode>
                <c:ptCount val="37"/>
                <c:pt idx="0">
                  <c:v>81075.729000000007</c:v>
                </c:pt>
                <c:pt idx="1">
                  <c:v>82223.331000000006</c:v>
                </c:pt>
                <c:pt idx="2">
                  <c:v>84167.763999999996</c:v>
                </c:pt>
                <c:pt idx="3">
                  <c:v>95099.892999999996</c:v>
                </c:pt>
                <c:pt idx="4">
                  <c:v>84380.01</c:v>
                </c:pt>
                <c:pt idx="5">
                  <c:v>87097.274000000005</c:v>
                </c:pt>
                <c:pt idx="6">
                  <c:v>90924.407999999996</c:v>
                </c:pt>
                <c:pt idx="7">
                  <c:v>90669.817999999999</c:v>
                </c:pt>
                <c:pt idx="8">
                  <c:v>89706.497000000003</c:v>
                </c:pt>
                <c:pt idx="9">
                  <c:v>93718.948999999993</c:v>
                </c:pt>
                <c:pt idx="10">
                  <c:v>92625.096999999994</c:v>
                </c:pt>
                <c:pt idx="11">
                  <c:v>87649.231</c:v>
                </c:pt>
                <c:pt idx="12">
                  <c:v>85537.832999999999</c:v>
                </c:pt>
                <c:pt idx="13">
                  <c:v>87763.933000000005</c:v>
                </c:pt>
                <c:pt idx="14">
                  <c:v>94009.815000000002</c:v>
                </c:pt>
                <c:pt idx="15">
                  <c:v>96824.574999999997</c:v>
                </c:pt>
                <c:pt idx="16">
                  <c:v>90518.111000000004</c:v>
                </c:pt>
                <c:pt idx="17">
                  <c:v>96822.546000000002</c:v>
                </c:pt>
                <c:pt idx="18">
                  <c:v>91977.659</c:v>
                </c:pt>
                <c:pt idx="19">
                  <c:v>100548.38</c:v>
                </c:pt>
                <c:pt idx="20">
                  <c:v>92943.709000000003</c:v>
                </c:pt>
                <c:pt idx="21">
                  <c:v>90919.335000000006</c:v>
                </c:pt>
                <c:pt idx="22">
                  <c:v>89381.705000000002</c:v>
                </c:pt>
                <c:pt idx="23">
                  <c:v>93783.698999999993</c:v>
                </c:pt>
                <c:pt idx="24">
                  <c:v>93036.894</c:v>
                </c:pt>
                <c:pt idx="25">
                  <c:v>93810.544999999998</c:v>
                </c:pt>
                <c:pt idx="26">
                  <c:v>96699.350999999995</c:v>
                </c:pt>
                <c:pt idx="27">
                  <c:v>91848.106</c:v>
                </c:pt>
                <c:pt idx="28">
                  <c:v>95254.808000000005</c:v>
                </c:pt>
                <c:pt idx="29">
                  <c:v>97401.97</c:v>
                </c:pt>
                <c:pt idx="30">
                  <c:v>91043.974000000002</c:v>
                </c:pt>
                <c:pt idx="31">
                  <c:v>98408.434999999998</c:v>
                </c:pt>
                <c:pt idx="32">
                  <c:v>97880.884000000005</c:v>
                </c:pt>
                <c:pt idx="33">
                  <c:v>96640.305999999997</c:v>
                </c:pt>
                <c:pt idx="34">
                  <c:v>96091.604999999996</c:v>
                </c:pt>
                <c:pt idx="35">
                  <c:v>95584.520999999993</c:v>
                </c:pt>
                <c:pt idx="36">
                  <c:v>95547.008000000002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5-4636-AAF3-CB911884E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625824"/>
        <c:axId val="538626784"/>
      </c:lineChart>
      <c:lineChart>
        <c:grouping val="standard"/>
        <c:varyColors val="0"/>
        <c:ser>
          <c:idx val="1"/>
          <c:order val="1"/>
          <c:tx>
            <c:strRef>
              <c:f>'Full Data'!$BB$1</c:f>
              <c:strCache>
                <c:ptCount val="1"/>
                <c:pt idx="0">
                  <c:v>Contribution-Twinings_Price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'Full Data'!$BB$2:$BB$38</c:f>
              <c:numCache>
                <c:formatCode>#,##0</c:formatCode>
                <c:ptCount val="37"/>
                <c:pt idx="0">
                  <c:v>-405.807705849858</c:v>
                </c:pt>
                <c:pt idx="1">
                  <c:v>-300.40606338852598</c:v>
                </c:pt>
                <c:pt idx="2">
                  <c:v>-296.870941383331</c:v>
                </c:pt>
                <c:pt idx="3">
                  <c:v>-142.06704997713399</c:v>
                </c:pt>
                <c:pt idx="4">
                  <c:v>-328.68595808801302</c:v>
                </c:pt>
                <c:pt idx="5">
                  <c:v>-401.391742793069</c:v>
                </c:pt>
                <c:pt idx="6">
                  <c:v>-78.363982402884204</c:v>
                </c:pt>
                <c:pt idx="7">
                  <c:v>-75.960646003047799</c:v>
                </c:pt>
                <c:pt idx="8">
                  <c:v>-36.492029941878897</c:v>
                </c:pt>
                <c:pt idx="9">
                  <c:v>-30.561234463511301</c:v>
                </c:pt>
                <c:pt idx="10">
                  <c:v>-87.756429363583607</c:v>
                </c:pt>
                <c:pt idx="11">
                  <c:v>-224.97386534844799</c:v>
                </c:pt>
                <c:pt idx="12">
                  <c:v>-317.94019748739601</c:v>
                </c:pt>
                <c:pt idx="13">
                  <c:v>-466.43517805387</c:v>
                </c:pt>
                <c:pt idx="14">
                  <c:v>-499.551505965773</c:v>
                </c:pt>
                <c:pt idx="15">
                  <c:v>-353.24144449561402</c:v>
                </c:pt>
                <c:pt idx="16">
                  <c:v>-447.04364718777902</c:v>
                </c:pt>
                <c:pt idx="17">
                  <c:v>-540.98838023562098</c:v>
                </c:pt>
                <c:pt idx="18">
                  <c:v>-360.60004968716402</c:v>
                </c:pt>
                <c:pt idx="19">
                  <c:v>-447.029324436384</c:v>
                </c:pt>
                <c:pt idx="20">
                  <c:v>-452.530988768979</c:v>
                </c:pt>
                <c:pt idx="21">
                  <c:v>-679.46175418232201</c:v>
                </c:pt>
                <c:pt idx="22">
                  <c:v>-813.04055006017597</c:v>
                </c:pt>
                <c:pt idx="23">
                  <c:v>-827.93500130736004</c:v>
                </c:pt>
                <c:pt idx="24">
                  <c:v>-657.94595532474</c:v>
                </c:pt>
                <c:pt idx="25">
                  <c:v>-483.23577672146598</c:v>
                </c:pt>
                <c:pt idx="26">
                  <c:v>-317.09604294337697</c:v>
                </c:pt>
                <c:pt idx="27">
                  <c:v>-143.34457745758399</c:v>
                </c:pt>
                <c:pt idx="28">
                  <c:v>-262.80847112744402</c:v>
                </c:pt>
                <c:pt idx="29">
                  <c:v>-265.43209460512099</c:v>
                </c:pt>
                <c:pt idx="30">
                  <c:v>-88.889636187854094</c:v>
                </c:pt>
                <c:pt idx="31">
                  <c:v>-175.31488988627399</c:v>
                </c:pt>
                <c:pt idx="32">
                  <c:v>-147.25453137249201</c:v>
                </c:pt>
                <c:pt idx="33">
                  <c:v>-130.51414396189199</c:v>
                </c:pt>
                <c:pt idx="34">
                  <c:v>-140.13615638069001</c:v>
                </c:pt>
                <c:pt idx="35">
                  <c:v>-57.595195320710403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F5-4636-AAF3-CB911884EDB8}"/>
            </c:ext>
          </c:extLst>
        </c:ser>
        <c:ser>
          <c:idx val="2"/>
          <c:order val="2"/>
          <c:tx>
            <c:strRef>
              <c:f>'Full Data'!$BF$1</c:f>
              <c:strCache>
                <c:ptCount val="1"/>
                <c:pt idx="0">
                  <c:v>Contribution-Discounts_5%_Min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'Full Data'!$BF$2:$BF$38</c:f>
              <c:numCache>
                <c:formatCode>#,##0</c:formatCode>
                <c:ptCount val="37"/>
                <c:pt idx="0">
                  <c:v>602.363640036314</c:v>
                </c:pt>
                <c:pt idx="1">
                  <c:v>662.25311097081396</c:v>
                </c:pt>
                <c:pt idx="2">
                  <c:v>581.10767844492898</c:v>
                </c:pt>
                <c:pt idx="3">
                  <c:v>91.953482452882596</c:v>
                </c:pt>
                <c:pt idx="4">
                  <c:v>474.28450754404798</c:v>
                </c:pt>
                <c:pt idx="5">
                  <c:v>407.44942462436501</c:v>
                </c:pt>
                <c:pt idx="6">
                  <c:v>67.796035038763407</c:v>
                </c:pt>
                <c:pt idx="7">
                  <c:v>10.1680742531242</c:v>
                </c:pt>
                <c:pt idx="8">
                  <c:v>256.57738136784701</c:v>
                </c:pt>
                <c:pt idx="9">
                  <c:v>38.6756341129554</c:v>
                </c:pt>
                <c:pt idx="10">
                  <c:v>5.7017983083515702</c:v>
                </c:pt>
                <c:pt idx="11">
                  <c:v>333.45235581386299</c:v>
                </c:pt>
                <c:pt idx="12">
                  <c:v>662.02960404701196</c:v>
                </c:pt>
                <c:pt idx="13">
                  <c:v>597.276485517845</c:v>
                </c:pt>
                <c:pt idx="14">
                  <c:v>349.14119855130701</c:v>
                </c:pt>
                <c:pt idx="15">
                  <c:v>55.053713496998803</c:v>
                </c:pt>
                <c:pt idx="16">
                  <c:v>411.01457947990599</c:v>
                </c:pt>
                <c:pt idx="17">
                  <c:v>61.176079455693198</c:v>
                </c:pt>
                <c:pt idx="18">
                  <c:v>367.58439448425702</c:v>
                </c:pt>
                <c:pt idx="19">
                  <c:v>54.929539634890801</c:v>
                </c:pt>
                <c:pt idx="20">
                  <c:v>319.944571013043</c:v>
                </c:pt>
                <c:pt idx="21">
                  <c:v>410.609164554583</c:v>
                </c:pt>
                <c:pt idx="22">
                  <c:v>463.00458132479702</c:v>
                </c:pt>
                <c:pt idx="23">
                  <c:v>319.59722845016</c:v>
                </c:pt>
                <c:pt idx="24">
                  <c:v>264.166567809377</c:v>
                </c:pt>
                <c:pt idx="25">
                  <c:v>42.0106835990386</c:v>
                </c:pt>
                <c:pt idx="26">
                  <c:v>6.6611923463177103</c:v>
                </c:pt>
                <c:pt idx="27">
                  <c:v>306.153482876373</c:v>
                </c:pt>
                <c:pt idx="28">
                  <c:v>44.718572563408102</c:v>
                </c:pt>
                <c:pt idx="29">
                  <c:v>6.7279409156897403</c:v>
                </c:pt>
                <c:pt idx="30">
                  <c:v>349.29426512808402</c:v>
                </c:pt>
                <c:pt idx="31">
                  <c:v>51.634840987148003</c:v>
                </c:pt>
                <c:pt idx="32">
                  <c:v>7.7925402001459503</c:v>
                </c:pt>
                <c:pt idx="33">
                  <c:v>1.1687170522916599</c:v>
                </c:pt>
                <c:pt idx="34">
                  <c:v>0.171249167988687</c:v>
                </c:pt>
                <c:pt idx="35">
                  <c:v>2.2772859271656301E-2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DF5-4636-AAF3-CB911884E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179056"/>
        <c:axId val="1046921008"/>
      </c:lineChart>
      <c:catAx>
        <c:axId val="53862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626784"/>
        <c:crosses val="autoZero"/>
        <c:auto val="1"/>
        <c:lblAlgn val="ctr"/>
        <c:lblOffset val="100"/>
        <c:noMultiLvlLbl val="0"/>
      </c:catAx>
      <c:valAx>
        <c:axId val="5386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625824"/>
        <c:crosses val="autoZero"/>
        <c:crossBetween val="between"/>
      </c:valAx>
      <c:valAx>
        <c:axId val="104692100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79056"/>
        <c:crosses val="max"/>
        <c:crossBetween val="between"/>
      </c:valAx>
      <c:catAx>
        <c:axId val="571179056"/>
        <c:scaling>
          <c:orientation val="minMax"/>
        </c:scaling>
        <c:delete val="1"/>
        <c:axPos val="b"/>
        <c:majorTickMark val="out"/>
        <c:minorTickMark val="none"/>
        <c:tickLblPos val="nextTo"/>
        <c:crossAx val="1046921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'Full Data'!$F$1</c:f>
              <c:strCache>
                <c:ptCount val="1"/>
                <c:pt idx="0">
                  <c:v>Twinings_Price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'Full Data'!$F$2:$F$38</c:f>
              <c:numCache>
                <c:formatCode>#,##0</c:formatCode>
                <c:ptCount val="37"/>
                <c:pt idx="0">
                  <c:v>81075.729000000007</c:v>
                </c:pt>
                <c:pt idx="1">
                  <c:v>82223.331000000006</c:v>
                </c:pt>
                <c:pt idx="2">
                  <c:v>84167.763999999996</c:v>
                </c:pt>
                <c:pt idx="3">
                  <c:v>95099.892999999996</c:v>
                </c:pt>
                <c:pt idx="4">
                  <c:v>84380.01</c:v>
                </c:pt>
                <c:pt idx="5">
                  <c:v>87097.274000000005</c:v>
                </c:pt>
                <c:pt idx="6">
                  <c:v>90924.407999999996</c:v>
                </c:pt>
                <c:pt idx="7">
                  <c:v>90669.817999999999</c:v>
                </c:pt>
                <c:pt idx="8">
                  <c:v>89706.497000000003</c:v>
                </c:pt>
                <c:pt idx="9">
                  <c:v>93718.948999999993</c:v>
                </c:pt>
                <c:pt idx="10">
                  <c:v>92625.096999999994</c:v>
                </c:pt>
                <c:pt idx="11">
                  <c:v>87649.231</c:v>
                </c:pt>
                <c:pt idx="12">
                  <c:v>85537.832999999999</c:v>
                </c:pt>
                <c:pt idx="13">
                  <c:v>87763.933000000005</c:v>
                </c:pt>
                <c:pt idx="14">
                  <c:v>94009.815000000002</c:v>
                </c:pt>
                <c:pt idx="15">
                  <c:v>96824.574999999997</c:v>
                </c:pt>
                <c:pt idx="16">
                  <c:v>90518.111000000004</c:v>
                </c:pt>
                <c:pt idx="17">
                  <c:v>96822.546000000002</c:v>
                </c:pt>
                <c:pt idx="18">
                  <c:v>91977.659</c:v>
                </c:pt>
                <c:pt idx="19">
                  <c:v>100548.38</c:v>
                </c:pt>
                <c:pt idx="20">
                  <c:v>92943.709000000003</c:v>
                </c:pt>
                <c:pt idx="21">
                  <c:v>90919.335000000006</c:v>
                </c:pt>
                <c:pt idx="22">
                  <c:v>89381.705000000002</c:v>
                </c:pt>
                <c:pt idx="23">
                  <c:v>93783.698999999993</c:v>
                </c:pt>
                <c:pt idx="24">
                  <c:v>93036.894</c:v>
                </c:pt>
                <c:pt idx="25">
                  <c:v>93810.544999999998</c:v>
                </c:pt>
                <c:pt idx="26">
                  <c:v>96699.350999999995</c:v>
                </c:pt>
                <c:pt idx="27">
                  <c:v>91848.106</c:v>
                </c:pt>
                <c:pt idx="28">
                  <c:v>95254.808000000005</c:v>
                </c:pt>
                <c:pt idx="29">
                  <c:v>97401.97</c:v>
                </c:pt>
                <c:pt idx="30">
                  <c:v>91043.974000000002</c:v>
                </c:pt>
                <c:pt idx="31">
                  <c:v>98408.434999999998</c:v>
                </c:pt>
                <c:pt idx="32">
                  <c:v>97880.884000000005</c:v>
                </c:pt>
                <c:pt idx="33">
                  <c:v>96640.305999999997</c:v>
                </c:pt>
                <c:pt idx="34">
                  <c:v>96091.604999999996</c:v>
                </c:pt>
                <c:pt idx="35">
                  <c:v>95584.520999999993</c:v>
                </c:pt>
                <c:pt idx="36">
                  <c:v>95547.008000000002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8-41C4-A24F-06ABB8453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625824"/>
        <c:axId val="538626784"/>
      </c:lineChart>
      <c:lineChart>
        <c:grouping val="standard"/>
        <c:varyColors val="0"/>
        <c:ser>
          <c:idx val="1"/>
          <c:order val="1"/>
          <c:tx>
            <c:strRef>
              <c:f>'Full Data'!$BB$1</c:f>
              <c:strCache>
                <c:ptCount val="1"/>
                <c:pt idx="0">
                  <c:v>Contribution-Twinings_Price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'Full Data'!$BB$2:$BB$38</c:f>
              <c:numCache>
                <c:formatCode>#,##0</c:formatCode>
                <c:ptCount val="37"/>
                <c:pt idx="0">
                  <c:v>-405.807705849858</c:v>
                </c:pt>
                <c:pt idx="1">
                  <c:v>-300.40606338852598</c:v>
                </c:pt>
                <c:pt idx="2">
                  <c:v>-296.870941383331</c:v>
                </c:pt>
                <c:pt idx="3">
                  <c:v>-142.06704997713399</c:v>
                </c:pt>
                <c:pt idx="4">
                  <c:v>-328.68595808801302</c:v>
                </c:pt>
                <c:pt idx="5">
                  <c:v>-401.391742793069</c:v>
                </c:pt>
                <c:pt idx="6">
                  <c:v>-78.363982402884204</c:v>
                </c:pt>
                <c:pt idx="7">
                  <c:v>-75.960646003047799</c:v>
                </c:pt>
                <c:pt idx="8">
                  <c:v>-36.492029941878897</c:v>
                </c:pt>
                <c:pt idx="9">
                  <c:v>-30.561234463511301</c:v>
                </c:pt>
                <c:pt idx="10">
                  <c:v>-87.756429363583607</c:v>
                </c:pt>
                <c:pt idx="11">
                  <c:v>-224.97386534844799</c:v>
                </c:pt>
                <c:pt idx="12">
                  <c:v>-317.94019748739601</c:v>
                </c:pt>
                <c:pt idx="13">
                  <c:v>-466.43517805387</c:v>
                </c:pt>
                <c:pt idx="14">
                  <c:v>-499.551505965773</c:v>
                </c:pt>
                <c:pt idx="15">
                  <c:v>-353.24144449561402</c:v>
                </c:pt>
                <c:pt idx="16">
                  <c:v>-447.04364718777902</c:v>
                </c:pt>
                <c:pt idx="17">
                  <c:v>-540.98838023562098</c:v>
                </c:pt>
                <c:pt idx="18">
                  <c:v>-360.60004968716402</c:v>
                </c:pt>
                <c:pt idx="19">
                  <c:v>-447.029324436384</c:v>
                </c:pt>
                <c:pt idx="20">
                  <c:v>-452.530988768979</c:v>
                </c:pt>
                <c:pt idx="21">
                  <c:v>-679.46175418232201</c:v>
                </c:pt>
                <c:pt idx="22">
                  <c:v>-813.04055006017597</c:v>
                </c:pt>
                <c:pt idx="23">
                  <c:v>-827.93500130736004</c:v>
                </c:pt>
                <c:pt idx="24">
                  <c:v>-657.94595532474</c:v>
                </c:pt>
                <c:pt idx="25">
                  <c:v>-483.23577672146598</c:v>
                </c:pt>
                <c:pt idx="26">
                  <c:v>-317.09604294337697</c:v>
                </c:pt>
                <c:pt idx="27">
                  <c:v>-143.34457745758399</c:v>
                </c:pt>
                <c:pt idx="28">
                  <c:v>-262.80847112744402</c:v>
                </c:pt>
                <c:pt idx="29">
                  <c:v>-265.43209460512099</c:v>
                </c:pt>
                <c:pt idx="30">
                  <c:v>-88.889636187854094</c:v>
                </c:pt>
                <c:pt idx="31">
                  <c:v>-175.31488988627399</c:v>
                </c:pt>
                <c:pt idx="32">
                  <c:v>-147.25453137249201</c:v>
                </c:pt>
                <c:pt idx="33">
                  <c:v>-130.51414396189199</c:v>
                </c:pt>
                <c:pt idx="34">
                  <c:v>-140.13615638069001</c:v>
                </c:pt>
                <c:pt idx="35">
                  <c:v>-57.595195320710403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18-41C4-A24F-06ABB8453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179056"/>
        <c:axId val="1046921008"/>
      </c:lineChart>
      <c:catAx>
        <c:axId val="53862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626784"/>
        <c:crosses val="autoZero"/>
        <c:auto val="1"/>
        <c:lblAlgn val="ctr"/>
        <c:lblOffset val="100"/>
        <c:noMultiLvlLbl val="0"/>
      </c:catAx>
      <c:valAx>
        <c:axId val="5386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625824"/>
        <c:crosses val="autoZero"/>
        <c:crossBetween val="between"/>
      </c:valAx>
      <c:valAx>
        <c:axId val="104692100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79056"/>
        <c:crosses val="max"/>
        <c:crossBetween val="between"/>
      </c:valAx>
      <c:catAx>
        <c:axId val="571179056"/>
        <c:scaling>
          <c:orientation val="minMax"/>
        </c:scaling>
        <c:delete val="1"/>
        <c:axPos val="b"/>
        <c:majorTickMark val="out"/>
        <c:minorTickMark val="none"/>
        <c:tickLblPos val="nextTo"/>
        <c:crossAx val="1046921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611186</xdr:colOff>
      <xdr:row>9</xdr:row>
      <xdr:rowOff>0</xdr:rowOff>
    </xdr:from>
    <xdr:to>
      <xdr:col>22</xdr:col>
      <xdr:colOff>603249</xdr:colOff>
      <xdr:row>29</xdr:row>
      <xdr:rowOff>7938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370BAD-9148-4D14-8B13-C94497841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242887</xdr:colOff>
      <xdr:row>9</xdr:row>
      <xdr:rowOff>142875</xdr:rowOff>
    </xdr:from>
    <xdr:to>
      <xdr:col>22</xdr:col>
      <xdr:colOff>352425</xdr:colOff>
      <xdr:row>29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EC4946-9919-DC20-D607-CEA8AA5C0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64</xdr:row>
      <xdr:rowOff>61912</xdr:rowOff>
    </xdr:from>
    <xdr:to>
      <xdr:col>19</xdr:col>
      <xdr:colOff>9525</xdr:colOff>
      <xdr:row>78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C05FC-95D4-B314-4D0E-F63B230DE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304799</xdr:colOff>
      <xdr:row>48</xdr:row>
      <xdr:rowOff>128586</xdr:rowOff>
    </xdr:from>
    <xdr:to>
      <xdr:col>34</xdr:col>
      <xdr:colOff>28574</xdr:colOff>
      <xdr:row>67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B32E60-D6A6-2CA8-4CEE-543DF13E3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419100</xdr:colOff>
      <xdr:row>58</xdr:row>
      <xdr:rowOff>95250</xdr:rowOff>
    </xdr:from>
    <xdr:to>
      <xdr:col>32</xdr:col>
      <xdr:colOff>66675</xdr:colOff>
      <xdr:row>77</xdr:row>
      <xdr:rowOff>138113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DAF9EA-2945-446E-94CA-0D4CE79F5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Monrroy" refreshedDate="45705.466737847222" createdVersion="8" refreshedVersion="8" minRefreshableVersion="3" recordCount="17" xr:uid="{64FD20B0-5C27-4B34-BC67-FC11037270ED}">
  <cacheSource type="worksheet">
    <worksheetSource ref="A1:J18" sheet="Graficos"/>
  </cacheSource>
  <cacheFields count="10">
    <cacheField name="Variable" numFmtId="0">
      <sharedItems count="17">
        <s v="Base"/>
        <s v="Twinings Price"/>
        <s v="Competitor Price"/>
        <s v="Twinings WD"/>
        <s v="Competitor WD"/>
        <s v="Discounts"/>
        <s v="YouTube + Facebook"/>
        <s v="Paid Search"/>
        <s v="Online Banners"/>
        <s v="OOH Large Format"/>
        <s v="OOH Retail Media"/>
        <s v="Competitor Media"/>
        <s v="Inflation"/>
        <s v="Temperature"/>
        <s v="Covid Index"/>
        <s v="Winter Solstice"/>
        <s v="Independence Month"/>
      </sharedItems>
    </cacheField>
    <cacheField name="Variable 2" numFmtId="0">
      <sharedItems/>
    </cacheField>
    <cacheField name="Variable 3" numFmtId="0">
      <sharedItems count="7">
        <s v="Base"/>
        <s v="Price"/>
        <s v="Competitors"/>
        <s v="Distribution"/>
        <s v="Discount"/>
        <s v="Media"/>
        <s v="External Factors"/>
      </sharedItems>
    </cacheField>
    <cacheField name="Total" numFmtId="165">
      <sharedItems containsSemiMixedTypes="0" containsString="0" containsNumber="1" minValue="-0.12048612543622583" maxValue="0.89894805771569597"/>
    </cacheField>
    <cacheField name="FY'22" numFmtId="165">
      <sharedItems containsSemiMixedTypes="0" containsString="0" containsNumber="1" minValue="-0.11168606461133508" maxValue="0.87739503817345643"/>
    </cacheField>
    <cacheField name="FY'23" numFmtId="165">
      <sharedItems containsSemiMixedTypes="0" containsString="0" containsNumber="1" minValue="-0.19607573230414302" maxValue="0.93991509859739863"/>
    </cacheField>
    <cacheField name="FY'24" numFmtId="165">
      <sharedItems containsSemiMixedTypes="0" containsString="0" containsNumber="1" minValue="-0.12339710054676843" maxValue="0.88185306889516568"/>
    </cacheField>
    <cacheField name="FY_2022" numFmtId="0">
      <sharedItems containsSemiMixedTypes="0" containsString="0" containsNumber="1" minValue="-3749.1080961819202" maxValue="29452.634512758203"/>
    </cacheField>
    <cacheField name="FY_2023" numFmtId="0">
      <sharedItems containsSemiMixedTypes="0" containsString="0" containsNumber="1" minValue="-6205.798021868437" maxValue="29748.318116962429"/>
    </cacheField>
    <cacheField name="FY_2024" numFmtId="0">
      <sharedItems containsSemiMixedTypes="0" containsString="0" containsNumber="1" minValue="-4136.8875728739195" maxValue="29564.1225413596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Monrroy" refreshedDate="45705.560920717595" createdVersion="8" refreshedVersion="8" minRefreshableVersion="3" recordCount="17" xr:uid="{568F977C-7A78-4255-96BE-935222060E11}">
  <cacheSource type="worksheet">
    <worksheetSource ref="A1:L18" sheet="Graficos"/>
  </cacheSource>
  <cacheFields count="12">
    <cacheField name="Variable" numFmtId="0">
      <sharedItems/>
    </cacheField>
    <cacheField name="Variable 2" numFmtId="0">
      <sharedItems/>
    </cacheField>
    <cacheField name="Variable 3" numFmtId="0">
      <sharedItems count="7">
        <s v="Base"/>
        <s v="Price"/>
        <s v="Competitors"/>
        <s v="Distribution"/>
        <s v="Discount"/>
        <s v="Media"/>
        <s v="External Factors"/>
      </sharedItems>
    </cacheField>
    <cacheField name="Total" numFmtId="165">
      <sharedItems containsSemiMixedTypes="0" containsString="0" containsNumber="1" minValue="-0.12048612543622583" maxValue="0.89894805771569597"/>
    </cacheField>
    <cacheField name="FY'22" numFmtId="165">
      <sharedItems containsSemiMixedTypes="0" containsString="0" containsNumber="1" minValue="-0.11168606461133508" maxValue="0.87739503817345643"/>
    </cacheField>
    <cacheField name="FY'23" numFmtId="165">
      <sharedItems containsSemiMixedTypes="0" containsString="0" containsNumber="1" minValue="-0.19607573230414302" maxValue="0.93991509859739863"/>
    </cacheField>
    <cacheField name="FY'24" numFmtId="165">
      <sharedItems containsSemiMixedTypes="0" containsString="0" containsNumber="1" minValue="-0.12339710054676843" maxValue="0.88185306889516568"/>
    </cacheField>
    <cacheField name="FY_2022" numFmtId="0">
      <sharedItems containsSemiMixedTypes="0" containsString="0" containsNumber="1" minValue="-3749.1080961819202" maxValue="29452.634512758203"/>
    </cacheField>
    <cacheField name="FY_2023" numFmtId="0">
      <sharedItems containsSemiMixedTypes="0" containsString="0" containsNumber="1" minValue="-6205.798021868437" maxValue="29748.318116962429"/>
    </cacheField>
    <cacheField name="FY_2024" numFmtId="0">
      <sharedItems containsSemiMixedTypes="0" containsString="0" containsNumber="1" minValue="-4136.8875728739195" maxValue="29564.122541359648"/>
    </cacheField>
    <cacheField name="FY23 vs FY22 (12 Months)" numFmtId="165">
      <sharedItems containsSemiMixedTypes="0" containsString="0" containsNumber="1" minValue="-0.11309669063156724" maxValue="6.5407354039738463E-2"/>
    </cacheField>
    <cacheField name="FY24 vs FY23 (12 Months)" numFmtId="165">
      <sharedItems containsSemiMixedTypes="0" containsString="0" containsNumber="1" minValue="-9.4497244456461502E-2" maxValue="0.10541010939045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Monrroy" refreshedDate="45709.619074884256" createdVersion="8" refreshedVersion="8" minRefreshableVersion="3" recordCount="37" xr:uid="{B6406BE2-F5AE-4BFC-B4B3-4CD2F077937B}">
  <cacheSource type="worksheet">
    <worksheetSource ref="A1:BQ38" sheet="Full Data"/>
  </cacheSource>
  <cacheFields count="72">
    <cacheField name="Geography" numFmtId="0">
      <sharedItems/>
    </cacheField>
    <cacheField name="Period" numFmtId="167">
      <sharedItems containsSemiMixedTypes="0" containsNonDate="0" containsDate="1" containsString="0" minDate="2021-09-01T00:00:00" maxDate="2024-09-02T00:00:00" count="37"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</sharedItems>
      <fieldGroup par="71"/>
    </cacheField>
    <cacheField name="Year" numFmtId="0">
      <sharedItems count="4">
        <s v="FY_2022"/>
        <s v="FY_2023"/>
        <s v="FY_2024"/>
        <s v="FY_2025"/>
      </sharedItems>
    </cacheField>
    <cacheField name="Twinings_Volume" numFmtId="3">
      <sharedItems containsSemiMixedTypes="0" containsString="0" containsNumber="1" minValue="1399.56" maxValue="4210.6840000000002"/>
    </cacheField>
    <cacheField name="Twinings_Value" numFmtId="3">
      <sharedItems containsSemiMixedTypes="0" containsString="0" containsNumber="1" minValue="135508963" maxValue="402318259"/>
    </cacheField>
    <cacheField name="Twinings_Price" numFmtId="3">
      <sharedItems containsSemiMixedTypes="0" containsString="0" containsNumber="1" minValue="81075.729000000007" maxValue="100548.38"/>
    </cacheField>
    <cacheField name="Competitor_Price" numFmtId="3">
      <sharedItems containsSemiMixedTypes="0" containsString="0" containsNumber="1" minValue="14951.082065872601" maxValue="20692.3965399152"/>
    </cacheField>
    <cacheField name="Twinings_WD" numFmtId="3">
      <sharedItems containsSemiMixedTypes="0" containsString="0" containsNumber="1" minValue="74.960999999999999" maxValue="85.570999999999998"/>
    </cacheField>
    <cacheField name="Dilmah_WD" numFmtId="3">
      <sharedItems containsSemiMixedTypes="0" containsString="0" containsNumber="1" minValue="85.096999999999994" maxValue="92.956999999999994"/>
    </cacheField>
    <cacheField name="Te_Club_WD" numFmtId="3">
      <sharedItems containsSemiMixedTypes="0" containsString="0" containsNumber="1" minValue="57.873329499999997" maxValue="92.2585227"/>
    </cacheField>
    <cacheField name="Competitor_WD" numFmtId="3">
      <sharedItems containsSemiMixedTypes="0" containsString="0" containsNumber="1" minValue="75.060216132855601" maxValue="91.559226987116801"/>
    </cacheField>
    <cacheField name="Discounts_7%_Min" numFmtId="9">
      <sharedItems containsSemiMixedTypes="0" containsString="0" containsNumber="1" minValue="0" maxValue="0.14928681098591501"/>
    </cacheField>
    <cacheField name="Discounts_Price_Differential_vs_Year_Max" numFmtId="9">
      <sharedItems containsSemiMixedTypes="0" containsString="0" containsNumber="1" minValue="0" maxValue="0.14928681098591501"/>
    </cacheField>
    <cacheField name="Discounts_5%_Min" numFmtId="9">
      <sharedItems containsSemiMixedTypes="0" containsString="0" containsNumber="1" minValue="0" maxValue="0.14928681098591501"/>
    </cacheField>
    <cacheField name="Discount PERIOD" numFmtId="0">
      <sharedItems containsSemiMixedTypes="0" containsString="0" containsNumber="1" containsInteger="1" minValue="0" maxValue="1"/>
    </cacheField>
    <cacheField name="Discounts_6%_Min" numFmtId="9">
      <sharedItems containsSemiMixedTypes="0" containsString="0" containsNumber="1" minValue="0" maxValue="0.14928681098591501"/>
    </cacheField>
    <cacheField name="Facebook_Instagram_Impressions" numFmtId="3">
      <sharedItems containsSemiMixedTypes="0" containsString="0" containsNumber="1" minValue="0" maxValue="51393559"/>
    </cacheField>
    <cacheField name="Facebook_Instagram_Spends" numFmtId="3">
      <sharedItems containsSemiMixedTypes="0" containsString="0" containsNumber="1" minValue="0" maxValue="27612878.417968798"/>
    </cacheField>
    <cacheField name="YouTube_Impressions" numFmtId="3">
      <sharedItems containsSemiMixedTypes="0" containsString="0" containsNumber="1" minValue="0" maxValue="12391156.428571399"/>
    </cacheField>
    <cacheField name="YouTube_Spends" numFmtId="3">
      <sharedItems containsSemiMixedTypes="0" containsString="0" containsNumber="1" minValue="0" maxValue="25129055"/>
    </cacheField>
    <cacheField name="YouTube_FB_Impressions" numFmtId="3">
      <sharedItems containsSemiMixedTypes="0" containsString="0" containsNumber="1" minValue="0" maxValue="63784715.428571403"/>
    </cacheField>
    <cacheField name="YouTube_FB_Spends" numFmtId="3">
      <sharedItems containsSemiMixedTypes="0" containsString="0" containsNumber="1" minValue="0" maxValue="44559781.5625"/>
    </cacheField>
    <cacheField name="Google_Search_Clicks" numFmtId="3">
      <sharedItems containsSemiMixedTypes="0" containsString="0" containsNumber="1" containsInteger="1" minValue="0" maxValue="32735"/>
    </cacheField>
    <cacheField name="Google_Search_Spends" numFmtId="3">
      <sharedItems containsSemiMixedTypes="0" containsString="0" containsNumber="1" minValue="0" maxValue="3417594"/>
    </cacheField>
    <cacheField name="Google_Organic_Search" numFmtId="3">
      <sharedItems containsSemiMixedTypes="0" containsString="0" containsNumber="1" containsInteger="1" minValue="0" maxValue="358"/>
    </cacheField>
    <cacheField name="Display_Impressions" numFmtId="3">
      <sharedItems containsSemiMixedTypes="0" containsString="0" containsNumber="1" containsInteger="1" minValue="0" maxValue="1460318"/>
    </cacheField>
    <cacheField name="Display_Spends" numFmtId="3">
      <sharedItems containsSemiMixedTypes="0" containsString="0" containsNumber="1" containsInteger="1" minValue="0" maxValue="7700000"/>
    </cacheField>
    <cacheField name="OOH_Screen_Spends" numFmtId="3">
      <sharedItems containsSemiMixedTypes="0" containsString="0" containsNumber="1" minValue="0" maxValue="26962827.666666701"/>
    </cacheField>
    <cacheField name="OOH_Screen_GRPs" numFmtId="3">
      <sharedItems containsSemiMixedTypes="0" containsString="0" containsNumber="1" minValue="0" maxValue="272.21156777819999"/>
    </cacheField>
    <cacheField name="OOH_Retail_Spends" numFmtId="3">
      <sharedItems containsSemiMixedTypes="0" containsString="0" containsNumber="1" minValue="0" maxValue="10445652.173913"/>
    </cacheField>
    <cacheField name="OOH_Retail_GRPs" numFmtId="3">
      <sharedItems containsSemiMixedTypes="0" containsString="0" containsNumber="1" minValue="0" maxValue="80.308709654599994"/>
    </cacheField>
    <cacheField name="OOH_Cinema_Spends" numFmtId="3">
      <sharedItems containsSemiMixedTypes="0" containsString="0" containsNumber="1" minValue="0" maxValue="28109064.904761899"/>
    </cacheField>
    <cacheField name="OOH_Cinema_GRPs" numFmtId="3">
      <sharedItems containsSemiMixedTypes="0" containsString="0" containsNumber="1" containsInteger="1" minValue="0" maxValue="80"/>
    </cacheField>
    <cacheField name="Supremo_GRPs" numFmtId="3">
      <sharedItems containsSemiMixedTypes="0" containsString="0" containsNumber="1" minValue="0" maxValue="866.21580457687401"/>
    </cacheField>
    <cacheField name="Te_Club_GRPs" numFmtId="3">
      <sharedItems containsSemiMixedTypes="0" containsString="0" containsNumber="1" minValue="0" maxValue="688.49309452623095"/>
    </cacheField>
    <cacheField name="Lipton_GRPs" numFmtId="3">
      <sharedItems containsSemiMixedTypes="0" containsString="0" containsNumber="1" minValue="0" maxValue="132.59826133400199"/>
    </cacheField>
    <cacheField name="Competitor_GRPs" numFmtId="3">
      <sharedItems containsSemiMixedTypes="0" containsString="0" containsNumber="1" minValue="0" maxValue="1160.4542419761401"/>
    </cacheField>
    <cacheField name="Supremo_Spends" numFmtId="3">
      <sharedItems containsSemiMixedTypes="0" containsString="0" containsNumber="1" minValue="0" maxValue="144893469.767023"/>
    </cacheField>
    <cacheField name="Te_Club_Spends" numFmtId="3">
      <sharedItems containsSemiMixedTypes="0" containsString="0" containsNumber="1" minValue="0" maxValue="90192422.098880097"/>
    </cacheField>
    <cacheField name="Lipton_Spends" numFmtId="3">
      <sharedItems containsSemiMixedTypes="0" containsString="0" containsNumber="1" minValue="0" maxValue="30330316.905140299"/>
    </cacheField>
    <cacheField name="Competitor_Spends" numFmtId="3">
      <sharedItems containsSemiMixedTypes="0" containsString="0" containsNumber="1" minValue="0" maxValue="157774399.35231501"/>
    </cacheField>
    <cacheField name="Inflation" numFmtId="4">
      <sharedItems containsSemiMixedTypes="0" containsString="0" containsNumber="1" minValue="-0.52574812199999998" maxValue="1.854507063"/>
    </cacheField>
    <cacheField name="Temperature" numFmtId="3">
      <sharedItems containsSemiMixedTypes="0" containsString="0" containsNumber="1" minValue="8.1999999999999993" maxValue="21.4"/>
    </cacheField>
    <cacheField name="Unployement_Index" numFmtId="3">
      <sharedItems containsSemiMixedTypes="0" containsString="0" containsNumber="1" minValue="7.1898934478904" maxValue="8.9956512830771995"/>
    </cacheField>
    <cacheField name="GDP" numFmtId="3">
      <sharedItems containsSemiMixedTypes="0" containsString="0" containsNumber="1" minValue="0" maxValue="16832.887967938001"/>
    </cacheField>
    <cacheField name="Concumer_Trust_Index" numFmtId="3">
      <sharedItems containsSemiMixedTypes="0" containsString="0" containsNumber="1" minValue="25.805785" maxValue="38.602874999999997"/>
    </cacheField>
    <cacheField name="Covid_Index" numFmtId="3">
      <sharedItems containsSemiMixedTypes="0" containsString="0" containsNumber="1" minValue="0" maxValue="58.1"/>
    </cacheField>
    <cacheField name="Winter_Solstice" numFmtId="3">
      <sharedItems containsSemiMixedTypes="0" containsString="0" containsNumber="1" containsInteger="1" minValue="0" maxValue="1"/>
    </cacheField>
    <cacheField name="Independence_Month" numFmtId="3">
      <sharedItems containsSemiMixedTypes="0" containsString="0" containsNumber="1" containsInteger="1" minValue="0" maxValue="1"/>
    </cacheField>
    <cacheField name="Christmas" numFmtId="3">
      <sharedItems containsSemiMixedTypes="0" containsString="0" containsNumber="1" containsInteger="1" minValue="0" maxValue="1"/>
    </cacheField>
    <cacheField name="APE" numFmtId="165">
      <sharedItems containsSemiMixedTypes="0" containsString="0" containsNumber="1" minValue="8.8521303739470857E-4" maxValue="0.19669296097490765"/>
    </cacheField>
    <cacheField name="Residual" numFmtId="3">
      <sharedItems containsSemiMixedTypes="0" containsString="0" containsNumber="1" minValue="-398.39647843769012" maxValue="446.59824735489019"/>
    </cacheField>
    <cacheField name="Contribution-Base" numFmtId="3">
      <sharedItems containsSemiMixedTypes="0" containsString="0" containsNumber="1" minValue="2432.4739618746098" maxValue="2512.4215074825502"/>
    </cacheField>
    <cacheField name="Contribution-Twinings_Price" numFmtId="3">
      <sharedItems containsSemiMixedTypes="0" containsString="0" containsNumber="1" minValue="-827.93500130736004" maxValue="0"/>
    </cacheField>
    <cacheField name="Contribution-Competitor_Price" numFmtId="3">
      <sharedItems containsSemiMixedTypes="0" containsString="0" containsNumber="1" minValue="0" maxValue="436.14917391957198"/>
    </cacheField>
    <cacheField name="Contribution-Twinings_WD" numFmtId="3">
      <sharedItems containsSemiMixedTypes="0" containsString="0" containsNumber="1" minValue="0" maxValue="765.13329704554906"/>
    </cacheField>
    <cacheField name="Contribution-Competitor_WD" numFmtId="3">
      <sharedItems containsSemiMixedTypes="0" containsString="0" containsNumber="1" minValue="-256.99128425429001" maxValue="0"/>
    </cacheField>
    <cacheField name="Contribution-Discounts_5%_Min" numFmtId="3">
      <sharedItems containsSemiMixedTypes="0" containsString="0" containsNumber="1" minValue="0" maxValue="662.25311097081396"/>
    </cacheField>
    <cacheField name="Contribution-YouTube_FB_Impressions" numFmtId="3">
      <sharedItems containsSemiMixedTypes="0" containsString="0" containsNumber="1" minValue="3.9018266009146901E-8" maxValue="396.74059646403299"/>
    </cacheField>
    <cacheField name="Contribution-Google_Search_Clicks" numFmtId="3">
      <sharedItems containsSemiMixedTypes="0" containsString="0" containsNumber="1" minValue="1.7443190530789799E-8" maxValue="174.83294440917601"/>
    </cacheField>
    <cacheField name="Contribution-Display_Impressions" numFmtId="3">
      <sharedItems containsSemiMixedTypes="0" containsString="0" containsNumber="1" minValue="2.76416882247753E-8" maxValue="271.09594003145298"/>
    </cacheField>
    <cacheField name="Contribution-OOH_Screen_GRPs" numFmtId="3">
      <sharedItems containsSemiMixedTypes="0" containsString="0" containsNumber="1" minValue="2.09101244950685E-8" maxValue="224.130800982072"/>
    </cacheField>
    <cacheField name="Contribution-OOH_Retail_GRPs" numFmtId="3">
      <sharedItems containsSemiMixedTypes="0" containsString="0" containsNumber="1" minValue="3.62337666511555E-9" maxValue="129.339304908945"/>
    </cacheField>
    <cacheField name="Contribution-Competitor_GRPs" numFmtId="3">
      <sharedItems containsSemiMixedTypes="0" containsString="0" containsNumber="1" minValue="-111.096400755093" maxValue="-1.1326817721787201E-6"/>
    </cacheField>
    <cacheField name="Contribution-Inflation" numFmtId="3">
      <sharedItems containsSemiMixedTypes="0" containsString="0" containsNumber="1" minValue="-217.057873083918" maxValue="65.0437038090474"/>
    </cacheField>
    <cacheField name="Contribution-Temperature" numFmtId="3">
      <sharedItems containsSemiMixedTypes="0" containsString="0" containsNumber="1" minValue="-660.80318951635002" maxValue="0"/>
    </cacheField>
    <cacheField name="Contribution-Covid_Index" numFmtId="3">
      <sharedItems containsSemiMixedTypes="0" containsString="0" containsNumber="1" minValue="0" maxValue="508.04527659664097"/>
    </cacheField>
    <cacheField name="Contribution-Winter_Solstice" numFmtId="3">
      <sharedItems containsSemiMixedTypes="0" containsString="0" containsNumber="1" minValue="0" maxValue="595.78993032942003"/>
    </cacheField>
    <cacheField name="Contribution-Independence_Month" numFmtId="3">
      <sharedItems containsSemiMixedTypes="0" containsString="0" containsNumber="1" minValue="0" maxValue="519.93444782320296"/>
    </cacheField>
    <cacheField name="Months (Period)" numFmtId="0" databaseField="0">
      <fieldGroup base="1">
        <rangePr groupBy="months" startDate="2021-09-01T00:00:00" endDate="2024-09-02T00:00:00"/>
        <groupItems count="14">
          <s v="&lt;9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/2024"/>
        </groupItems>
      </fieldGroup>
    </cacheField>
    <cacheField name="Quarters (Period)" numFmtId="0" databaseField="0">
      <fieldGroup base="1">
        <rangePr groupBy="quarters" startDate="2021-09-01T00:00:00" endDate="2024-09-02T00:00:00"/>
        <groupItems count="6">
          <s v="&lt;9/1/2021"/>
          <s v="Qtr1"/>
          <s v="Qtr2"/>
          <s v="Qtr3"/>
          <s v="Qtr4"/>
          <s v="&gt;9/2/2024"/>
        </groupItems>
      </fieldGroup>
    </cacheField>
    <cacheField name="Years (Period)" numFmtId="0" databaseField="0">
      <fieldGroup base="1">
        <rangePr groupBy="years" startDate="2021-09-01T00:00:00" endDate="2024-09-02T00:00:00"/>
        <groupItems count="6">
          <s v="&lt;9/1/2021"/>
          <s v="2021"/>
          <s v="2022"/>
          <s v="2023"/>
          <s v="2024"/>
          <s v="&gt;9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s v="Base"/>
    <x v="0"/>
    <n v="0.89894805771569597"/>
    <n v="0.87739503817345643"/>
    <n v="0.93991509859739863"/>
    <n v="0.88185306889516568"/>
    <n v="29452.634512758203"/>
    <n v="29748.318116962429"/>
    <n v="29564.122541359648"/>
  </r>
  <r>
    <x v="1"/>
    <s v="Twinings Price"/>
    <x v="1"/>
    <n v="-0.11630871221805626"/>
    <n v="-7.1774254951769159E-2"/>
    <n v="-0.19607573230414302"/>
    <n v="-8.5594858342855948E-2"/>
    <n v="-2409.3376490032847"/>
    <n v="-6205.798021868437"/>
    <n v="-2869.5674712896448"/>
  </r>
  <r>
    <x v="2"/>
    <s v="Competitor Price"/>
    <x v="2"/>
    <n v="8.6656897277288175E-2"/>
    <n v="3.058755983120668E-2"/>
    <n v="0.1018130403094302"/>
    <n v="0.12849011978044955"/>
    <n v="1026.7715010345821"/>
    <n v="3222.3832940866337"/>
    <n v="4307.6310334809041"/>
  </r>
  <r>
    <x v="3"/>
    <s v="Twinings WD"/>
    <x v="3"/>
    <n v="9.4852555977626013E-2"/>
    <n v="0.10041970459297066"/>
    <n v="6.2054863489471958E-2"/>
    <n v="0.12024159824927308"/>
    <n v="3370.9158686525466"/>
    <n v="1964.036775815443"/>
    <n v="4031.0993640518163"/>
  </r>
  <r>
    <x v="4"/>
    <s v="Competitor WD"/>
    <x v="2"/>
    <n v="-4.4486091430964353E-2"/>
    <n v="-2.8270587878949063E-2"/>
    <n v="-2.8788668770562176E-2"/>
    <n v="-7.5542019555251874E-2"/>
    <n v="-948.99475838486524"/>
    <n v="-911.16152727894439"/>
    <n v="-2532.5460690988998"/>
  </r>
  <r>
    <x v="5"/>
    <s v="Discounts"/>
    <x v="4"/>
    <n v="8.7941858304036585E-2"/>
    <n v="0.10521194586700852"/>
    <n v="0.12863698015776506"/>
    <n v="3.2230361931085284E-2"/>
    <n v="3531.783122968257"/>
    <n v="4071.3611400104924"/>
    <n v="1080.5228255051343"/>
  </r>
  <r>
    <x v="6"/>
    <s v="YouTube + Facebook"/>
    <x v="5"/>
    <n v="3.9107613012155623E-2"/>
    <n v="1.4832656403069067E-11"/>
    <n v="3.727970968304254E-2"/>
    <n v="7.9991376771527331E-2"/>
    <n v="4.9790663143293373E-7"/>
    <n v="1179.9030195536679"/>
    <n v="2681.7107617353417"/>
  </r>
  <r>
    <x v="7"/>
    <s v="Paid Search"/>
    <x v="5"/>
    <n v="5.9051475665314193E-3"/>
    <n v="8.0729101764474932E-12"/>
    <n v="1.1302285347430633E-2"/>
    <n v="6.7226316762515059E-3"/>
    <n v="2.7099363745687012E-7"/>
    <n v="357.71739433251435"/>
    <n v="225.37621479973859"/>
  </r>
  <r>
    <x v="8"/>
    <s v="Online Banners"/>
    <x v="5"/>
    <n v="1.0676612428855257E-2"/>
    <n v="1.2326337592241742E-11"/>
    <n v="2.5323042972979971E-2"/>
    <n v="7.5397237190016481E-3"/>
    <n v="4.1377384210075308E-7"/>
    <n v="801.47445144127107"/>
    <n v="252.76922405659792"/>
  </r>
  <r>
    <x v="9"/>
    <s v="OOH Large Format"/>
    <x v="5"/>
    <n v="1.2429807820647901E-2"/>
    <n v="8.9434901981195588E-12"/>
    <n v="2.0804487044272655E-2"/>
    <n v="1.6969361064758173E-2"/>
    <n v="3.0021750364808441E-7"/>
    <n v="658.46213107631343"/>
    <n v="568.89779903541717"/>
  </r>
  <r>
    <x v="10"/>
    <s v="OOH Retail Media"/>
    <x v="5"/>
    <n v="1.2176356986993299E-2"/>
    <n v="1.6555851719190653E-12"/>
    <n v="7.2711456751503962E-3"/>
    <n v="2.8999302496979355E-2"/>
    <n v="5.5575131898152271E-8"/>
    <n v="230.13180120410101"/>
    <n v="972.20156381467962"/>
  </r>
  <r>
    <x v="11"/>
    <s v="Competitor Media"/>
    <x v="2"/>
    <n v="-2.5158970025167943E-2"/>
    <n v="-1.6468526634322533E-2"/>
    <n v="-2.4041151415212552E-2"/>
    <n v="-3.4915931775840535E-2"/>
    <n v="-552.81996685788795"/>
    <n v="-760.90257648275633"/>
    <n v="-1170.5565496982097"/>
  </r>
  <r>
    <x v="12"/>
    <s v="Other EF"/>
    <x v="6"/>
    <n v="-2.7561157065679801E-2"/>
    <n v="-4.6618383699484033E-2"/>
    <n v="-1.8884653008043144E-2"/>
    <n v="-1.6670574870647357E-2"/>
    <n v="-1564.898542775878"/>
    <n v="-597.69937311364913"/>
    <n v="-558.88099241770522"/>
  </r>
  <r>
    <x v="13"/>
    <s v="Temperature"/>
    <x v="6"/>
    <n v="-0.12048612543622583"/>
    <n v="-0.11168606461133508"/>
    <n v="-0.12673612092927936"/>
    <n v="-0.12339710054676843"/>
    <n v="-3749.1080961819202"/>
    <n v="-4011.1989348188317"/>
    <n v="-4136.8875728739195"/>
  </r>
  <r>
    <x v="14"/>
    <s v="Covid Index"/>
    <x v="6"/>
    <n v="5.1679035118809974E-2"/>
    <n v="0.12800777685082843"/>
    <n v="2.5464684701469027E-2"/>
    <n v="0"/>
    <n v="4296.9997576311998"/>
    <n v="805.95741293855588"/>
    <n v="0"/>
  </r>
  <r>
    <x v="15"/>
    <s v="Other EF"/>
    <x v="6"/>
    <n v="1.7926650861198833E-2"/>
    <n v="1.7748603386848201E-2"/>
    <n v="1.848894493980003E-2"/>
    <n v="1.7574082166979015E-2"/>
    <n v="595.78993032942003"/>
    <n v="585.17521054501799"/>
    <n v="589.17107289474802"/>
  </r>
  <r>
    <x v="16"/>
    <s v="Other EF"/>
    <x v="6"/>
    <n v="1.5700463106254982E-2"/>
    <n v="1.5447189027709831E-2"/>
    <n v="1.6172043509028951E-2"/>
    <n v="1.5508858339893702E-2"/>
    <n v="518.53542918336302"/>
    <n v="511.84526732878902"/>
    <n v="519.934447823202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Base"/>
    <s v="Base"/>
    <x v="0"/>
    <n v="0.89894805771569597"/>
    <n v="0.87739503817345643"/>
    <n v="0.93991509859739863"/>
    <n v="0.88185306889516568"/>
    <n v="29452.634512758203"/>
    <n v="29748.318116962429"/>
    <n v="29564.122541359648"/>
    <n v="8.8084251711218944E-3"/>
    <n v="-5.8197643955264821E-3"/>
  </r>
  <r>
    <s v="Twinings Price"/>
    <s v="Twinings Price"/>
    <x v="1"/>
    <n v="-0.11630871221805626"/>
    <n v="-7.1774254951769159E-2"/>
    <n v="-0.19607573230414302"/>
    <n v="-8.5594858342855948E-2"/>
    <n v="-2409.3376490032847"/>
    <n v="-6205.798021868437"/>
    <n v="-2869.5674712896448"/>
    <n v="-0.11309669063156724"/>
    <n v="0.10541010939045012"/>
  </r>
  <r>
    <s v="Competitor Price"/>
    <s v="Competitor Price"/>
    <x v="2"/>
    <n v="8.6656897277288175E-2"/>
    <n v="3.058755983120668E-2"/>
    <n v="0.1018130403094302"/>
    <n v="0.12849011978044955"/>
    <n v="1026.7715010345821"/>
    <n v="3222.3832940866337"/>
    <n v="4307.6310334809041"/>
    <n v="6.5407354039738463E-2"/>
    <n v="3.4289022053779386E-2"/>
  </r>
  <r>
    <s v="Twinings WD"/>
    <s v="Twinings WD"/>
    <x v="3"/>
    <n v="9.4852555977626013E-2"/>
    <n v="0.10041970459297066"/>
    <n v="6.2054863489471958E-2"/>
    <n v="0.12024159824927308"/>
    <n v="3370.9158686525466"/>
    <n v="1964.036775815443"/>
    <n v="4031.0993640518163"/>
    <n v="-4.1910978619944486E-2"/>
    <n v="6.5310022865506745E-2"/>
  </r>
  <r>
    <s v="Competitor WD"/>
    <s v="Competitor WD"/>
    <x v="2"/>
    <n v="-4.4486091430964353E-2"/>
    <n v="-2.8270587878949063E-2"/>
    <n v="-2.8788668770562176E-2"/>
    <n v="-7.5542019555251874E-2"/>
    <n v="-948.99475838486524"/>
    <n v="-911.16152727894439"/>
    <n v="-2532.5460690988998"/>
    <n v="1.1270533111740969E-3"/>
    <n v="-5.1228570485806396E-2"/>
  </r>
  <r>
    <s v="Discounts"/>
    <s v="Discounts"/>
    <x v="4"/>
    <n v="8.7941858304036585E-2"/>
    <n v="0.10521194586700852"/>
    <n v="0.12863698015776506"/>
    <n v="3.2230361931085284E-2"/>
    <n v="3531.783122968257"/>
    <n v="4071.3611400104924"/>
    <n v="1080.5228255051343"/>
    <n v="1.6074048474517755E-2"/>
    <n v="-9.4497244456461502E-2"/>
  </r>
  <r>
    <s v="YouTube + Facebook"/>
    <s v="YouTube + Facebook"/>
    <x v="5"/>
    <n v="3.9107613012155623E-2"/>
    <n v="1.4832656403069067E-11"/>
    <n v="3.727970968304254E-2"/>
    <n v="7.9991376771527331E-2"/>
    <n v="4.9790663143293373E-7"/>
    <n v="1179.9030195536679"/>
    <n v="2681.7107617353417"/>
    <n v="3.5149353243661904E-2"/>
    <n v="4.7450473217245492E-2"/>
  </r>
  <r>
    <s v="Paid Search"/>
    <s v="Paid Search"/>
    <x v="5"/>
    <n v="5.9051475665314193E-3"/>
    <n v="8.0729101764474932E-12"/>
    <n v="1.1302285347430633E-2"/>
    <n v="6.7226316762515059E-3"/>
    <n v="2.7099363745687012E-7"/>
    <n v="357.71739433251435"/>
    <n v="225.37621479973859"/>
    <n v="1.0656413995222078E-2"/>
    <n v="-4.1813951403900824E-3"/>
  </r>
  <r>
    <s v="Online Banners"/>
    <s v="Online Banners"/>
    <x v="5"/>
    <n v="1.0676612428855257E-2"/>
    <n v="1.2326337592241742E-11"/>
    <n v="2.5323042972979971E-2"/>
    <n v="7.5397237190016481E-3"/>
    <n v="4.1377384210075308E-7"/>
    <n v="801.47445144127107"/>
    <n v="252.76922405659792"/>
    <n v="2.3875952633361432E-2"/>
    <n v="-1.733665499576937E-2"/>
  </r>
  <r>
    <s v="OOH Large Format"/>
    <s v="OOH Large Format"/>
    <x v="5"/>
    <n v="1.2429807820647901E-2"/>
    <n v="8.9434901981195588E-12"/>
    <n v="2.0804487044272655E-2"/>
    <n v="1.6969361064758173E-2"/>
    <n v="3.0021750364808441E-7"/>
    <n v="658.46213107631343"/>
    <n v="568.89779903541717"/>
    <n v="1.9615610485296593E-2"/>
    <n v="-2.8298362162877456E-3"/>
  </r>
  <r>
    <s v="OOH Retail Media"/>
    <s v="OOH Retail Media"/>
    <x v="5"/>
    <n v="1.2176356986993299E-2"/>
    <n v="1.6555851719190653E-12"/>
    <n v="7.2711456751503962E-3"/>
    <n v="2.8999302496979355E-2"/>
    <n v="5.5575131898152271E-8"/>
    <n v="230.13180120410101"/>
    <n v="972.20156381467962"/>
    <n v="6.8556346077011058E-3"/>
    <n v="2.3446117906496606E-2"/>
  </r>
  <r>
    <s v="Competitor Media"/>
    <s v="Competitor Media"/>
    <x v="2"/>
    <n v="-2.5158970025167943E-2"/>
    <n v="-1.6468526634322533E-2"/>
    <n v="-2.4041151415212552E-2"/>
    <n v="-3.4915931775840535E-2"/>
    <n v="-552.81996685788795"/>
    <n v="-760.90257648275633"/>
    <n v="-1170.5565496982097"/>
    <n v="-6.1987884016269723E-3"/>
    <n v="-1.2943251215471907E-2"/>
  </r>
  <r>
    <s v="Inflation"/>
    <s v="Other EF"/>
    <x v="6"/>
    <n v="-2.7561157065679801E-2"/>
    <n v="-4.6618383699484033E-2"/>
    <n v="-1.8884653008043144E-2"/>
    <n v="-1.6670574870647357E-2"/>
    <n v="-1564.898542775878"/>
    <n v="-597.69937311364913"/>
    <n v="-558.88099241770522"/>
    <n v="2.8812897943629654E-2"/>
    <n v="1.2264889052136111E-3"/>
  </r>
  <r>
    <s v="Temperature"/>
    <s v="Temperature"/>
    <x v="6"/>
    <n v="-0.12048612543622583"/>
    <n v="-0.11168606461133508"/>
    <n v="-0.12673612092927936"/>
    <n v="-0.12339710054676843"/>
    <n v="-3749.1080961819202"/>
    <n v="-4011.1989348188317"/>
    <n v="-4136.8875728739195"/>
    <n v="-7.8076954803867884E-3"/>
    <n v="-3.971204293487747E-3"/>
  </r>
  <r>
    <s v="Covid Index"/>
    <s v="Covid Index"/>
    <x v="6"/>
    <n v="5.1679035118809974E-2"/>
    <n v="0.12800777685082843"/>
    <n v="2.5464684701469027E-2"/>
    <n v="0"/>
    <n v="4296.9997576311998"/>
    <n v="805.95741293855588"/>
    <n v="0"/>
    <n v="-0.10399827662139778"/>
    <n v="-2.5464684701469027E-2"/>
  </r>
  <r>
    <s v="Winter Solstice"/>
    <s v="Other EF"/>
    <x v="6"/>
    <n v="1.7926650861198833E-2"/>
    <n v="1.7748603386848201E-2"/>
    <n v="1.848894493980003E-2"/>
    <n v="1.7574082166979015E-2"/>
    <n v="595.78993032942003"/>
    <n v="585.17521054501799"/>
    <n v="589.17107289474802"/>
    <n v="-3.1621288297322482E-4"/>
    <n v="1.262515527654857E-4"/>
  </r>
  <r>
    <s v="Independence Month"/>
    <s v="Other EF"/>
    <x v="6"/>
    <n v="1.5700463106254982E-2"/>
    <n v="1.5447189027709831E-2"/>
    <n v="1.6172043509028951E-2"/>
    <n v="1.5508858339893702E-2"/>
    <n v="518.53542918336302"/>
    <n v="511.84526732878902"/>
    <n v="519.93444782320296"/>
    <n v="-1.9930016152673355E-4"/>
    <n v="2.55582277024392E-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Chile"/>
    <x v="0"/>
    <x v="0"/>
    <n v="3309.9679999999998"/>
    <n v="268358070"/>
    <n v="81075.729000000007"/>
    <n v="15727.3875062548"/>
    <n v="75.557000000000002"/>
    <n v="89.316000000000003"/>
    <n v="57.873329499999997"/>
    <n v="77.155250498757297"/>
    <n v="0.14746771586798699"/>
    <n v="0.14746771586798699"/>
    <n v="0.14746771586798699"/>
    <n v="1"/>
    <n v="0.14746771586798699"/>
    <n v="0"/>
    <n v="0"/>
    <n v="0"/>
    <n v="0"/>
    <n v="0"/>
    <n v="0"/>
    <n v="0"/>
    <n v="0"/>
    <n v="0"/>
    <n v="0"/>
    <n v="0"/>
    <n v="0"/>
    <n v="0"/>
    <n v="0"/>
    <n v="0"/>
    <n v="0"/>
    <n v="0"/>
    <n v="468.20819533616299"/>
    <n v="268.21275275945698"/>
    <n v="39.402785614132902"/>
    <n v="775.82373370975301"/>
    <n v="0"/>
    <n v="0"/>
    <n v="0"/>
    <n v="0"/>
    <n v="1.177877488"/>
    <n v="12.1"/>
    <n v="8.4056111552988"/>
    <n v="16026.5949762"/>
    <n v="38.602874999999997"/>
    <n v="58.1"/>
    <n v="0"/>
    <n v="1"/>
    <n v="0"/>
    <n v="2.0832139200916762E-2"/>
    <n v="-68.953714126580053"/>
    <n v="2486.3068578007301"/>
    <n v="-405.807705849858"/>
    <n v="23.457837198065398"/>
    <n v="88.337516913782594"/>
    <n v="-41.214992296714897"/>
    <n v="602.363640036314"/>
    <n v="4.5318190105233498E-8"/>
    <n v="2.4060811361772499E-8"/>
    <n v="3.5499081134420703E-8"/>
    <n v="2.09101244950685E-8"/>
    <n v="3.62337666511555E-9"/>
    <n v="-72.034821602553606"/>
    <n v="-138.30448343515999"/>
    <n v="-190.76284054744201"/>
    <n v="508.04527659664097"/>
    <n v="0"/>
    <n v="518.53542918336302"/>
  </r>
  <r>
    <s v="Chile"/>
    <x v="1"/>
    <x v="0"/>
    <n v="3028.2979999999998"/>
    <n v="248996747.59299999"/>
    <n v="82223.331000000006"/>
    <n v="15195.1631933478"/>
    <n v="78.861999999999995"/>
    <n v="91.332999999999998"/>
    <n v="59.345454500000002"/>
    <n v="79.372791137919606"/>
    <n v="0.135400383678665"/>
    <n v="0.135400383678665"/>
    <n v="0.135400383678665"/>
    <n v="1"/>
    <n v="0.135400383678665"/>
    <n v="0"/>
    <n v="0"/>
    <n v="0"/>
    <n v="0"/>
    <n v="0"/>
    <n v="0"/>
    <n v="0"/>
    <n v="0"/>
    <n v="56"/>
    <n v="0"/>
    <n v="0"/>
    <n v="0"/>
    <n v="0"/>
    <n v="0"/>
    <n v="0"/>
    <n v="0"/>
    <n v="0"/>
    <n v="3.37702619284391"/>
    <n v="170.112766385078"/>
    <n v="60.249909833073602"/>
    <n v="233.73970241099599"/>
    <n v="0"/>
    <n v="0"/>
    <n v="0"/>
    <n v="0"/>
    <n v="1.3410165000000001"/>
    <n v="14.8"/>
    <n v="8.0766005069858995"/>
    <n v="16026.5949762"/>
    <n v="38.294674999999998"/>
    <n v="37.700000000000003"/>
    <n v="0"/>
    <n v="0"/>
    <n v="0"/>
    <n v="3.0978030802665358E-2"/>
    <n v="93.810708723649896"/>
    <n v="2472.8050198772999"/>
    <n v="-300.40606338852598"/>
    <n v="3.25198254240627"/>
    <n v="348.14222628112998"/>
    <n v="-77.633850889765696"/>
    <n v="662.25311097081396"/>
    <n v="4.4237048867877399E-8"/>
    <n v="2.36856737434794E-8"/>
    <n v="3.5473090885576498E-8"/>
    <n v="2.2251739465110201E-8"/>
    <n v="3.9543282984732304E-9"/>
    <n v="-72.448132634343096"/>
    <n v="-156.981204591216"/>
    <n v="-312.01808851802599"/>
    <n v="367.52229149698002"/>
    <n v="0"/>
    <n v="0"/>
  </r>
  <r>
    <s v="Chile"/>
    <x v="2"/>
    <x v="0"/>
    <n v="2525.5610000000001"/>
    <n v="212570823"/>
    <n v="84167.763999999996"/>
    <n v="15021.6500137779"/>
    <n v="78.117999999999995"/>
    <n v="91.82"/>
    <n v="59.635036499999998"/>
    <n v="80.879468189047103"/>
    <n v="0.114954167193437"/>
    <n v="0.114954167193437"/>
    <n v="0.114954167193437"/>
    <n v="1"/>
    <n v="0.114954167193437"/>
    <n v="0"/>
    <n v="0"/>
    <n v="0"/>
    <n v="0"/>
    <n v="0"/>
    <n v="0"/>
    <n v="0"/>
    <n v="0"/>
    <n v="96"/>
    <n v="0"/>
    <n v="0"/>
    <n v="0"/>
    <n v="0"/>
    <n v="0"/>
    <n v="0"/>
    <n v="0"/>
    <n v="0"/>
    <n v="581.69393175840401"/>
    <n v="174.699480950832"/>
    <n v="5.5167764127254504"/>
    <n v="761.91018912196205"/>
    <n v="0"/>
    <n v="0"/>
    <n v="0"/>
    <n v="0"/>
    <n v="0.49877719199999998"/>
    <n v="17.8"/>
    <n v="7.5276490552739999"/>
    <n v="16026.5949762"/>
    <n v="34.230894999999997"/>
    <n v="32.200000000000003"/>
    <n v="0"/>
    <n v="0"/>
    <n v="0"/>
    <n v="7.0298551924483338E-2"/>
    <n v="-177.54328109695007"/>
    <n v="2469.03999939717"/>
    <n v="-296.870941383331"/>
    <n v="0"/>
    <n v="317.97257976898601"/>
    <n v="-106.07662389678001"/>
    <n v="581.10767844492898"/>
    <n v="4.3414245480788497E-8"/>
    <n v="2.3657323366789001E-8"/>
    <n v="3.52780814949017E-8"/>
    <n v="2.3129083605068002E-8"/>
    <n v="3.9226534724182897E-9"/>
    <n v="-79.624360053510102"/>
    <n v="-58.628364426772997"/>
    <n v="-450.08939582860302"/>
    <n v="326.27370894545402"/>
    <n v="0"/>
    <n v="0"/>
  </r>
  <r>
    <s v="Chile"/>
    <x v="3"/>
    <x v="0"/>
    <n v="2741.46"/>
    <n v="260712553"/>
    <n v="95099.892999999996"/>
    <n v="14951.082065872601"/>
    <n v="77.146000000000001"/>
    <n v="91.677000000000007"/>
    <n v="59.453170399999998"/>
    <n v="80.035331751232704"/>
    <n v="0"/>
    <n v="0"/>
    <n v="0"/>
    <n v="0"/>
    <n v="0"/>
    <n v="0"/>
    <n v="0"/>
    <n v="0"/>
    <n v="0"/>
    <n v="0"/>
    <n v="0"/>
    <n v="0"/>
    <n v="0"/>
    <n v="107"/>
    <n v="0"/>
    <n v="0"/>
    <n v="0"/>
    <n v="0"/>
    <n v="0"/>
    <n v="0"/>
    <n v="0"/>
    <n v="0"/>
    <n v="43.972822815179804"/>
    <n v="179.249939799309"/>
    <n v="10.022853657603299"/>
    <n v="233.24561627209201"/>
    <n v="0"/>
    <n v="0"/>
    <n v="0"/>
    <n v="0"/>
    <n v="0.78140216399999995"/>
    <n v="20"/>
    <n v="7.1898934478904"/>
    <n v="16026.5949762"/>
    <n v="33.701884999999997"/>
    <n v="31.6"/>
    <n v="0"/>
    <n v="0"/>
    <n v="1"/>
    <n v="0.16290525754703339"/>
    <n v="446.59824735489019"/>
    <n v="2447.4368359373102"/>
    <n v="-142.06704997713399"/>
    <n v="16.158530089885701"/>
    <n v="312.59824911967598"/>
    <n v="-82.661177705094801"/>
    <n v="91.953482452882596"/>
    <n v="4.2091654425249099E-8"/>
    <n v="2.3005333804191E-8"/>
    <n v="3.5404535137915803E-8"/>
    <n v="2.48737939297717E-8"/>
    <n v="4.5340985985508402E-9"/>
    <n v="-86.216045908330699"/>
    <n v="-91.119559142992003"/>
    <n v="-540.29591902155198"/>
    <n v="369.07440667054698"/>
    <n v="0"/>
    <n v="0"/>
  </r>
  <r>
    <s v="Chile"/>
    <x v="4"/>
    <x v="0"/>
    <n v="2120.7910000000002"/>
    <n v="178952366"/>
    <n v="84380.01"/>
    <n v="15075.672614555901"/>
    <n v="76.95"/>
    <n v="89.608999999999995"/>
    <n v="59.753444500000001"/>
    <n v="78.478416445387197"/>
    <n v="0.112722345544595"/>
    <n v="0.112722345544595"/>
    <n v="0.112722345544595"/>
    <n v="1"/>
    <n v="0.112722345544595"/>
    <n v="0"/>
    <n v="0"/>
    <n v="0"/>
    <n v="0"/>
    <n v="0"/>
    <n v="0"/>
    <n v="0"/>
    <n v="0"/>
    <n v="104"/>
    <n v="0"/>
    <n v="0"/>
    <n v="0"/>
    <n v="0"/>
    <n v="0"/>
    <n v="0"/>
    <n v="0"/>
    <n v="0"/>
    <n v="16.111890137195601"/>
    <n v="0"/>
    <n v="0"/>
    <n v="16.111890137195601"/>
    <n v="4270269.4723317204"/>
    <n v="0"/>
    <n v="0"/>
    <n v="4270269.4723317204"/>
    <n v="1.2011129330000001"/>
    <n v="21.4"/>
    <n v="7.2714648197559999"/>
    <n v="15268.746239116001"/>
    <n v="34.950890000000001"/>
    <n v="29.9"/>
    <n v="0"/>
    <n v="0"/>
    <n v="0"/>
    <n v="9.0961250673220501E-2"/>
    <n v="-192.90980177650999"/>
    <n v="2469.8362710900501"/>
    <n v="-328.68595808801302"/>
    <n v="11.907813680751801"/>
    <n v="250.44131200179001"/>
    <n v="-67.563189146046398"/>
    <n v="474.28450754404798"/>
    <n v="4.2168590417041297E-8"/>
    <n v="2.3638541308906801E-8"/>
    <n v="3.47755972442416E-8"/>
    <n v="2.4087148836215301E-8"/>
    <n v="3.8383432292940997E-9"/>
    <n v="-43.124681689568398"/>
    <n v="-142.97646455642001"/>
    <n v="-620.55192359233797"/>
    <n v="310.13311440374798"/>
    <n v="0"/>
    <n v="0"/>
  </r>
  <r>
    <s v="Chile"/>
    <x v="5"/>
    <x v="0"/>
    <n v="2025.4739999999999"/>
    <n v="176413263"/>
    <n v="87097.274000000005"/>
    <n v="15329.9301795997"/>
    <n v="77.933999999999997"/>
    <n v="89.950999999999993"/>
    <n v="58.502907"/>
    <n v="78.672439722451003"/>
    <n v="8.4149610978005995E-2"/>
    <n v="8.4149610978005995E-2"/>
    <n v="8.4149610978005995E-2"/>
    <n v="1"/>
    <n v="8.4149610978005995E-2"/>
    <n v="0"/>
    <n v="0"/>
    <n v="0"/>
    <n v="0"/>
    <n v="0"/>
    <n v="0"/>
    <n v="0"/>
    <n v="0"/>
    <n v="110"/>
    <n v="0"/>
    <n v="0"/>
    <n v="0"/>
    <n v="0"/>
    <n v="0"/>
    <n v="0"/>
    <n v="0"/>
    <n v="0"/>
    <n v="2.6243679523468"/>
    <n v="0"/>
    <n v="0"/>
    <n v="2.6243679523468"/>
    <n v="33047.971514168101"/>
    <n v="0"/>
    <n v="0"/>
    <n v="33047.971514168101"/>
    <n v="0.28933381699999999"/>
    <n v="20.7"/>
    <n v="7.4985219215408003"/>
    <n v="15268.746239116001"/>
    <n v="35.472745000000003"/>
    <n v="29.4"/>
    <n v="0"/>
    <n v="0"/>
    <n v="0"/>
    <n v="0.19669296097490765"/>
    <n v="-398.39647843769012"/>
    <n v="2473.4602859516599"/>
    <n v="-401.391742793069"/>
    <n v="32.352805478062898"/>
    <n v="312.15807088727001"/>
    <n v="-73.834497353287105"/>
    <n v="407.44942462436501"/>
    <n v="4.1765390879411201E-8"/>
    <n v="2.3647194714937301E-8"/>
    <n v="3.4416746553248597E-8"/>
    <n v="2.43217270033122E-8"/>
    <n v="3.71765953640389E-9"/>
    <n v="-2.04699146825187"/>
    <n v="-34.694541334687898"/>
    <n v="-591.38524836199895"/>
    <n v="301.80291267975201"/>
    <n v="0"/>
    <n v="0"/>
  </r>
  <r>
    <s v="Chile"/>
    <x v="6"/>
    <x v="0"/>
    <n v="2782.846"/>
    <n v="253028625"/>
    <n v="90924.407999999996"/>
    <n v="15728.3608935335"/>
    <n v="76.572000000000003"/>
    <n v="90.072999999999993"/>
    <n v="60"/>
    <n v="79.395652617142304"/>
    <n v="0"/>
    <n v="4.3906305972394699E-2"/>
    <n v="0"/>
    <n v="0"/>
    <n v="0"/>
    <n v="0"/>
    <n v="0"/>
    <n v="0"/>
    <n v="0"/>
    <n v="0"/>
    <n v="0"/>
    <n v="0"/>
    <n v="0"/>
    <n v="122"/>
    <n v="0"/>
    <n v="0"/>
    <n v="0"/>
    <n v="0"/>
    <n v="0"/>
    <n v="0"/>
    <n v="0"/>
    <n v="0"/>
    <n v="0"/>
    <n v="0"/>
    <n v="0"/>
    <n v="0"/>
    <n v="0"/>
    <n v="0"/>
    <n v="0"/>
    <n v="0"/>
    <n v="1.854507063"/>
    <n v="18.899999999999999"/>
    <n v="7.7978651688704002"/>
    <n v="15268.746239116001"/>
    <n v="33.09346"/>
    <n v="29"/>
    <n v="0"/>
    <n v="0"/>
    <n v="0"/>
    <n v="0.13090128484165131"/>
    <n v="364.27811691645002"/>
    <n v="2439.25592812996"/>
    <n v="-78.363982402884204"/>
    <n v="95.651762054168103"/>
    <n v="302.29040208399499"/>
    <n v="-68.995241173580098"/>
    <n v="67.796035038763407"/>
    <n v="4.05556435893264E-8"/>
    <n v="2.2296514990478101E-8"/>
    <n v="3.4657262711967298E-8"/>
    <n v="2.6368880888134798E-8"/>
    <n v="4.9411716872120999E-9"/>
    <n v="-9.9414146908931994E-3"/>
    <n v="-217.057873083918"/>
    <n v="-486.65614418378999"/>
    <n v="364.65693790670599"/>
    <n v="0"/>
    <n v="0"/>
  </r>
  <r>
    <s v="Chile"/>
    <x v="7"/>
    <x v="0"/>
    <n v="2487.2640000000001"/>
    <n v="225519775"/>
    <n v="90669.817999999999"/>
    <n v="15970.924457150501"/>
    <n v="74.960999999999999"/>
    <n v="89.114000000000004"/>
    <n v="61.594202899999999"/>
    <n v="77.175023564727994"/>
    <n v="0"/>
    <n v="4.6583385745765198E-2"/>
    <n v="0"/>
    <n v="0"/>
    <n v="0"/>
    <n v="0"/>
    <n v="0"/>
    <n v="0"/>
    <n v="0"/>
    <n v="0"/>
    <n v="0"/>
    <n v="0"/>
    <n v="0"/>
    <n v="141"/>
    <n v="0"/>
    <n v="0"/>
    <n v="0"/>
    <n v="0"/>
    <n v="0"/>
    <n v="0"/>
    <n v="0"/>
    <n v="0"/>
    <n v="0"/>
    <n v="0"/>
    <n v="0"/>
    <n v="0"/>
    <n v="0"/>
    <n v="0"/>
    <n v="0"/>
    <n v="0"/>
    <n v="1.3982786190000001"/>
    <n v="15"/>
    <n v="7.7474931765825001"/>
    <n v="15268.746239116001"/>
    <n v="31.407419999999998"/>
    <n v="27"/>
    <n v="0"/>
    <n v="0"/>
    <n v="0"/>
    <n v="1.5193870983590835E-2"/>
    <n v="-37.791168318130076"/>
    <n v="2438.6477837436801"/>
    <n v="-75.960646003047799"/>
    <n v="117.774521522616"/>
    <n v="192.711136220849"/>
    <n v="-28.260112167529801"/>
    <n v="10.1680742531242"/>
    <n v="4.02457591717276E-8"/>
    <n v="2.1978654621303799E-8"/>
    <n v="3.4332067932189799E-8"/>
    <n v="2.65494142177944E-8"/>
    <n v="5.1215194343237199E-9"/>
    <n v="-4.73609605535704E-5"/>
    <n v="-164.29247691211401"/>
    <n v="-309.483374240986"/>
    <n v="343.75030913427298"/>
    <n v="0"/>
    <n v="0"/>
  </r>
  <r>
    <s v="Chile"/>
    <x v="8"/>
    <x v="0"/>
    <n v="3227.268"/>
    <n v="289506908"/>
    <n v="89706.497000000003"/>
    <n v="16601.2195611307"/>
    <n v="77.554000000000002"/>
    <n v="91.266999999999996"/>
    <n v="62.807525300000002"/>
    <n v="78.787091140835301"/>
    <n v="0"/>
    <n v="5.6712955502484001E-2"/>
    <n v="5.6712955502484001E-2"/>
    <n v="1"/>
    <n v="0"/>
    <n v="0"/>
    <n v="0"/>
    <n v="0"/>
    <n v="0"/>
    <n v="0"/>
    <n v="0"/>
    <n v="0"/>
    <n v="0"/>
    <n v="222"/>
    <n v="0"/>
    <n v="0"/>
    <n v="0"/>
    <n v="0"/>
    <n v="0"/>
    <n v="0"/>
    <n v="0"/>
    <n v="0"/>
    <n v="0"/>
    <n v="0"/>
    <n v="0"/>
    <n v="0"/>
    <n v="0"/>
    <n v="0"/>
    <n v="0"/>
    <n v="0"/>
    <n v="1.1988545859999999"/>
    <n v="11.5"/>
    <n v="7.8039797578748997"/>
    <n v="15268.746239116001"/>
    <n v="29.804635000000001"/>
    <n v="27.1"/>
    <n v="0"/>
    <n v="0"/>
    <n v="0"/>
    <n v="4.1514197386861183E-3"/>
    <n v="13.397744077230072"/>
    <n v="2434.8380680334699"/>
    <n v="-36.492029941878897"/>
    <n v="171.79208654812899"/>
    <n v="376.43801772652199"/>
    <n v="-54.308505318477501"/>
    <n v="256.57738136784701"/>
    <n v="3.9836385025967701E-8"/>
    <n v="2.1548682655085399E-8"/>
    <n v="3.405102227397E-8"/>
    <n v="2.69169240604387E-8"/>
    <n v="5.4112786716580798E-9"/>
    <n v="-1.1326817721787201E-6"/>
    <n v="-141.06155501113"/>
    <n v="-149.10749746124901"/>
    <n v="355.19429098446102"/>
    <n v="0"/>
    <n v="0"/>
  </r>
  <r>
    <s v="Chile"/>
    <x v="9"/>
    <x v="0"/>
    <n v="3720.3150000000001"/>
    <n v="348664012"/>
    <n v="93718.948999999993"/>
    <n v="16463.3690657763"/>
    <n v="76.739999999999995"/>
    <n v="90.72"/>
    <n v="70.404624299999995"/>
    <n v="82.993615349299205"/>
    <n v="0"/>
    <n v="1.4520983740749401E-2"/>
    <n v="0"/>
    <n v="0"/>
    <n v="0"/>
    <n v="0"/>
    <n v="0"/>
    <n v="0"/>
    <n v="0"/>
    <n v="0"/>
    <n v="0"/>
    <n v="0"/>
    <n v="0"/>
    <n v="187"/>
    <n v="0"/>
    <n v="0"/>
    <n v="0"/>
    <n v="0"/>
    <n v="0"/>
    <n v="0"/>
    <n v="0"/>
    <n v="0"/>
    <n v="0"/>
    <n v="95.603473067283602"/>
    <n v="0"/>
    <n v="95.603473067283602"/>
    <n v="0"/>
    <n v="0"/>
    <n v="0"/>
    <n v="0"/>
    <n v="0.93263039800000003"/>
    <n v="8.8000000000000007"/>
    <n v="7.8114737505624996"/>
    <n v="15268.746239116001"/>
    <n v="29.377175000000001"/>
    <n v="27"/>
    <n v="1"/>
    <n v="0"/>
    <n v="0"/>
    <n v="2.4908858518074412E-2"/>
    <n v="92.668799977670005"/>
    <n v="2432.4739618746098"/>
    <n v="-30.561234463511301"/>
    <n v="167.88312558019101"/>
    <n v="324.65844146169502"/>
    <n v="-127.21848470273601"/>
    <n v="38.6756341129554"/>
    <n v="3.9499784912816901E-8"/>
    <n v="2.1176056663799199E-8"/>
    <n v="3.3759913829422399E-8"/>
    <n v="2.7183723151647801E-8"/>
    <n v="5.6534115094867002E-9"/>
    <n v="-1.8397854603036799E-2"/>
    <n v="-109.99467310062199"/>
    <n v="-25.598204051204299"/>
    <n v="361.55610070886399"/>
    <n v="595.78993032942003"/>
    <n v="0"/>
  </r>
  <r>
    <s v="Chile"/>
    <x v="10"/>
    <x v="0"/>
    <n v="2943.4389999999999"/>
    <n v="272636324"/>
    <n v="92625.096999999994"/>
    <n v="16669.437776756498"/>
    <n v="76.757000000000005"/>
    <n v="89.424999999999997"/>
    <n v="72.170151399999995"/>
    <n v="82.864962930973505"/>
    <n v="0"/>
    <n v="2.6023120762081201E-2"/>
    <n v="0"/>
    <n v="0"/>
    <n v="0"/>
    <n v="0"/>
    <n v="0"/>
    <n v="0"/>
    <n v="0"/>
    <n v="0"/>
    <n v="0"/>
    <n v="0"/>
    <n v="0"/>
    <n v="189"/>
    <n v="0"/>
    <n v="0"/>
    <n v="0"/>
    <n v="0"/>
    <n v="0"/>
    <n v="0"/>
    <n v="0"/>
    <n v="0"/>
    <n v="812.98695656657196"/>
    <n v="143.057518601418"/>
    <n v="0"/>
    <n v="956.04447516798996"/>
    <n v="117087725.241722"/>
    <n v="0"/>
    <n v="0"/>
    <n v="117087725.241722"/>
    <n v="1.374756461"/>
    <n v="8.1999999999999993"/>
    <n v="7.9188115449306"/>
    <n v="15268.746239116001"/>
    <n v="26.919255"/>
    <n v="27"/>
    <n v="0"/>
    <n v="0"/>
    <n v="0"/>
    <n v="4.2860436086628512E-2"/>
    <n v="126.15707913438973"/>
    <n v="2437.3292606247301"/>
    <n v="-87.756429363583607"/>
    <n v="182.68613822942399"/>
    <n v="313.231405167015"/>
    <n v="-126.24099843791301"/>
    <n v="5.7017983083515702"/>
    <n v="3.9339584048072402E-8"/>
    <n v="2.1027382542598202E-8"/>
    <n v="3.3380169447167297E-8"/>
    <n v="2.7065250059586701E-8"/>
    <n v="5.6287081955942598E-9"/>
    <n v="-100.37369613678899"/>
    <n v="-163.509999202686"/>
    <n v="0"/>
    <n v="356.21444155062198"/>
    <n v="0"/>
    <n v="0"/>
  </r>
  <r>
    <s v="Chile"/>
    <x v="11"/>
    <x v="0"/>
    <n v="2856.8530000000001"/>
    <n v="250400968"/>
    <n v="87649.231"/>
    <n v="17071.246564923"/>
    <n v="76.034000000000006"/>
    <n v="89.674999999999997"/>
    <n v="71.305595400000001"/>
    <n v="80.801766254540397"/>
    <n v="7.8345640199616207E-2"/>
    <n v="7.8345640199616207E-2"/>
    <n v="7.8345640199616207E-2"/>
    <n v="1"/>
    <n v="7.8345640199616207E-2"/>
    <n v="0"/>
    <n v="0"/>
    <n v="0"/>
    <n v="0"/>
    <n v="0"/>
    <n v="0"/>
    <n v="0"/>
    <n v="0"/>
    <n v="169"/>
    <n v="0"/>
    <n v="0"/>
    <n v="0"/>
    <n v="0"/>
    <n v="0"/>
    <n v="0"/>
    <n v="0"/>
    <n v="0"/>
    <n v="584.78638236969698"/>
    <n v="151.19718599319501"/>
    <n v="44.969405710697202"/>
    <n v="780.95297407358896"/>
    <n v="109620415.514465"/>
    <n v="0"/>
    <n v="0"/>
    <n v="109620415.514465"/>
    <n v="1.2109226390000001"/>
    <n v="9.6999999999999993"/>
    <n v="7.9293997650866999"/>
    <n v="15268.746239116001"/>
    <n v="26.222545"/>
    <n v="26.9"/>
    <n v="0"/>
    <n v="0"/>
    <n v="0"/>
    <n v="2.1019759616830096E-2"/>
    <n v="-60.050363320619908"/>
    <n v="2451.2042402975299"/>
    <n v="-224.97386534844799"/>
    <n v="203.854898110882"/>
    <n v="231.93651101983599"/>
    <n v="-94.987085296939995"/>
    <n v="333.45235581386299"/>
    <n v="3.9434354509421802E-8"/>
    <n v="2.1271467683529399E-8"/>
    <n v="3.2746273455731398E-8"/>
    <n v="2.6559693935936098E-8"/>
    <n v="5.2285825996215096E-9"/>
    <n v="-96.922849601604995"/>
    <n v="-146.27734797815901"/>
    <n v="-73.159460374731296"/>
    <n v="332.77596655315199"/>
    <n v="0"/>
    <n v="0"/>
  </r>
  <r>
    <s v="Chile"/>
    <x v="12"/>
    <x v="1"/>
    <n v="3721.873"/>
    <n v="318360950"/>
    <n v="85537.832999999999"/>
    <n v="18434.417778250499"/>
    <n v="75.992999999999995"/>
    <n v="89.911000000000001"/>
    <n v="70.497427099999996"/>
    <n v="78.881354609602397"/>
    <n v="0.14928681098591501"/>
    <n v="0.14928681098591501"/>
    <n v="0.14928681098591501"/>
    <n v="1"/>
    <n v="0.14928681098591501"/>
    <n v="0"/>
    <n v="0"/>
    <n v="0"/>
    <n v="0"/>
    <n v="0"/>
    <n v="0"/>
    <n v="0"/>
    <n v="0"/>
    <n v="109"/>
    <n v="0"/>
    <n v="0"/>
    <n v="0"/>
    <n v="0"/>
    <n v="0"/>
    <n v="0"/>
    <n v="0"/>
    <n v="0"/>
    <n v="23.615302264690399"/>
    <n v="122.36849935352799"/>
    <n v="122.168742567301"/>
    <n v="268.15254418551899"/>
    <n v="1748340.1651610499"/>
    <n v="0"/>
    <n v="117541.38097270401"/>
    <n v="1865881.5461337499"/>
    <n v="0.86452077000000005"/>
    <n v="12.1"/>
    <n v="8.0400244066343998"/>
    <n v="15268.746239116001"/>
    <n v="25.805785"/>
    <n v="26.8"/>
    <n v="0"/>
    <n v="1"/>
    <n v="0"/>
    <n v="9.3341560974836892E-3"/>
    <n v="34.740543557009914"/>
    <n v="2460.6864128728198"/>
    <n v="-317.94019748739601"/>
    <n v="299.56651194791402"/>
    <n v="205.47780704591599"/>
    <n v="-63.919810952933197"/>
    <n v="662.02960404701196"/>
    <n v="3.94436776975133E-8"/>
    <n v="2.1297926193206402E-8"/>
    <n v="3.2219928011873698E-8"/>
    <n v="2.62017744417875E-8"/>
    <n v="5.0379466521884202E-9"/>
    <n v="-94.288367027261302"/>
    <n v="-105.65639395117699"/>
    <n v="-188.25154883198601"/>
    <n v="317.58317132708999"/>
    <n v="0"/>
    <n v="511.84526732878902"/>
  </r>
  <r>
    <s v="Chile"/>
    <x v="13"/>
    <x v="1"/>
    <n v="2659.5039999999999"/>
    <n v="233408531"/>
    <n v="87763.933000000005"/>
    <n v="17321.432961463299"/>
    <n v="78.453000000000003"/>
    <n v="89.152000000000001"/>
    <n v="68.928571399999996"/>
    <n v="75.060216132855601"/>
    <n v="0.12714722007455501"/>
    <n v="0.12714722007455501"/>
    <n v="0.12714722007455501"/>
    <n v="1"/>
    <n v="0.12714722007455501"/>
    <n v="0"/>
    <n v="0"/>
    <n v="0"/>
    <n v="0"/>
    <n v="0"/>
    <n v="0"/>
    <n v="0"/>
    <n v="0"/>
    <n v="146"/>
    <n v="0"/>
    <n v="0"/>
    <n v="0"/>
    <n v="0"/>
    <n v="0"/>
    <n v="0"/>
    <n v="0"/>
    <n v="0"/>
    <n v="866.21580457687401"/>
    <n v="239.35256373882299"/>
    <n v="54.885873660445199"/>
    <n v="1160.4542419761401"/>
    <n v="144893469.767023"/>
    <n v="12648817.731308"/>
    <n v="232111.85398403101"/>
    <n v="157774399.35231501"/>
    <n v="0.51706151499999997"/>
    <n v="14.8"/>
    <n v="7.9683805988207004"/>
    <n v="15268.746239116001"/>
    <n v="26.849720000000001"/>
    <n v="14.3"/>
    <n v="0"/>
    <n v="0"/>
    <n v="0"/>
    <n v="6.8121809456255747E-2"/>
    <n v="-181.17022473614998"/>
    <n v="2472.3609766958798"/>
    <n v="-466.43517805387"/>
    <n v="211.14792202271599"/>
    <n v="342.23036202494899"/>
    <n v="0"/>
    <n v="597.276485517845"/>
    <n v="3.9477777591955999E-8"/>
    <n v="2.1528569691942699E-8"/>
    <n v="3.1510766450494799E-8"/>
    <n v="2.5842889594420901E-8"/>
    <n v="4.7269014422470602E-9"/>
    <n v="-92.104001965594804"/>
    <n v="-64.038139478891694"/>
    <n v="-319.480251448388"/>
    <n v="159.71604929841899"/>
    <n v="0"/>
    <n v="0"/>
  </r>
  <r>
    <s v="Chile"/>
    <x v="14"/>
    <x v="1"/>
    <n v="2149.636"/>
    <n v="202086883"/>
    <n v="94009.815000000002"/>
    <n v="17639.501499488499"/>
    <n v="78.061000000000007"/>
    <n v="90.135999999999996"/>
    <n v="69.714285700000005"/>
    <n v="76.420714904506895"/>
    <n v="0"/>
    <n v="6.5029043729993505E-2"/>
    <n v="6.5029043729993505E-2"/>
    <n v="1"/>
    <n v="6.5029043729993505E-2"/>
    <n v="0"/>
    <n v="0"/>
    <n v="0"/>
    <n v="0"/>
    <n v="0"/>
    <n v="0"/>
    <n v="0"/>
    <n v="0"/>
    <n v="73"/>
    <n v="0"/>
    <n v="0"/>
    <n v="0"/>
    <n v="0"/>
    <n v="0"/>
    <n v="0"/>
    <n v="0"/>
    <n v="0"/>
    <n v="168.28169582039101"/>
    <n v="629.25394311547302"/>
    <n v="0"/>
    <n v="797.53563893586397"/>
    <n v="23249681.588681601"/>
    <n v="45451026.529362597"/>
    <n v="0"/>
    <n v="68700708.118044302"/>
    <n v="0.97524505800000005"/>
    <n v="17.8"/>
    <n v="7.9488231355873999"/>
    <n v="15268.746239116001"/>
    <n v="26.413865000000001"/>
    <n v="14"/>
    <n v="0"/>
    <n v="0"/>
    <n v="0"/>
    <n v="8.3735474300969975E-2"/>
    <n v="-180.00079003443989"/>
    <n v="2471.2078990211999"/>
    <n v="-499.551505965773"/>
    <n v="236.94617779081301"/>
    <n v="311.50690136100701"/>
    <n v="-22.012528943617099"/>
    <n v="349.14119855130701"/>
    <n v="3.93450088795054E-8"/>
    <n v="2.0953867689635701E-8"/>
    <n v="3.1251207064748101E-8"/>
    <n v="2.5686463361454E-8"/>
    <n v="5.1473633720427103E-9"/>
    <n v="-93.806405888224702"/>
    <n v="-120.993342568646"/>
    <n v="-461.401930142217"/>
    <n v="158.60032669621299"/>
    <n v="0"/>
    <n v="0"/>
  </r>
  <r>
    <s v="Chile"/>
    <x v="15"/>
    <x v="1"/>
    <n v="2506.8000000000002"/>
    <n v="242719844"/>
    <n v="96824.574999999997"/>
    <n v="18202.7902207882"/>
    <n v="76.557000000000002"/>
    <n v="90.326999999999998"/>
    <n v="70.285714299999995"/>
    <n v="79.252471412558194"/>
    <n v="0"/>
    <n v="3.70349576989705E-2"/>
    <n v="0"/>
    <n v="0"/>
    <n v="0"/>
    <n v="0"/>
    <n v="0"/>
    <n v="0"/>
    <n v="0"/>
    <n v="0"/>
    <n v="0"/>
    <n v="0"/>
    <n v="0"/>
    <n v="135"/>
    <n v="0"/>
    <n v="0"/>
    <n v="0"/>
    <n v="0"/>
    <n v="0"/>
    <n v="0"/>
    <n v="0"/>
    <n v="0"/>
    <n v="7.5850769802927998"/>
    <n v="394.18275453895302"/>
    <n v="0"/>
    <n v="401.76783151924599"/>
    <n v="542905.78375459602"/>
    <n v="40322277.529295199"/>
    <n v="0"/>
    <n v="40865183.313049801"/>
    <n v="0.28363458699999999"/>
    <n v="20"/>
    <n v="7.8627488308129001"/>
    <n v="15268.746239116001"/>
    <n v="27.182849999999998"/>
    <n v="13.9"/>
    <n v="0"/>
    <n v="0"/>
    <n v="1"/>
    <n v="0.16653930178166598"/>
    <n v="417.48072170628029"/>
    <n v="2458.2113251400001"/>
    <n v="-353.24144449561402"/>
    <n v="289.02988379941701"/>
    <n v="227.984828786592"/>
    <n v="-61.709806370060498"/>
    <n v="55.053713496998803"/>
    <n v="3.9018266009146901E-8"/>
    <n v="1.9661458477461299E-8"/>
    <n v="3.1429200372974601E-8"/>
    <n v="2.5714094173927302E-8"/>
    <n v="6.1680180514741204E-9"/>
    <n v="-99.738952120837098"/>
    <n v="-34.913355036038297"/>
    <n v="-561.41478064556804"/>
    <n v="170.05786561683399"/>
    <n v="0"/>
    <n v="0"/>
  </r>
  <r>
    <s v="Chile"/>
    <x v="16"/>
    <x v="1"/>
    <n v="1772.6769999999999"/>
    <n v="160459373"/>
    <n v="90518.111000000004"/>
    <n v="17885.538256979002"/>
    <n v="75.703999999999994"/>
    <n v="90.173000000000002"/>
    <n v="70.558739299999999"/>
    <n v="80.413986662390798"/>
    <n v="9.9755649966712504E-2"/>
    <n v="9.9755649966712504E-2"/>
    <n v="9.9755649966712504E-2"/>
    <n v="1"/>
    <n v="9.9755649966712504E-2"/>
    <n v="0"/>
    <n v="0"/>
    <n v="0"/>
    <n v="0"/>
    <n v="0"/>
    <n v="0"/>
    <n v="0"/>
    <n v="0"/>
    <n v="126"/>
    <n v="0"/>
    <n v="0"/>
    <n v="0"/>
    <n v="0"/>
    <n v="0"/>
    <n v="0"/>
    <n v="0"/>
    <n v="0"/>
    <n v="0"/>
    <n v="0.30961939692497298"/>
    <n v="0"/>
    <n v="0.30961939692497298"/>
    <n v="0"/>
    <n v="35093.7912"/>
    <n v="0"/>
    <n v="35093.7912"/>
    <n v="0.805109678"/>
    <n v="21.4"/>
    <n v="8.0372443026616001"/>
    <n v="16832.887967938001"/>
    <n v="27.889939999999999"/>
    <n v="0"/>
    <n v="0"/>
    <n v="0"/>
    <n v="0"/>
    <n v="7.545703500319019E-2"/>
    <n v="-133.76095043835016"/>
    <n v="2471.9961400464899"/>
    <n v="-447.04364718777902"/>
    <n v="252.65434101437299"/>
    <n v="131.59948035981199"/>
    <n v="-87.944065963865299"/>
    <n v="411.01457947990599"/>
    <n v="3.9326645488606497E-8"/>
    <n v="1.9688279762770699E-8"/>
    <n v="3.0587930258092699E-8"/>
    <n v="2.48285795562441E-8"/>
    <n v="6.1889775180182696E-9"/>
    <n v="-87.688070781506198"/>
    <n v="-100.212885569986"/>
    <n v="-637.93792107972104"/>
    <n v="0"/>
    <n v="0"/>
    <n v="0"/>
  </r>
  <r>
    <s v="Chile"/>
    <x v="17"/>
    <x v="1"/>
    <n v="1399.56"/>
    <n v="135508963"/>
    <n v="96822.546000000002"/>
    <n v="17005.583659805099"/>
    <n v="76.778000000000006"/>
    <n v="89.367999999999995"/>
    <n v="69.010042999999996"/>
    <n v="77.998475378470502"/>
    <n v="0"/>
    <n v="3.7055137039502799E-2"/>
    <n v="0"/>
    <n v="0"/>
    <n v="0"/>
    <n v="0"/>
    <n v="0"/>
    <n v="0"/>
    <n v="0"/>
    <n v="0"/>
    <n v="0"/>
    <n v="0"/>
    <n v="0"/>
    <n v="113"/>
    <n v="0"/>
    <n v="0"/>
    <n v="0"/>
    <n v="0"/>
    <n v="0"/>
    <n v="0"/>
    <n v="0"/>
    <n v="0"/>
    <n v="0"/>
    <n v="0"/>
    <n v="0"/>
    <n v="0"/>
    <n v="0"/>
    <n v="0"/>
    <n v="0"/>
    <n v="0"/>
    <n v="0.265100328"/>
    <n v="20.7"/>
    <n v="8.3676406179057992"/>
    <n v="16832.887967938001"/>
    <n v="27.294274999999999"/>
    <n v="0"/>
    <n v="0"/>
    <n v="0"/>
    <n v="0"/>
    <n v="0.17924356985811252"/>
    <n v="-250.86213063061996"/>
    <n v="2477.0791160833601"/>
    <n v="-540.98838023562098"/>
    <n v="182.509454300149"/>
    <n v="181.884943044333"/>
    <n v="-45.090108154914098"/>
    <n v="61.176079455693198"/>
    <n v="3.9407231691735598E-8"/>
    <n v="1.9298008225624399E-8"/>
    <n v="3.0039915083626E-8"/>
    <n v="2.4240870981588499E-8"/>
    <n v="6.5441676004013201E-9"/>
    <n v="-21.6368522167657"/>
    <n v="-33.168675152964603"/>
    <n v="-611.34344661218495"/>
    <n v="0"/>
    <n v="0"/>
    <n v="0"/>
  </r>
  <r>
    <s v="Chile"/>
    <x v="18"/>
    <x v="1"/>
    <n v="2456.0509999999999"/>
    <n v="225901821"/>
    <n v="91977.659"/>
    <n v="18192.8016550416"/>
    <n v="76.503"/>
    <n v="90.572999999999993"/>
    <n v="69.672601999999998"/>
    <n v="79.387473728966299"/>
    <n v="8.52397721375521E-2"/>
    <n v="8.52397721375521E-2"/>
    <n v="8.52397721375521E-2"/>
    <n v="1"/>
    <n v="8.52397721375521E-2"/>
    <n v="0"/>
    <n v="0"/>
    <n v="0"/>
    <n v="0"/>
    <n v="0"/>
    <n v="0"/>
    <n v="0"/>
    <n v="0"/>
    <n v="130"/>
    <n v="0"/>
    <n v="0"/>
    <n v="0"/>
    <n v="0"/>
    <n v="0"/>
    <n v="0"/>
    <n v="0"/>
    <n v="0"/>
    <n v="0"/>
    <n v="0"/>
    <n v="0"/>
    <n v="0"/>
    <n v="0"/>
    <n v="0"/>
    <n v="0"/>
    <n v="0"/>
    <n v="0.72546168300000002"/>
    <n v="18.899999999999999"/>
    <n v="8.8084787609359996"/>
    <n v="16832.887967938001"/>
    <n v="28.839040000000001"/>
    <n v="0"/>
    <n v="0"/>
    <n v="0"/>
    <n v="0"/>
    <n v="8.7422606815709514E-2"/>
    <n v="214.71438089233015"/>
    <n v="2467.5094900091899"/>
    <n v="-360.60004968716402"/>
    <n v="269.28417126602699"/>
    <n v="170.598481657771"/>
    <n v="-56.976202950966801"/>
    <n v="367.58439448425702"/>
    <n v="3.9227482540527199E-8"/>
    <n v="1.8066884288510101E-8"/>
    <n v="3.0133462321461601E-8"/>
    <n v="2.3776206444981599E-8"/>
    <n v="7.6186900264243003E-9"/>
    <n v="-0.28940425867929098"/>
    <n v="-90.116159391881098"/>
    <n v="-525.65810213970497"/>
    <n v="0"/>
    <n v="0"/>
    <n v="0"/>
  </r>
  <r>
    <s v="Chile"/>
    <x v="19"/>
    <x v="1"/>
    <n v="2132.3560000000002"/>
    <n v="214404942"/>
    <n v="100548.38"/>
    <n v="18707.710042154598"/>
    <n v="76.123999999999995"/>
    <n v="90.132000000000005"/>
    <n v="69.956772299999997"/>
    <n v="79.690670662533094"/>
    <n v="0"/>
    <n v="0"/>
    <n v="0"/>
    <n v="0"/>
    <n v="0"/>
    <n v="0"/>
    <n v="0"/>
    <n v="0"/>
    <n v="0"/>
    <n v="0"/>
    <n v="0"/>
    <n v="0"/>
    <n v="0"/>
    <n v="203"/>
    <n v="0"/>
    <n v="0"/>
    <n v="0"/>
    <n v="0"/>
    <n v="0"/>
    <n v="0"/>
    <n v="0"/>
    <n v="0"/>
    <n v="1.1075814664363901"/>
    <n v="0"/>
    <n v="0"/>
    <n v="1.1075814664363901"/>
    <n v="163385.652"/>
    <n v="0"/>
    <n v="0"/>
    <n v="163385.652"/>
    <n v="0.26269868099999999"/>
    <n v="15"/>
    <n v="8.6597088797410997"/>
    <n v="16832.887967938001"/>
    <n v="29.284051860719199"/>
    <n v="0"/>
    <n v="0"/>
    <n v="0"/>
    <n v="0"/>
    <n v="2.7604954336156829E-2"/>
    <n v="58.863590008430037"/>
    <n v="2470.79341779691"/>
    <n v="-447.029324436384"/>
    <n v="301.85373247903601"/>
    <n v="130.95720263969099"/>
    <n v="-61.7903845442654"/>
    <n v="54.929539634890801"/>
    <n v="3.9185682092361997E-8"/>
    <n v="1.7682826303260001E-8"/>
    <n v="2.9640654373618801E-8"/>
    <n v="2.3335715052290599E-8"/>
    <n v="7.9751765078284806E-9"/>
    <n v="-1.02823768435465E-3"/>
    <n v="-32.766887501535997"/>
    <n v="-343.45385795690601"/>
    <n v="0"/>
    <n v="0"/>
    <n v="0"/>
  </r>
  <r>
    <s v="Chile"/>
    <x v="20"/>
    <x v="1"/>
    <n v="2729.991"/>
    <n v="253735489"/>
    <n v="92943.709000000003"/>
    <n v="18840.959367049199"/>
    <n v="75.503"/>
    <n v="88.625"/>
    <n v="71.685879"/>
    <n v="78.929354176863896"/>
    <n v="7.56319594607094E-2"/>
    <n v="7.56319594607094E-2"/>
    <n v="7.56319594607094E-2"/>
    <n v="1"/>
    <n v="7.56319594607094E-2"/>
    <n v="0"/>
    <n v="0"/>
    <n v="0"/>
    <n v="0"/>
    <n v="0"/>
    <n v="0"/>
    <n v="0"/>
    <n v="0"/>
    <n v="225"/>
    <n v="0"/>
    <n v="0"/>
    <n v="0"/>
    <n v="0"/>
    <n v="0"/>
    <n v="0"/>
    <n v="0"/>
    <n v="0"/>
    <n v="1.65242683887482"/>
    <n v="52.323664665222203"/>
    <n v="0"/>
    <n v="53.976091504096999"/>
    <n v="318745.27"/>
    <n v="911880"/>
    <n v="0"/>
    <n v="1230625.27"/>
    <n v="0.32152854199999997"/>
    <n v="11.5"/>
    <n v="8.5247377029714002"/>
    <n v="16832.887967938001"/>
    <n v="29.283433113892698"/>
    <n v="0"/>
    <n v="0"/>
    <n v="0"/>
    <n v="0"/>
    <n v="0.10315111999051638"/>
    <n v="281.6016292140298"/>
    <n v="2477.2815097868001"/>
    <n v="-452.530988768979"/>
    <n v="305.553731984026"/>
    <n v="68.717993587248202"/>
    <n v="-50.622440806343299"/>
    <n v="319.944571013043"/>
    <n v="3.9197159151640998E-8"/>
    <n v="1.7443190530789799E-8"/>
    <n v="2.9011059651732799E-8"/>
    <n v="2.2857842507030201E-8"/>
    <n v="8.1988581631469305E-9"/>
    <n v="-4.7167483977273196E-3"/>
    <n v="-40.386887029930897"/>
    <n v="-179.563402348209"/>
    <n v="0"/>
    <n v="0"/>
    <n v="0"/>
  </r>
  <r>
    <s v="Chile"/>
    <x v="21"/>
    <x v="1"/>
    <n v="3845.5189999999998"/>
    <n v="349632031"/>
    <n v="90919.335000000006"/>
    <n v="18679.785656377"/>
    <n v="76.620999999999995"/>
    <n v="87.596999999999994"/>
    <n v="74.425287400000002"/>
    <n v="80.690320167212406"/>
    <n v="9.5765292290139303E-2"/>
    <n v="9.5765292290139303E-2"/>
    <n v="9.5765292290139303E-2"/>
    <n v="1"/>
    <n v="9.5765292290139303E-2"/>
    <n v="22690032"/>
    <n v="9834237"/>
    <n v="6130482"/>
    <n v="10478488"/>
    <n v="28820514"/>
    <n v="20312725"/>
    <n v="16340"/>
    <n v="2420275"/>
    <n v="222"/>
    <n v="1194909"/>
    <n v="7700000"/>
    <n v="26962827.666666701"/>
    <n v="272.21156777819999"/>
    <n v="5052632"/>
    <n v="51.010408779300001"/>
    <n v="0"/>
    <n v="0"/>
    <n v="435.17109516263002"/>
    <n v="164.08155170083"/>
    <n v="72.711060211062403"/>
    <n v="671.96370707452297"/>
    <n v="82233588.849630103"/>
    <n v="14458293.743519999"/>
    <n v="14112405.4117199"/>
    <n v="110804288.00487"/>
    <n v="-0.43174433299999998"/>
    <n v="8.8000000000000007"/>
    <n v="8.5275846527762003"/>
    <n v="16832.887967938001"/>
    <n v="29.414292493653001"/>
    <n v="0"/>
    <n v="1"/>
    <n v="0"/>
    <n v="0"/>
    <n v="3.5653820848174318E-2"/>
    <n v="-137.10744549425044"/>
    <n v="2498.53462608989"/>
    <n v="-679.46175418232201"/>
    <n v="284.52754807890398"/>
    <n v="93.771502286812407"/>
    <n v="-99.087500142096602"/>
    <n v="410.609164554583"/>
    <n v="388.39791937088199"/>
    <n v="30.6544768856003"/>
    <n v="261.27739505869698"/>
    <n v="224.130800982072"/>
    <n v="73.835672318537803"/>
    <n v="-91.053202243804606"/>
    <n v="55.313237421001297"/>
    <n v="-53.9986515295328"/>
    <n v="0"/>
    <n v="585.17521054501799"/>
    <n v="0"/>
  </r>
  <r>
    <s v="Chile"/>
    <x v="22"/>
    <x v="1"/>
    <n v="3143.1770000000001"/>
    <n v="280942518"/>
    <n v="89381.705000000002"/>
    <n v="18925.095155724401"/>
    <n v="77.260000000000005"/>
    <n v="88.471999999999994"/>
    <n v="77.992831499999994"/>
    <n v="81.382938691147501"/>
    <n v="0.111057731611389"/>
    <n v="0.111057731611389"/>
    <n v="0.111057731611389"/>
    <n v="1"/>
    <n v="0.111057731611389"/>
    <n v="27844032"/>
    <n v="7815954"/>
    <n v="4602267"/>
    <n v="8528999"/>
    <n v="32446299"/>
    <n v="16344953"/>
    <n v="32735"/>
    <n v="2257577"/>
    <n v="323"/>
    <n v="1460318"/>
    <n v="5765930"/>
    <n v="14661064.380952399"/>
    <n v="148.01530524680001"/>
    <n v="5518796.1428571399"/>
    <n v="55.716711592999999"/>
    <n v="28109064.904761899"/>
    <n v="80"/>
    <n v="370.387746207416"/>
    <n v="369.04219854623102"/>
    <n v="132.59826133400199"/>
    <n v="872.02820608764898"/>
    <n v="50374619.301699899"/>
    <n v="37212823.676030099"/>
    <n v="30330316.905140299"/>
    <n v="117917759.88287"/>
    <n v="0.119496138"/>
    <n v="8.1999999999999993"/>
    <n v="8.7722140467169005"/>
    <n v="16832.887967938001"/>
    <n v="29.911715000000001"/>
    <n v="0"/>
    <n v="0"/>
    <n v="0"/>
    <n v="0"/>
    <n v="9.3820137996425149E-2"/>
    <n v="-294.89329988718964"/>
    <n v="2512.4215074825502"/>
    <n v="-813.04055006017597"/>
    <n v="295.73713970177801"/>
    <n v="99.307273021311602"/>
    <n v="-122.373964760161"/>
    <n v="463.00458132479702"/>
    <n v="396.74059646403299"/>
    <n v="174.83294440917601"/>
    <n v="271.09594003145298"/>
    <n v="218.48178681111901"/>
    <n v="74.603108228397105"/>
    <n v="-89.735572318366593"/>
    <n v="-15.500809382488599"/>
    <n v="-27.503681066232499"/>
    <n v="0"/>
    <n v="0"/>
    <n v="0"/>
  </r>
  <r>
    <s v="Chile"/>
    <x v="23"/>
    <x v="1"/>
    <n v="2766.826"/>
    <n v="259483176"/>
    <n v="93783.698999999993"/>
    <n v="18915.8576771562"/>
    <n v="75.727999999999994"/>
    <n v="86.072000000000003"/>
    <n v="89.008620699999994"/>
    <n v="88.029149199020395"/>
    <n v="0"/>
    <n v="6.7277871607677897E-2"/>
    <n v="6.7277871607677897E-2"/>
    <n v="1"/>
    <n v="6.7277871607677897E-2"/>
    <n v="13093405"/>
    <n v="4838705"/>
    <n v="3936908"/>
    <n v="8579511"/>
    <n v="17030313"/>
    <n v="13418216"/>
    <n v="11260"/>
    <n v="2334401"/>
    <n v="204"/>
    <n v="877715"/>
    <n v="4908888"/>
    <n v="3951030.7142857201"/>
    <n v="39.888855236200001"/>
    <n v="7954658.3850931702"/>
    <n v="80.308709654599994"/>
    <n v="0"/>
    <n v="0"/>
    <n v="14.811962366104099"/>
    <n v="688.49309452623095"/>
    <n v="12.527611494064301"/>
    <n v="715.83266838639997"/>
    <n v="775072.59549999796"/>
    <n v="90192422.098880097"/>
    <n v="642561.34525000001"/>
    <n v="91610056.039629996"/>
    <n v="0.117877657"/>
    <n v="9.6999999999999993"/>
    <n v="8.9956512830771995"/>
    <n v="16832.887967938001"/>
    <n v="29.701405000000001"/>
    <n v="0"/>
    <n v="0"/>
    <n v="0"/>
    <n v="0"/>
    <n v="7.0709761253403655E-2"/>
    <n v="-195.64160588970981"/>
    <n v="2510.2356959373401"/>
    <n v="-827.93500130736004"/>
    <n v="293.57267970148098"/>
    <n v="0"/>
    <n v="-239.634713689721"/>
    <n v="319.59722845016"/>
    <n v="394.76450336512403"/>
    <n v="152.22997286211699"/>
    <n v="269.101116075297"/>
    <n v="215.84954306063801"/>
    <n v="81.693020599560001"/>
    <n v="-90.556002675633806"/>
    <n v="-15.259075471110201"/>
    <n v="-101.19136101818199"/>
    <n v="0"/>
    <n v="0"/>
    <n v="0"/>
  </r>
  <r>
    <s v="Chile"/>
    <x v="24"/>
    <x v="2"/>
    <n v="3379.2"/>
    <n v="314390273"/>
    <n v="93036.894"/>
    <n v="19391.708870976501"/>
    <n v="76.477999999999994"/>
    <n v="85.096999999999994"/>
    <n v="84.147041900000005"/>
    <n v="84.447312906180301"/>
    <n v="0"/>
    <n v="5.4584152262964002E-2"/>
    <n v="5.4584152262964002E-2"/>
    <n v="1"/>
    <n v="0"/>
    <n v="0"/>
    <n v="0"/>
    <n v="0"/>
    <n v="0"/>
    <n v="0"/>
    <n v="0"/>
    <n v="0"/>
    <n v="0"/>
    <n v="211"/>
    <n v="0"/>
    <n v="0"/>
    <n v="0"/>
    <n v="0"/>
    <n v="1173913.04347826"/>
    <n v="11.8516017001"/>
    <n v="0"/>
    <n v="0"/>
    <n v="18.559028513729601"/>
    <n v="183.507558047771"/>
    <n v="1.5644068419933299"/>
    <n v="203.63099340349399"/>
    <n v="685153.25599999796"/>
    <n v="14082944.136399999"/>
    <n v="0"/>
    <n v="14768097.3924"/>
    <n v="0.63557056499999998"/>
    <n v="12.1"/>
    <n v="8.9130085719370005"/>
    <n v="16832.887967938001"/>
    <n v="30.165970000000002"/>
    <n v="0"/>
    <n v="0"/>
    <n v="1"/>
    <n v="0"/>
    <n v="9.5316655785984954E-3"/>
    <n v="-32.209404323200033"/>
    <n v="2497.7847955812099"/>
    <n v="-657.94595532474"/>
    <n v="331.19340119348902"/>
    <n v="71.937966147810599"/>
    <n v="-165.74096552559001"/>
    <n v="264.166567809377"/>
    <n v="388.26951255332"/>
    <n v="25.145589633063999"/>
    <n v="221.077224234927"/>
    <n v="213.148189629218"/>
    <n v="93.950801717283497"/>
    <n v="-93.834403964887798"/>
    <n v="-81.357618799406495"/>
    <n v="-216.32014838507999"/>
    <n v="0"/>
    <n v="0"/>
    <n v="519.93444782320296"/>
  </r>
  <r>
    <s v="Chile"/>
    <x v="25"/>
    <x v="2"/>
    <n v="2507.8960000000002"/>
    <n v="235267090.59200001"/>
    <n v="93810.544999999998"/>
    <n v="18725.548950472501"/>
    <n v="78.486000000000004"/>
    <n v="86.551000000000002"/>
    <n v="90.732758599999997"/>
    <n v="89.673683836074005"/>
    <n v="0"/>
    <n v="4.6722519263719599E-2"/>
    <n v="0"/>
    <n v="0"/>
    <n v="0"/>
    <n v="0"/>
    <n v="0"/>
    <n v="0"/>
    <n v="0"/>
    <n v="0"/>
    <n v="0"/>
    <n v="0"/>
    <n v="0"/>
    <n v="222"/>
    <n v="0"/>
    <n v="0"/>
    <n v="0"/>
    <n v="0"/>
    <n v="0"/>
    <n v="0"/>
    <n v="0"/>
    <n v="0"/>
    <n v="231.12173764407601"/>
    <n v="244.59651529788999"/>
    <n v="0"/>
    <n v="475.718252941966"/>
    <n v="95017349.716829807"/>
    <n v="26099958.000640001"/>
    <n v="0"/>
    <n v="121117307.71747001"/>
    <n v="0.29292643499999999"/>
    <n v="14.8"/>
    <n v="8.8864690786626994"/>
    <n v="16832.887967938001"/>
    <n v="31.556535"/>
    <n v="0"/>
    <n v="0"/>
    <n v="0"/>
    <n v="0"/>
    <n v="8.8521303739470857E-4"/>
    <n v="-2.2200222356300401"/>
    <n v="2483.68660311861"/>
    <n v="-483.23577672146598"/>
    <n v="288.00571674528697"/>
    <n v="229.78127096198801"/>
    <n v="-248.43222241137599"/>
    <n v="42.0106835990386"/>
    <n v="348.10023965119098"/>
    <n v="0.21286900655129801"/>
    <n v="31.454487606494201"/>
    <n v="191.53098148541599"/>
    <n v="107.096806097978"/>
    <n v="-98.676792829646303"/>
    <n v="-37.033358385957797"/>
    <n v="-344.38548568847301"/>
    <n v="0"/>
    <n v="0"/>
    <n v="0"/>
  </r>
  <r>
    <s v="Chile"/>
    <x v="26"/>
    <x v="2"/>
    <n v="2223.8180000000002"/>
    <n v="215041756.66600001"/>
    <n v="96699.350999999995"/>
    <n v="18875.669116499499"/>
    <n v="77.63"/>
    <n v="86.32"/>
    <n v="90.459110499999994"/>
    <n v="89.434417294454505"/>
    <n v="0"/>
    <n v="1.7367251089807498E-2"/>
    <n v="0"/>
    <n v="0"/>
    <n v="0"/>
    <n v="0"/>
    <n v="0"/>
    <n v="0"/>
    <n v="0"/>
    <n v="0"/>
    <n v="0"/>
    <n v="0"/>
    <n v="0"/>
    <n v="173"/>
    <n v="0"/>
    <n v="0"/>
    <n v="0"/>
    <n v="0"/>
    <n v="0"/>
    <n v="0"/>
    <n v="0"/>
    <n v="0"/>
    <n v="108.977240338922"/>
    <n v="253.36195962131001"/>
    <n v="0"/>
    <n v="362.33919996023201"/>
    <n v="34672575.799000002"/>
    <n v="34127658.35108"/>
    <n v="0"/>
    <n v="68800234.150079995"/>
    <n v="0.74525501500000002"/>
    <n v="17.8"/>
    <n v="8.7324121337560001"/>
    <n v="16832.887967938001"/>
    <n v="33.022064999999998"/>
    <n v="0"/>
    <n v="0"/>
    <n v="0"/>
    <n v="0"/>
    <n v="1.8570585068890557E-2"/>
    <n v="41.297601346730062"/>
    <n v="2469.48822164179"/>
    <n v="-317.09604294337697"/>
    <n v="303.691982201884"/>
    <n v="201.45044440773901"/>
    <n v="-233.327274974082"/>
    <n v="6.6611923463177103"/>
    <n v="192.64356170201"/>
    <n v="6.6468973558466901E-4"/>
    <n v="0.23669972583827001"/>
    <n v="121.229388094203"/>
    <n v="118.429788079072"/>
    <n v="-102.51484398638399"/>
    <n v="-93.037843024464294"/>
    <n v="-485.335539307011"/>
    <n v="0"/>
    <n v="0"/>
    <n v="0"/>
  </r>
  <r>
    <s v="Chile"/>
    <x v="27"/>
    <x v="2"/>
    <n v="2936.4380000000001"/>
    <n v="269706267.579"/>
    <n v="91848.106"/>
    <n v="19578.5227756895"/>
    <n v="77.311999999999998"/>
    <n v="88.424000000000007"/>
    <n v="90.598290599999999"/>
    <n v="89.962711843075397"/>
    <n v="0"/>
    <n v="6.6664295596205694E-2"/>
    <n v="6.6664295596205694E-2"/>
    <n v="1"/>
    <n v="6.6664295596205694E-2"/>
    <n v="0"/>
    <n v="0"/>
    <n v="0"/>
    <n v="0"/>
    <n v="0"/>
    <n v="0"/>
    <n v="0"/>
    <n v="0"/>
    <n v="191"/>
    <n v="0"/>
    <n v="0"/>
    <n v="0"/>
    <n v="0"/>
    <n v="0"/>
    <n v="0"/>
    <n v="0"/>
    <n v="0"/>
    <n v="0"/>
    <n v="153.07650579512099"/>
    <n v="0"/>
    <n v="153.07650579512099"/>
    <n v="0"/>
    <n v="24482274.393599998"/>
    <n v="0"/>
    <n v="24482274.393599998"/>
    <n v="-0.52574812199999998"/>
    <n v="20"/>
    <n v="8.4756393474728"/>
    <n v="16832.887967938001"/>
    <n v="31.835284999999999"/>
    <n v="0"/>
    <n v="0"/>
    <n v="0"/>
    <n v="1"/>
    <n v="0.14122528123508832"/>
    <n v="414.6992823794003"/>
    <n v="2457.5901297362502"/>
    <n v="-143.34457745758399"/>
    <n v="358.70943668212698"/>
    <n v="206.317504320235"/>
    <n v="-232.892109872551"/>
    <n v="306.153482876373"/>
    <n v="36.542491429094603"/>
    <n v="7.0487086294815101E-6"/>
    <n v="8.0167268586186797E-4"/>
    <n v="37.819119666646102"/>
    <n v="111.21873632912001"/>
    <n v="-93.874296285411106"/>
    <n v="65.0437038090474"/>
    <n v="-587.54571233414697"/>
    <n v="0"/>
    <n v="0"/>
    <n v="0"/>
  </r>
  <r>
    <s v="Chile"/>
    <x v="28"/>
    <x v="2"/>
    <n v="1650.241"/>
    <n v="157193389"/>
    <n v="95254.808000000005"/>
    <n v="19794.411072665898"/>
    <n v="77.138000000000005"/>
    <n v="88.563000000000002"/>
    <n v="85.724431800000005"/>
    <n v="86.771128835716098"/>
    <n v="0"/>
    <n v="3.2046307819039999E-2"/>
    <n v="0"/>
    <n v="0"/>
    <n v="0"/>
    <n v="0"/>
    <n v="0"/>
    <n v="0"/>
    <n v="0"/>
    <n v="0"/>
    <n v="0"/>
    <n v="0"/>
    <n v="0"/>
    <n v="143"/>
    <n v="0"/>
    <n v="0"/>
    <n v="0"/>
    <n v="0"/>
    <n v="0"/>
    <n v="0"/>
    <n v="0"/>
    <n v="0"/>
    <n v="183.29922904819301"/>
    <n v="59.288105607032797"/>
    <n v="0"/>
    <n v="242.58733465522499"/>
    <n v="13930062.6464535"/>
    <n v="0"/>
    <n v="0"/>
    <n v="13930062.6464535"/>
    <n v="0.66854217100000002"/>
    <n v="21.4"/>
    <n v="8.4356310785176003"/>
    <n v="0"/>
    <n v="32.581690000000002"/>
    <n v="0"/>
    <n v="0"/>
    <n v="0"/>
    <n v="0"/>
    <n v="0.11969612525678371"/>
    <n v="-197.52745343987999"/>
    <n v="2466.5158422189402"/>
    <n v="-262.80847112744402"/>
    <n v="366.80436144379701"/>
    <n v="173.30839346633499"/>
    <n v="-182.00251681227201"/>
    <n v="44.718572563408102"/>
    <n v="2.0851824161127199"/>
    <n v="4.2544307313385302E-7"/>
    <n v="9.8430010823080904E-6"/>
    <n v="4.8345856668257099"/>
    <n v="64.572100665719901"/>
    <n v="-86.148306537805396"/>
    <n v="-83.308111275834804"/>
    <n v="-660.80318951635002"/>
    <n v="0"/>
    <n v="0"/>
    <n v="0"/>
  </r>
  <r>
    <s v="Chile"/>
    <x v="29"/>
    <x v="2"/>
    <n v="1507.9079999999999"/>
    <n v="146873209.44100001"/>
    <n v="97401.97"/>
    <n v="18880.0529267684"/>
    <n v="77.153000000000006"/>
    <n v="88.054000000000002"/>
    <n v="85.653409100000005"/>
    <n v="86.506583912224798"/>
    <n v="0"/>
    <n v="1.02274261347617E-2"/>
    <n v="0"/>
    <n v="0"/>
    <n v="0"/>
    <n v="0"/>
    <n v="0"/>
    <n v="0"/>
    <n v="0"/>
    <n v="0"/>
    <n v="0"/>
    <n v="0"/>
    <n v="0"/>
    <n v="182"/>
    <n v="0"/>
    <n v="0"/>
    <n v="0"/>
    <n v="0"/>
    <n v="0"/>
    <n v="0"/>
    <n v="0"/>
    <n v="0"/>
    <n v="186.68655154854099"/>
    <n v="41.287168830633199"/>
    <n v="0"/>
    <n v="227.97372037917401"/>
    <n v="18086455.775842499"/>
    <n v="0"/>
    <n v="0"/>
    <n v="18086455.775842499"/>
    <n v="0.58774999999999999"/>
    <n v="20.7"/>
    <n v="8.5042567185625995"/>
    <n v="0"/>
    <n v="33.313090000000003"/>
    <n v="0"/>
    <n v="0"/>
    <n v="0"/>
    <n v="0"/>
    <n v="0.15898315155827816"/>
    <n v="-239.73196609994011"/>
    <n v="2465.5533682650498"/>
    <n v="-265.43209460512099"/>
    <n v="300.38690820072298"/>
    <n v="178.09440065982699"/>
    <n v="-176.09808035031301"/>
    <n v="6.7279409156897403"/>
    <n v="5.9535282174131697E-2"/>
    <n v="8.6703063046607296E-8"/>
    <n v="6.38990609819129E-7"/>
    <n v="0.31827314896863601"/>
    <n v="18.434886275297899"/>
    <n v="-80.3610855136873"/>
    <n v="-73.196175260649099"/>
    <n v="-626.84791164371597"/>
    <n v="0"/>
    <n v="0"/>
    <n v="0"/>
  </r>
  <r>
    <s v="Chile"/>
    <x v="30"/>
    <x v="2"/>
    <n v="2850.96"/>
    <n v="259562728.125"/>
    <n v="91043.974000000002"/>
    <n v="19268.877065845601"/>
    <n v="78.924000000000007"/>
    <n v="89.37"/>
    <n v="88.125"/>
    <n v="88.620527996307899"/>
    <n v="7.48356683042464E-2"/>
    <n v="7.48356683042464E-2"/>
    <n v="7.48356683042464E-2"/>
    <n v="1"/>
    <n v="7.48356683042464E-2"/>
    <n v="0"/>
    <n v="0"/>
    <n v="0"/>
    <n v="0"/>
    <n v="0"/>
    <n v="0"/>
    <n v="0"/>
    <n v="0"/>
    <n v="220"/>
    <n v="0"/>
    <n v="0"/>
    <n v="0"/>
    <n v="0"/>
    <n v="0"/>
    <n v="0"/>
    <n v="0"/>
    <n v="0"/>
    <n v="131.463702984154"/>
    <n v="152.35423210263301"/>
    <n v="0"/>
    <n v="283.81793508678697"/>
    <n v="13837747.051139399"/>
    <n v="25101847.133453202"/>
    <n v="0"/>
    <n v="38939594.1845925"/>
    <n v="0.37822706699999997"/>
    <n v="18.899999999999999"/>
    <n v="8.6777779966084996"/>
    <n v="0"/>
    <n v="33.544739999999997"/>
    <n v="0"/>
    <n v="0"/>
    <n v="0"/>
    <n v="0"/>
    <n v="0.12059510061939842"/>
    <n v="343.81180806188013"/>
    <n v="2452.5354376427199"/>
    <n v="-88.889636187854094"/>
    <n v="335.72503050319"/>
    <n v="330.40259876023401"/>
    <n v="-203.49607249680199"/>
    <n v="349.29426512808402"/>
    <n v="1.7366023251907301E-3"/>
    <n v="3.6148983428288498E-8"/>
    <n v="1.3983778089518E-7"/>
    <n v="1.6276671463457699E-2"/>
    <n v="2.2716044445947601"/>
    <n v="-90.405011456826998"/>
    <n v="-46.660466823147303"/>
    <n v="-533.64757102585702"/>
    <n v="0"/>
    <n v="0"/>
    <n v="0"/>
  </r>
  <r>
    <s v="Chile"/>
    <x v="31"/>
    <x v="2"/>
    <n v="2431.1709999999998"/>
    <n v="239247734.16"/>
    <n v="98408.434999999998"/>
    <n v="20256.0235035769"/>
    <n v="79.179000000000002"/>
    <n v="89.558000000000007"/>
    <n v="88.896797199999995"/>
    <n v="89.187412067126104"/>
    <n v="0"/>
    <n v="0"/>
    <n v="0"/>
    <n v="0"/>
    <n v="0"/>
    <n v="9853942.2857142892"/>
    <n v="4856684.9365234403"/>
    <n v="3076005"/>
    <n v="5955932"/>
    <n v="12929947.2857143"/>
    <n v="10812616.9365234"/>
    <n v="0"/>
    <n v="0"/>
    <n v="227"/>
    <n v="0"/>
    <n v="0"/>
    <n v="0"/>
    <n v="0"/>
    <n v="0"/>
    <n v="0"/>
    <n v="0"/>
    <n v="0"/>
    <n v="165.982821762562"/>
    <n v="121.59796565025999"/>
    <n v="0"/>
    <n v="287.58078741282202"/>
    <n v="13897410.912951"/>
    <n v="18676022.909855701"/>
    <n v="0"/>
    <n v="32573433.822806701"/>
    <n v="0.5274110116313"/>
    <n v="15"/>
    <n v="8.5237837145472994"/>
    <n v="0"/>
    <n v="33.170059999999999"/>
    <n v="0"/>
    <n v="0"/>
    <n v="0"/>
    <n v="0"/>
    <n v="5.4921556800891558E-2"/>
    <n v="-133.52369616918031"/>
    <n v="2457.0878180916602"/>
    <n v="-175.31488988627399"/>
    <n v="403.41197520011099"/>
    <n v="337.21027567275399"/>
    <n v="-217.045436649208"/>
    <n v="51.634840987148003"/>
    <n v="212.74300391450899"/>
    <n v="2.38804353829178E-8"/>
    <n v="6.2159987236946404E-8"/>
    <n v="9.01187994543759E-4"/>
    <n v="0.141573700723961"/>
    <n v="-92.347599301026605"/>
    <n v="-65.287895086453901"/>
    <n v="-347.53987174880501"/>
    <n v="0"/>
    <n v="0"/>
    <n v="0"/>
  </r>
  <r>
    <s v="Chile"/>
    <x v="32"/>
    <x v="2"/>
    <n v="3068.6970000000001"/>
    <n v="300366775.43099999"/>
    <n v="97880.884000000005"/>
    <n v="20531.040851550999"/>
    <n v="78.751000000000005"/>
    <n v="89.748000000000005"/>
    <n v="88.888888899999998"/>
    <n v="89.314671667052494"/>
    <n v="0"/>
    <n v="5.3608311116825702E-3"/>
    <n v="0"/>
    <n v="0"/>
    <n v="0"/>
    <n v="51393559"/>
    <n v="19430726.5625"/>
    <n v="12391156.428571399"/>
    <n v="25129055"/>
    <n v="63784715.428571403"/>
    <n v="44559781.5625"/>
    <n v="21903"/>
    <n v="3417594"/>
    <n v="296"/>
    <n v="0"/>
    <n v="0"/>
    <n v="0"/>
    <n v="0"/>
    <n v="5391304.3478260897"/>
    <n v="22.686274509803901"/>
    <n v="0"/>
    <n v="0"/>
    <n v="317.17378232628101"/>
    <n v="193.64375096559499"/>
    <n v="0"/>
    <n v="510.81753329187598"/>
    <n v="45659048.382205501"/>
    <n v="23334328.869570699"/>
    <n v="0"/>
    <n v="68993377.251776204"/>
    <n v="0.2634854614762"/>
    <n v="11.5"/>
    <n v="8.3128804231684992"/>
    <n v="0"/>
    <n v="31.339375"/>
    <n v="0"/>
    <n v="0"/>
    <n v="0"/>
    <n v="0"/>
    <n v="8.003598197365288E-3"/>
    <n v="24.560617777460266"/>
    <n v="2455.11850472179"/>
    <n v="-147.25453137249201"/>
    <n v="423.44366459656698"/>
    <n v="313.68342176070303"/>
    <n v="-217.808484309112"/>
    <n v="7.7925402001459503"/>
    <n v="375.13119066206002"/>
    <n v="73.117875237566594"/>
    <n v="4.1061125009236202E-8"/>
    <n v="7.2052681274695397E-5"/>
    <n v="77.838028976607603"/>
    <n v="-106.26174433060601"/>
    <n v="-32.568115905575198"/>
    <n v="-178.09604010885701"/>
    <n v="0"/>
    <n v="0"/>
    <n v="0"/>
  </r>
  <r>
    <s v="Chile"/>
    <x v="33"/>
    <x v="2"/>
    <n v="4060.66"/>
    <n v="392423423"/>
    <n v="96640.305999999997"/>
    <n v="20024.545490430501"/>
    <n v="82.037999999999997"/>
    <n v="89.674000000000007"/>
    <n v="91.628701599999999"/>
    <n v="90.828237420252293"/>
    <n v="0"/>
    <n v="1.7967250469941898E-2"/>
    <n v="0"/>
    <n v="0"/>
    <n v="0"/>
    <n v="47341556.714285702"/>
    <n v="19099017.578125"/>
    <n v="10039020.571428601"/>
    <n v="20699997.802734401"/>
    <n v="57380577.285714298"/>
    <n v="39799015.380859397"/>
    <n v="11517"/>
    <n v="1946017.9443359401"/>
    <n v="319"/>
    <n v="0"/>
    <n v="0"/>
    <n v="0"/>
    <n v="0"/>
    <n v="10108695.652173899"/>
    <n v="26.176470588235301"/>
    <n v="0"/>
    <n v="0"/>
    <n v="599.95513999462105"/>
    <n v="53.497098892927198"/>
    <n v="0"/>
    <n v="653.45223888754799"/>
    <n v="100712550.5511"/>
    <n v="0"/>
    <n v="0"/>
    <n v="100712550.5511"/>
    <n v="-8.9436454631000001E-2"/>
    <n v="8.8000000000000007"/>
    <n v="8.3481780359654998"/>
    <n v="0"/>
    <n v="32.144584999999999"/>
    <n v="0"/>
    <n v="1"/>
    <n v="0"/>
    <n v="0"/>
    <n v="9.9044476497342892E-3"/>
    <n v="40.21859439337004"/>
    <n v="2454.26857519334"/>
    <n v="-130.51414396189199"/>
    <n v="386.586137692134"/>
    <n v="533.49589036273096"/>
    <n v="-243.65024226372401"/>
    <n v="1.1687170522916599"/>
    <n v="375.12122710099499"/>
    <n v="77.457519627112504"/>
    <n v="3.3269419757360001E-8"/>
    <n v="9.09734398667923E-6"/>
    <n v="122.29203945467199"/>
    <n v="-108.227233225175"/>
    <n v="11.048369661647801"/>
    <n v="-47.776533112861799"/>
    <n v="0"/>
    <n v="589.17107289474802"/>
    <n v="0"/>
  </r>
  <r>
    <s v="Chile"/>
    <x v="34"/>
    <x v="2"/>
    <n v="3410.3910000000001"/>
    <n v="327709943.62900001"/>
    <n v="96091.604999999996"/>
    <n v="20448.667877771899"/>
    <n v="85.570999999999998"/>
    <n v="90.382999999999996"/>
    <n v="92.2585227"/>
    <n v="91.559226987116801"/>
    <n v="0"/>
    <n v="2.3543002182688899E-2"/>
    <n v="0"/>
    <n v="0"/>
    <n v="0"/>
    <n v="50246461"/>
    <n v="27612878.417968798"/>
    <n v="7005896"/>
    <n v="14414015.869140601"/>
    <n v="57252357"/>
    <n v="42026894.287109397"/>
    <n v="7899"/>
    <n v="1505519.04296875"/>
    <n v="358"/>
    <n v="0"/>
    <n v="0"/>
    <n v="0"/>
    <n v="0"/>
    <n v="10445652.173913"/>
    <n v="27.0490196078431"/>
    <n v="0"/>
    <n v="0"/>
    <n v="325.56934568285902"/>
    <n v="405.56192237138703"/>
    <n v="0"/>
    <n v="731.13126805424702"/>
    <n v="30760087.514912199"/>
    <n v="84491926.740562096"/>
    <n v="0"/>
    <n v="115252014.255474"/>
    <n v="0.73651446527919995"/>
    <n v="8.1999999999999993"/>
    <n v="8.6841757807491007"/>
    <n v="0"/>
    <n v="32.187480000000001"/>
    <n v="0"/>
    <n v="0"/>
    <n v="0"/>
    <n v="0"/>
    <n v="4.748228840440287E-2"/>
    <n v="-161.9331690337799"/>
    <n v="2455.2399639138298"/>
    <n v="-140.13615638069001"/>
    <n v="416.27710568162001"/>
    <n v="765.13329704554906"/>
    <n v="-256.99128425429001"/>
    <n v="0.171249167988687"/>
    <n v="375.54080359073203"/>
    <n v="48.559182793547699"/>
    <n v="2.9937239654026199E-8"/>
    <n v="1.8031147807861601E-6"/>
    <n v="126.615893164665"/>
    <n v="-108.048909678697"/>
    <n v="-91.078062948153502"/>
    <n v="-18.958914895375699"/>
    <n v="0"/>
    <n v="0"/>
    <n v="0"/>
  </r>
  <r>
    <s v="Chile"/>
    <x v="35"/>
    <x v="2"/>
    <n v="3635.57"/>
    <n v="347504217.833"/>
    <n v="95584.520999999993"/>
    <n v="20112.215298652602"/>
    <n v="84.265000000000001"/>
    <n v="92.956999999999994"/>
    <n v="80.836236900000003"/>
    <n v="86.002013241744905"/>
    <n v="0"/>
    <n v="2.8695853155270699E-2"/>
    <n v="0"/>
    <n v="0"/>
    <n v="0"/>
    <n v="0"/>
    <n v="0"/>
    <n v="0"/>
    <n v="0"/>
    <n v="0"/>
    <n v="0"/>
    <n v="0"/>
    <n v="0"/>
    <n v="287"/>
    <n v="0"/>
    <n v="0"/>
    <n v="0"/>
    <n v="0"/>
    <n v="5054347.8260869598"/>
    <n v="13.088235294117601"/>
    <n v="0"/>
    <n v="0"/>
    <n v="283.37272092699999"/>
    <n v="329.57960340380703"/>
    <n v="0"/>
    <n v="612.95232433080696"/>
    <n v="22479017.6935593"/>
    <n v="63161317.340725198"/>
    <n v="0"/>
    <n v="85640335.034284502"/>
    <n v="0.25549723031119997"/>
    <n v="9.6999999999999993"/>
    <n v="8.9013222957233005"/>
    <n v="0"/>
    <n v="32.768219999999999"/>
    <n v="0"/>
    <n v="0"/>
    <n v="0"/>
    <n v="0"/>
    <n v="1.1142575762232633E-2"/>
    <n v="40.509614163900096"/>
    <n v="2449.2532812344598"/>
    <n v="-57.595195320710403"/>
    <n v="393.39531333997502"/>
    <n v="690.28390048590995"/>
    <n v="-155.06137917958"/>
    <n v="2.2772859271656301E-2"/>
    <n v="375.47227683081798"/>
    <n v="0.88250619127672603"/>
    <n v="2.8395308367751E-8"/>
    <n v="5.3154179915373195E-7"/>
    <n v="129.339304908945"/>
    <n v="-109.856322588056"/>
    <n v="-31.445418378758099"/>
    <n v="-89.630655107386403"/>
    <n v="0"/>
    <n v="0"/>
    <n v="0"/>
  </r>
  <r>
    <s v="Chile"/>
    <x v="36"/>
    <x v="3"/>
    <n v="4210.6840000000002"/>
    <n v="402318259"/>
    <n v="95547.008000000002"/>
    <n v="20692.3965399152"/>
    <n v="83.384"/>
    <n v="92.72"/>
    <n v="74.986103400000005"/>
    <n v="82.794982857868504"/>
    <n v="0"/>
    <n v="0"/>
    <n v="0"/>
    <n v="0"/>
    <n v="0"/>
    <n v="0"/>
    <n v="0"/>
    <n v="0"/>
    <n v="0"/>
    <n v="0"/>
    <n v="0"/>
    <n v="0"/>
    <n v="0"/>
    <n v="308"/>
    <n v="0"/>
    <n v="0"/>
    <n v="0"/>
    <n v="0"/>
    <n v="0"/>
    <n v="0"/>
    <n v="0"/>
    <n v="0"/>
    <n v="378.41223527491098"/>
    <n v="151.70855285227299"/>
    <n v="0"/>
    <n v="530.12078812718403"/>
    <n v="71858077.053920001"/>
    <n v="25948334.030217599"/>
    <n v="0"/>
    <n v="97806411.084137693"/>
    <n v="8.7768664364599999E-2"/>
    <n v="12.1"/>
    <n v="8.7423149114592995"/>
    <n v="0"/>
    <n v="31.836134999999999"/>
    <n v="0"/>
    <n v="0"/>
    <n v="1"/>
    <n v="0"/>
    <n v="2.4494454001798817E-2"/>
    <n v="103.13840555411025"/>
    <n v="2444.9632479841798"/>
    <n v="0"/>
    <n v="436.14917391957198"/>
    <n v="640.40914462724504"/>
    <n v="-95.872774659964307"/>
    <n v="0"/>
    <n v="375.349620736394"/>
    <n v="2.8087807422585002E-3"/>
    <n v="2.76416882247753E-8"/>
    <n v="2.1569365164505699E-7"/>
    <n v="115.599841631545"/>
    <n v="-111.096400755093"/>
    <n v="-10.765847170696"/>
    <n v="-203.37505178749001"/>
    <n v="0"/>
    <n v="0"/>
    <n v="516.181830896121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1D3A0-F989-4595-876E-12489448C2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11" firstHeaderRow="1" firstDataRow="1" firstDataCol="1"/>
  <pivotFields count="10">
    <pivotField showAll="0"/>
    <pivotField showAll="0"/>
    <pivotField axis="axisRow" showAll="0">
      <items count="8">
        <item x="0"/>
        <item x="2"/>
        <item x="4"/>
        <item x="3"/>
        <item x="6"/>
        <item x="5"/>
        <item x="1"/>
        <item t="default"/>
      </items>
    </pivotField>
    <pivotField dataField="1" numFmtId="165" showAll="0"/>
    <pivotField numFmtId="165" showAll="0"/>
    <pivotField numFmtId="165" showAll="0"/>
    <pivotField numFmtId="165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4A21B-2E39-479B-A66A-FDE792F9F19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30:E138" firstHeaderRow="0" firstDataRow="1" firstDataCol="1"/>
  <pivotFields count="12">
    <pivotField showAll="0"/>
    <pivotField showAll="0"/>
    <pivotField axis="axisRow" showAll="0">
      <items count="8">
        <item x="0"/>
        <item x="2"/>
        <item x="4"/>
        <item x="3"/>
        <item x="6"/>
        <item x="5"/>
        <item x="1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dataField="1" numFmtId="165" showAll="0"/>
    <pivotField dataField="1" numFmtId="165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Y24 vs FY23 (12 Months)" fld="11" baseField="0" baseItem="0" numFmtId="165"/>
    <dataField name="Sum of FY23 vs FY22 (12 Months)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1C606-FFFF-4165-83DB-5827322F141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0:D98" firstHeaderRow="0" firstDataRow="1" firstDataCol="1"/>
  <pivotFields count="10">
    <pivotField axis="axisRow" showAll="0">
      <items count="18">
        <item x="0"/>
        <item x="11"/>
        <item x="2"/>
        <item x="4"/>
        <item x="14"/>
        <item x="5"/>
        <item x="16"/>
        <item x="12"/>
        <item x="8"/>
        <item x="9"/>
        <item x="10"/>
        <item x="7"/>
        <item x="13"/>
        <item x="1"/>
        <item x="3"/>
        <item x="15"/>
        <item x="6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dataField="1" showAll="0"/>
    <pivotField dataField="1" showAll="0"/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Y_2022" fld="7" baseField="0" baseItem="0"/>
    <dataField name="Sum of FY_2023" fld="8" baseField="0" baseItem="0"/>
    <dataField name="Sum of FY_2024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2F7F3-BBBC-4588-9702-4D44E5BB070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30:J138" firstHeaderRow="0" firstDataRow="1" firstDataCol="1"/>
  <pivotFields count="12">
    <pivotField showAll="0"/>
    <pivotField showAll="0"/>
    <pivotField axis="axisRow" showAll="0">
      <items count="8">
        <item x="0"/>
        <item x="2"/>
        <item x="4"/>
        <item x="3"/>
        <item x="6"/>
        <item x="5"/>
        <item x="1"/>
        <item t="default"/>
      </items>
    </pivotField>
    <pivotField numFmtId="165" showAll="0"/>
    <pivotField numFmtId="165" showAll="0"/>
    <pivotField numFmtId="165" showAll="0"/>
    <pivotField numFmtId="165" showAll="0"/>
    <pivotField dataField="1" showAll="0"/>
    <pivotField dataField="1" showAll="0"/>
    <pivotField dataField="1" showAll="0"/>
    <pivotField numFmtId="165" showAll="0"/>
    <pivotField numFmtId="165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Y_2022" fld="7" baseField="0" baseItem="0"/>
    <dataField name="Sum of FY_2023" fld="8" baseField="0" baseItem="0"/>
    <dataField name="Sum of FY_2024" fld="9" baseField="0" baseItem="0"/>
  </dataFields>
  <formats count="1"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D688B-9585-4D64-BEF1-F1B526A34D31}" name="PivotTable1" cacheId="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6" firstHeaderRow="1" firstDataRow="2" firstDataCol="1"/>
  <pivotFields count="72">
    <pivotField showAll="0"/>
    <pivotField numFmtId="167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numFmtId="3" showAll="0"/>
    <pivotField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9" showAll="0"/>
    <pivotField numFmtId="9" showAll="0"/>
    <pivotField dataField="1" numFmtId="9" showAll="0"/>
    <pivotField dataField="1" showAll="0"/>
    <pivotField numFmtId="9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numFmtId="3" showAll="0"/>
    <pivotField dataField="1" numFmtId="3" showAll="0"/>
    <pivotField numFmtId="3" showAll="0"/>
    <pivotField numFmtId="3" showAll="0"/>
    <pivotField dataField="1" numFmtId="3" showAll="0"/>
    <pivotField dataField="1" numFmtId="3" showAll="0"/>
    <pivotField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4" showAll="0"/>
    <pivotField numFmtId="3" showAll="0"/>
    <pivotField numFmtId="3" showAll="0"/>
    <pivotField numFmtId="3" showAll="0"/>
    <pivotField numFmtId="3" showAll="0"/>
    <pivotField dataField="1" numFmtId="3" showAll="0"/>
    <pivotField numFmtId="3" showAll="0"/>
    <pivotField numFmtId="3" showAll="0"/>
    <pivotField numFmtId="3" showAll="0"/>
    <pivotField numFmtId="165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2">
    <dataField name="Sum of Discount PERIOD" fld="14" baseField="2" baseItem="3"/>
    <dataField name="Average of Twinings_Price" fld="5" subtotal="average" baseField="0" baseItem="0" numFmtId="3"/>
    <dataField name="Average of Discounts_5%_Min" fld="13" subtotal="average" baseField="2" baseItem="0" numFmtId="9"/>
    <dataField name="Average of Twinings_WD" fld="7" subtotal="average" baseField="2" baseItem="0" numFmtId="3"/>
    <dataField name="Sum of YouTube_FB_Spends" fld="21" baseField="0" baseItem="0" numFmtId="3"/>
    <dataField name="Sum of Google_Search_Spends" fld="23" baseField="0" baseItem="0" numFmtId="3"/>
    <dataField name="Sum of Display_Spends" fld="26" baseField="0" baseItem="0" numFmtId="3"/>
    <dataField name="Sum of OOH_Screen_Spends" fld="27" baseField="0" baseItem="0" numFmtId="3"/>
    <dataField name="Sum of OOH_Retail_Spends" fld="29" baseField="0" baseItem="0" numFmtId="3"/>
    <dataField name="Average of Covid_Index" fld="46" subtotal="average" baseField="2" baseItem="0" numFmtId="3"/>
    <dataField name="Average of Competitor_Price" fld="6" subtotal="average" baseField="2" baseItem="0" numFmtId="3"/>
    <dataField name="Sum of Competitor_GRPs" fld="3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7723-DE92-4612-9964-B5C00D9E2BCC}">
  <sheetPr codeName="Sheet1"/>
  <dimension ref="A1:V41"/>
  <sheetViews>
    <sheetView zoomScale="115" zoomScaleNormal="115" workbookViewId="0">
      <pane xSplit="2" ySplit="1" topLeftCell="E4" activePane="bottomRight" state="frozen"/>
      <selection pane="topRight" activeCell="B1" sqref="B1"/>
      <selection pane="bottomLeft" activeCell="A2" sqref="A2"/>
      <selection pane="bottomRight" activeCell="R8" sqref="R8"/>
    </sheetView>
  </sheetViews>
  <sheetFormatPr defaultColWidth="8.7109375" defaultRowHeight="12.75" x14ac:dyDescent="0.2"/>
  <cols>
    <col min="1" max="1" width="8.7109375" style="1"/>
    <col min="2" max="2" width="11.5703125" style="1" bestFit="1" customWidth="1"/>
    <col min="3" max="3" width="11.7109375" style="1" customWidth="1"/>
    <col min="4" max="4" width="12.5703125" style="1" customWidth="1"/>
    <col min="5" max="6" width="9.5703125" style="1" customWidth="1"/>
    <col min="7" max="7" width="6.7109375" style="1" bestFit="1" customWidth="1"/>
    <col min="8" max="11" width="8.7109375" style="1"/>
    <col min="12" max="12" width="26.140625" style="1" customWidth="1"/>
    <col min="13" max="13" width="10.5703125" style="1" customWidth="1"/>
    <col min="14" max="14" width="11.42578125" style="1" customWidth="1"/>
    <col min="15" max="15" width="9.5703125" style="1" customWidth="1"/>
    <col min="16" max="16" width="10.85546875" style="1" customWidth="1"/>
    <col min="17" max="22" width="9.5703125" style="1" customWidth="1"/>
    <col min="23" max="16384" width="8.7109375" style="1"/>
  </cols>
  <sheetData>
    <row r="1" spans="1:22" ht="13.5" thickBot="1" x14ac:dyDescent="0.25">
      <c r="A1" s="61" t="s">
        <v>0</v>
      </c>
      <c r="B1" s="60" t="s">
        <v>1</v>
      </c>
      <c r="C1" s="60" t="s">
        <v>2</v>
      </c>
      <c r="D1" s="60" t="s">
        <v>3</v>
      </c>
      <c r="E1" s="33" t="s">
        <v>4</v>
      </c>
      <c r="F1" s="33" t="s">
        <v>5</v>
      </c>
      <c r="G1" s="34" t="s">
        <v>6</v>
      </c>
      <c r="I1" s="211" t="s">
        <v>7</v>
      </c>
      <c r="J1" s="212"/>
      <c r="L1" s="27" t="s">
        <v>8</v>
      </c>
      <c r="M1" s="76" t="s">
        <v>2</v>
      </c>
      <c r="N1" s="53" t="s">
        <v>3</v>
      </c>
      <c r="O1" s="53" t="s">
        <v>9</v>
      </c>
      <c r="P1" s="53" t="s">
        <v>10</v>
      </c>
      <c r="Q1" s="3"/>
      <c r="R1" s="3"/>
      <c r="S1" s="3"/>
      <c r="T1" s="3"/>
      <c r="U1" s="3"/>
      <c r="V1" s="3"/>
    </row>
    <row r="2" spans="1:22" ht="15" x14ac:dyDescent="0.25">
      <c r="A2" s="4" t="s">
        <v>11</v>
      </c>
      <c r="B2" s="91">
        <v>44440</v>
      </c>
      <c r="C2" s="65">
        <v>3309.9679999999998</v>
      </c>
      <c r="D2" s="64">
        <v>3378.9217141265799</v>
      </c>
      <c r="E2" s="66">
        <v>2486.3068578007301</v>
      </c>
      <c r="F2" s="66">
        <f>C2-D2</f>
        <v>-68.953714126580053</v>
      </c>
      <c r="G2" s="23">
        <f>ABS(F2/C2)</f>
        <v>2.0832139200916762E-2</v>
      </c>
      <c r="I2" s="28" t="s">
        <v>9</v>
      </c>
      <c r="J2" s="105">
        <v>0.90549999999999997</v>
      </c>
      <c r="L2" s="26" t="s">
        <v>12</v>
      </c>
      <c r="M2" s="67">
        <f>SUMIFS($C:$C,$A:$A,$L2)</f>
        <v>0</v>
      </c>
      <c r="N2" s="68">
        <f>SUMIFS($D:$D,$A:$A,$L2)</f>
        <v>0</v>
      </c>
      <c r="O2" s="108">
        <f>RSQ(C2:C38,D2:D38)</f>
        <v>0.90549327240536859</v>
      </c>
      <c r="P2" s="213">
        <f>RSQ(C2:C38,D2:D38)</f>
        <v>0.90549327240536859</v>
      </c>
      <c r="Q2" s="51"/>
      <c r="R2" s="2"/>
      <c r="S2" s="2"/>
      <c r="T2" s="2"/>
      <c r="U2" s="2"/>
      <c r="V2" s="2"/>
    </row>
    <row r="3" spans="1:22" ht="15" x14ac:dyDescent="0.25">
      <c r="A3" s="4" t="s">
        <v>11</v>
      </c>
      <c r="B3" s="91">
        <v>44470</v>
      </c>
      <c r="C3" s="65">
        <v>3028.2979999999998</v>
      </c>
      <c r="D3" s="64">
        <v>2934.4872912763499</v>
      </c>
      <c r="E3" s="66">
        <v>2472.8050198772999</v>
      </c>
      <c r="F3" s="63">
        <f t="shared" ref="F3:F38" si="0">C3-D3</f>
        <v>93.810708723649896</v>
      </c>
      <c r="G3" s="22">
        <f t="shared" ref="G3:G38" si="1">ABS(F3/C3)</f>
        <v>3.0978030802665358E-2</v>
      </c>
      <c r="I3" s="29" t="s">
        <v>13</v>
      </c>
      <c r="J3" s="106">
        <v>0.82090000000000007</v>
      </c>
      <c r="L3" s="24" t="s">
        <v>11</v>
      </c>
      <c r="M3" s="69">
        <f>SUMIFS($C:$C,$A:$A,$L3)</f>
        <v>33769.536999999997</v>
      </c>
      <c r="N3" s="70">
        <f>SUMIFS($D:$D,$A:$A,$L3)</f>
        <v>33568.271110892201</v>
      </c>
      <c r="O3" s="108">
        <f>RSQ(C2:C13,D2:D13)</f>
        <v>0.76986393612546233</v>
      </c>
      <c r="P3" s="214"/>
      <c r="Q3" s="51"/>
      <c r="R3" s="2"/>
      <c r="S3" s="2"/>
      <c r="T3" s="2"/>
      <c r="U3" s="2"/>
      <c r="V3" s="2"/>
    </row>
    <row r="4" spans="1:22" ht="15.75" thickBot="1" x14ac:dyDescent="0.3">
      <c r="A4" s="4" t="s">
        <v>11</v>
      </c>
      <c r="B4" s="91">
        <v>44501</v>
      </c>
      <c r="C4" s="65">
        <v>2525.5610000000001</v>
      </c>
      <c r="D4" s="64">
        <v>2703.1042810969502</v>
      </c>
      <c r="E4" s="66">
        <v>2469.03999939717</v>
      </c>
      <c r="F4" s="63">
        <f t="shared" si="0"/>
        <v>-177.54328109695007</v>
      </c>
      <c r="G4" s="22">
        <f t="shared" si="1"/>
        <v>7.0298551924483338E-2</v>
      </c>
      <c r="I4" s="29" t="s">
        <v>14</v>
      </c>
      <c r="J4" s="88">
        <v>6.8599999999999994E-2</v>
      </c>
      <c r="L4" s="24" t="s">
        <v>15</v>
      </c>
      <c r="M4" s="69">
        <f>SUMIFS($C:$C,$A:$A,$L4)</f>
        <v>31283.970000000005</v>
      </c>
      <c r="N4" s="70">
        <f>SUMIFS($D:$D,$A:$A,$L4)</f>
        <v>31650.005581732632</v>
      </c>
      <c r="O4" s="108">
        <f>RSQ(C14:C25,D14:D25)</f>
        <v>0.90487682500309596</v>
      </c>
      <c r="P4" s="215"/>
      <c r="Q4" s="51"/>
      <c r="R4" s="2"/>
      <c r="S4" s="2"/>
      <c r="T4" s="2"/>
      <c r="U4" s="2"/>
      <c r="V4" s="2"/>
    </row>
    <row r="5" spans="1:22" ht="15.75" thickBot="1" x14ac:dyDescent="0.3">
      <c r="A5" s="4" t="s">
        <v>11</v>
      </c>
      <c r="B5" s="91">
        <v>44531</v>
      </c>
      <c r="C5" s="65">
        <v>2741.46</v>
      </c>
      <c r="D5" s="64">
        <v>2294.8617526451098</v>
      </c>
      <c r="E5" s="66">
        <v>2447.4368359373102</v>
      </c>
      <c r="F5" s="63">
        <f t="shared" si="0"/>
        <v>446.59824735489019</v>
      </c>
      <c r="G5" s="22">
        <f t="shared" si="1"/>
        <v>0.16290525754703339</v>
      </c>
      <c r="I5" s="30" t="s">
        <v>16</v>
      </c>
      <c r="J5" s="107">
        <v>2.54</v>
      </c>
      <c r="L5" s="25" t="s">
        <v>17</v>
      </c>
      <c r="M5" s="71">
        <f>SUMIFS($C:$C,$A:$A,$L5)</f>
        <v>33662.949999999997</v>
      </c>
      <c r="N5" s="72">
        <f>SUMIFS($D:$D,$A:$A,$L5)</f>
        <v>33524.998193178864</v>
      </c>
      <c r="O5" s="109">
        <f>RSQ(C26:C37,D26:D37)</f>
        <v>0.93509262503807278</v>
      </c>
      <c r="P5" s="92"/>
      <c r="Q5" s="51"/>
      <c r="R5" s="2"/>
      <c r="S5" s="2"/>
      <c r="T5" s="2"/>
      <c r="U5" s="2"/>
      <c r="V5" s="2"/>
    </row>
    <row r="6" spans="1:22" ht="15" x14ac:dyDescent="0.25">
      <c r="A6" s="4" t="s">
        <v>11</v>
      </c>
      <c r="B6" s="91">
        <v>44562</v>
      </c>
      <c r="C6" s="65">
        <v>2120.7910000000002</v>
      </c>
      <c r="D6" s="64">
        <v>2313.7008017765102</v>
      </c>
      <c r="E6" s="66">
        <v>2469.8362710900501</v>
      </c>
      <c r="F6" s="63">
        <f t="shared" si="0"/>
        <v>-192.90980177650999</v>
      </c>
      <c r="G6" s="22">
        <f t="shared" si="1"/>
        <v>9.0961250673220501E-2</v>
      </c>
      <c r="L6" s="36" t="s">
        <v>18</v>
      </c>
      <c r="M6" s="73">
        <f>M4/M3-1</f>
        <v>-7.3603822285155718E-2</v>
      </c>
      <c r="N6" s="74">
        <f>N4/N3-1</f>
        <v>-5.7145198893997606E-2</v>
      </c>
      <c r="O6" s="51"/>
      <c r="P6" s="111"/>
      <c r="Q6" s="51"/>
      <c r="R6" s="2"/>
      <c r="S6" s="2"/>
      <c r="T6" s="2"/>
      <c r="U6" s="2"/>
      <c r="V6" s="2"/>
    </row>
    <row r="7" spans="1:22" ht="15.75" thickBot="1" x14ac:dyDescent="0.3">
      <c r="A7" s="4" t="s">
        <v>11</v>
      </c>
      <c r="B7" s="91">
        <v>44593</v>
      </c>
      <c r="C7" s="65">
        <v>2025.4739999999999</v>
      </c>
      <c r="D7" s="64">
        <v>2423.8704784376901</v>
      </c>
      <c r="E7" s="66">
        <v>2473.4602859516599</v>
      </c>
      <c r="F7" s="63">
        <f t="shared" si="0"/>
        <v>-398.39647843769012</v>
      </c>
      <c r="G7" s="22">
        <f t="shared" si="1"/>
        <v>0.19669296097490765</v>
      </c>
      <c r="L7" s="25" t="s">
        <v>19</v>
      </c>
      <c r="M7" s="75">
        <f>M5/M4-1</f>
        <v>7.6044696373254173E-2</v>
      </c>
      <c r="N7" s="75">
        <f>N5/N4-1</f>
        <v>5.924146226781124E-2</v>
      </c>
      <c r="O7" s="51"/>
      <c r="P7" s="111"/>
      <c r="Q7" s="31"/>
      <c r="R7" s="31"/>
      <c r="S7" s="31"/>
      <c r="T7" s="31"/>
      <c r="U7" s="31"/>
      <c r="V7" s="31"/>
    </row>
    <row r="8" spans="1:22" ht="15" x14ac:dyDescent="0.25">
      <c r="A8" s="4" t="s">
        <v>11</v>
      </c>
      <c r="B8" s="91">
        <v>44621</v>
      </c>
      <c r="C8" s="65">
        <v>2782.846</v>
      </c>
      <c r="D8" s="64">
        <v>2418.56788308355</v>
      </c>
      <c r="E8" s="66">
        <v>2439.25592812996</v>
      </c>
      <c r="F8" s="63">
        <f t="shared" si="0"/>
        <v>364.27811691645002</v>
      </c>
      <c r="G8" s="22">
        <f t="shared" si="1"/>
        <v>0.13090128484165131</v>
      </c>
      <c r="P8" s="31"/>
      <c r="Q8" s="31"/>
      <c r="R8" s="31"/>
      <c r="S8" s="31"/>
      <c r="T8" s="31"/>
      <c r="U8" s="31"/>
      <c r="V8" s="31"/>
    </row>
    <row r="9" spans="1:22" ht="15" x14ac:dyDescent="0.25">
      <c r="A9" s="4" t="s">
        <v>11</v>
      </c>
      <c r="B9" s="91">
        <v>44652</v>
      </c>
      <c r="C9" s="65">
        <v>2487.2640000000001</v>
      </c>
      <c r="D9" s="64">
        <v>2525.0551683181302</v>
      </c>
      <c r="E9" s="66">
        <v>2438.6477837436801</v>
      </c>
      <c r="F9" s="63">
        <f t="shared" si="0"/>
        <v>-37.791168318130076</v>
      </c>
      <c r="G9" s="22">
        <f t="shared" si="1"/>
        <v>1.5193870983590835E-2</v>
      </c>
    </row>
    <row r="10" spans="1:22" ht="15" x14ac:dyDescent="0.25">
      <c r="A10" s="4" t="s">
        <v>11</v>
      </c>
      <c r="B10" s="91">
        <v>44682</v>
      </c>
      <c r="C10" s="65">
        <v>3227.268</v>
      </c>
      <c r="D10" s="64">
        <v>3213.87025592277</v>
      </c>
      <c r="E10" s="66">
        <v>2434.8380680334699</v>
      </c>
      <c r="F10" s="63">
        <f t="shared" si="0"/>
        <v>13.397744077230072</v>
      </c>
      <c r="G10" s="22">
        <f t="shared" si="1"/>
        <v>4.1514197386861183E-3</v>
      </c>
    </row>
    <row r="11" spans="1:22" ht="15" x14ac:dyDescent="0.25">
      <c r="A11" s="4" t="s">
        <v>11</v>
      </c>
      <c r="B11" s="91">
        <v>44713</v>
      </c>
      <c r="C11" s="65">
        <v>3720.3150000000001</v>
      </c>
      <c r="D11" s="64">
        <v>3627.64620002233</v>
      </c>
      <c r="E11" s="66">
        <v>2432.4739618746098</v>
      </c>
      <c r="F11" s="63">
        <f t="shared" si="0"/>
        <v>92.668799977670005</v>
      </c>
      <c r="G11" s="22">
        <f t="shared" si="1"/>
        <v>2.4908858518074412E-2</v>
      </c>
    </row>
    <row r="12" spans="1:22" ht="15" x14ac:dyDescent="0.25">
      <c r="A12" s="4" t="s">
        <v>11</v>
      </c>
      <c r="B12" s="91">
        <v>44743</v>
      </c>
      <c r="C12" s="65">
        <v>2943.4389999999999</v>
      </c>
      <c r="D12" s="64">
        <v>2817.2819208656101</v>
      </c>
      <c r="E12" s="66">
        <v>2437.3292606247301</v>
      </c>
      <c r="F12" s="63">
        <f t="shared" si="0"/>
        <v>126.15707913438973</v>
      </c>
      <c r="G12" s="22">
        <f t="shared" si="1"/>
        <v>4.2860436086628512E-2</v>
      </c>
    </row>
    <row r="13" spans="1:22" ht="15" x14ac:dyDescent="0.25">
      <c r="A13" s="4" t="s">
        <v>11</v>
      </c>
      <c r="B13" s="91">
        <v>44774</v>
      </c>
      <c r="C13" s="65">
        <v>2856.8530000000001</v>
      </c>
      <c r="D13" s="64">
        <v>2916.90336332062</v>
      </c>
      <c r="E13" s="66">
        <v>2451.2042402975299</v>
      </c>
      <c r="F13" s="63">
        <f t="shared" si="0"/>
        <v>-60.050363320619908</v>
      </c>
      <c r="G13" s="22">
        <f t="shared" si="1"/>
        <v>2.1019759616830096E-2</v>
      </c>
    </row>
    <row r="14" spans="1:22" ht="15" x14ac:dyDescent="0.25">
      <c r="A14" s="4" t="s">
        <v>15</v>
      </c>
      <c r="B14" s="91">
        <v>44805</v>
      </c>
      <c r="C14" s="65">
        <v>3721.873</v>
      </c>
      <c r="D14" s="64">
        <v>3687.1324564429901</v>
      </c>
      <c r="E14" s="66">
        <v>2460.6864128728198</v>
      </c>
      <c r="F14" s="63">
        <f t="shared" si="0"/>
        <v>34.740543557009914</v>
      </c>
      <c r="G14" s="22">
        <f t="shared" si="1"/>
        <v>9.3341560974836892E-3</v>
      </c>
    </row>
    <row r="15" spans="1:22" ht="15" x14ac:dyDescent="0.25">
      <c r="A15" s="4" t="s">
        <v>15</v>
      </c>
      <c r="B15" s="91">
        <v>44835</v>
      </c>
      <c r="C15" s="65">
        <v>2659.5039999999999</v>
      </c>
      <c r="D15" s="64">
        <v>2840.6742247361499</v>
      </c>
      <c r="E15" s="66">
        <v>2472.3609766958798</v>
      </c>
      <c r="F15" s="63">
        <f t="shared" si="0"/>
        <v>-181.17022473614998</v>
      </c>
      <c r="G15" s="22">
        <f t="shared" si="1"/>
        <v>6.8121809456255747E-2</v>
      </c>
    </row>
    <row r="16" spans="1:22" ht="15" x14ac:dyDescent="0.25">
      <c r="A16" s="4" t="s">
        <v>15</v>
      </c>
      <c r="B16" s="91">
        <v>44866</v>
      </c>
      <c r="C16" s="65">
        <v>2149.636</v>
      </c>
      <c r="D16" s="64">
        <v>2329.6367900344399</v>
      </c>
      <c r="E16" s="66">
        <v>2471.2078990211999</v>
      </c>
      <c r="F16" s="63">
        <f t="shared" si="0"/>
        <v>-180.00079003443989</v>
      </c>
      <c r="G16" s="22">
        <f t="shared" si="1"/>
        <v>8.3735474300969975E-2</v>
      </c>
    </row>
    <row r="17" spans="1:7" ht="15" x14ac:dyDescent="0.25">
      <c r="A17" s="4" t="s">
        <v>15</v>
      </c>
      <c r="B17" s="91">
        <v>44896</v>
      </c>
      <c r="C17" s="65">
        <v>2506.8000000000002</v>
      </c>
      <c r="D17" s="64">
        <v>2089.3192782937199</v>
      </c>
      <c r="E17" s="66">
        <v>2458.2113251400001</v>
      </c>
      <c r="F17" s="63">
        <f t="shared" si="0"/>
        <v>417.48072170628029</v>
      </c>
      <c r="G17" s="22">
        <f t="shared" si="1"/>
        <v>0.16653930178166598</v>
      </c>
    </row>
    <row r="18" spans="1:7" ht="15" x14ac:dyDescent="0.25">
      <c r="A18" s="4" t="s">
        <v>15</v>
      </c>
      <c r="B18" s="91">
        <v>44927</v>
      </c>
      <c r="C18" s="65">
        <v>1772.6769999999999</v>
      </c>
      <c r="D18" s="64">
        <v>1906.4379504383501</v>
      </c>
      <c r="E18" s="66">
        <v>2471.9961400464899</v>
      </c>
      <c r="F18" s="63">
        <f t="shared" si="0"/>
        <v>-133.76095043835016</v>
      </c>
      <c r="G18" s="22">
        <f t="shared" si="1"/>
        <v>7.545703500319019E-2</v>
      </c>
    </row>
    <row r="19" spans="1:7" ht="15" x14ac:dyDescent="0.25">
      <c r="A19" s="4" t="s">
        <v>15</v>
      </c>
      <c r="B19" s="91">
        <v>44958</v>
      </c>
      <c r="C19" s="65">
        <v>1399.56</v>
      </c>
      <c r="D19" s="64">
        <v>1650.4221306306199</v>
      </c>
      <c r="E19" s="66">
        <v>2477.0791160833601</v>
      </c>
      <c r="F19" s="63">
        <f t="shared" si="0"/>
        <v>-250.86213063061996</v>
      </c>
      <c r="G19" s="22">
        <f t="shared" si="1"/>
        <v>0.17924356985811252</v>
      </c>
    </row>
    <row r="20" spans="1:7" ht="15" x14ac:dyDescent="0.25">
      <c r="A20" s="4" t="s">
        <v>15</v>
      </c>
      <c r="B20" s="91">
        <v>44986</v>
      </c>
      <c r="C20" s="65">
        <v>2456.0509999999999</v>
      </c>
      <c r="D20" s="64">
        <v>2241.3366191076698</v>
      </c>
      <c r="E20" s="66">
        <v>2467.5094900091899</v>
      </c>
      <c r="F20" s="63">
        <f t="shared" si="0"/>
        <v>214.71438089233015</v>
      </c>
      <c r="G20" s="22">
        <f t="shared" si="1"/>
        <v>8.7422606815709514E-2</v>
      </c>
    </row>
    <row r="21" spans="1:7" ht="15" x14ac:dyDescent="0.25">
      <c r="A21" s="4" t="s">
        <v>15</v>
      </c>
      <c r="B21" s="91">
        <v>45017</v>
      </c>
      <c r="C21" s="65">
        <v>2132.3560000000002</v>
      </c>
      <c r="D21" s="64">
        <v>2073.4924099915702</v>
      </c>
      <c r="E21" s="66">
        <v>2470.79341779691</v>
      </c>
      <c r="F21" s="63">
        <f t="shared" si="0"/>
        <v>58.863590008430037</v>
      </c>
      <c r="G21" s="22">
        <f t="shared" si="1"/>
        <v>2.7604954336156829E-2</v>
      </c>
    </row>
    <row r="22" spans="1:7" ht="15" x14ac:dyDescent="0.25">
      <c r="A22" s="4" t="s">
        <v>15</v>
      </c>
      <c r="B22" s="91">
        <v>45047</v>
      </c>
      <c r="C22" s="65">
        <v>2729.991</v>
      </c>
      <c r="D22" s="64">
        <v>2448.3893707859702</v>
      </c>
      <c r="E22" s="66">
        <v>2477.2815097868001</v>
      </c>
      <c r="F22" s="63">
        <f t="shared" si="0"/>
        <v>281.6016292140298</v>
      </c>
      <c r="G22" s="22">
        <f t="shared" si="1"/>
        <v>0.10315111999051638</v>
      </c>
    </row>
    <row r="23" spans="1:7" ht="15" x14ac:dyDescent="0.25">
      <c r="A23" s="4" t="s">
        <v>15</v>
      </c>
      <c r="B23" s="91">
        <v>45078</v>
      </c>
      <c r="C23" s="65">
        <v>3845.5189999999998</v>
      </c>
      <c r="D23" s="64">
        <v>3982.6264454942502</v>
      </c>
      <c r="E23" s="66">
        <v>2498.53462608989</v>
      </c>
      <c r="F23" s="63">
        <f t="shared" si="0"/>
        <v>-137.10744549425044</v>
      </c>
      <c r="G23" s="22">
        <f t="shared" si="1"/>
        <v>3.5653820848174318E-2</v>
      </c>
    </row>
    <row r="24" spans="1:7" ht="15" x14ac:dyDescent="0.25">
      <c r="A24" s="4" t="s">
        <v>15</v>
      </c>
      <c r="B24" s="91">
        <v>45108</v>
      </c>
      <c r="C24" s="65">
        <v>3143.1770000000001</v>
      </c>
      <c r="D24" s="64">
        <v>3438.0702998871898</v>
      </c>
      <c r="E24" s="66">
        <v>2512.4215074825502</v>
      </c>
      <c r="F24" s="63">
        <f t="shared" si="0"/>
        <v>-294.89329988718964</v>
      </c>
      <c r="G24" s="22">
        <f t="shared" si="1"/>
        <v>9.3820137996425149E-2</v>
      </c>
    </row>
    <row r="25" spans="1:7" ht="15" x14ac:dyDescent="0.25">
      <c r="A25" s="4" t="s">
        <v>15</v>
      </c>
      <c r="B25" s="91">
        <v>45139</v>
      </c>
      <c r="C25" s="65">
        <v>2766.826</v>
      </c>
      <c r="D25" s="64">
        <v>2962.4676058897098</v>
      </c>
      <c r="E25" s="66">
        <v>2510.2356959373401</v>
      </c>
      <c r="F25" s="63">
        <f t="shared" si="0"/>
        <v>-195.64160588970981</v>
      </c>
      <c r="G25" s="22">
        <f t="shared" si="1"/>
        <v>7.0709761253403655E-2</v>
      </c>
    </row>
    <row r="26" spans="1:7" ht="15" x14ac:dyDescent="0.25">
      <c r="A26" s="4" t="s">
        <v>17</v>
      </c>
      <c r="B26" s="91">
        <v>45170</v>
      </c>
      <c r="C26" s="65">
        <v>3379.2</v>
      </c>
      <c r="D26" s="64">
        <v>3411.4094043231999</v>
      </c>
      <c r="E26" s="66">
        <v>2497.7847955812099</v>
      </c>
      <c r="F26" s="63">
        <f t="shared" si="0"/>
        <v>-32.209404323200033</v>
      </c>
      <c r="G26" s="22">
        <f t="shared" si="1"/>
        <v>9.5316655785984954E-3</v>
      </c>
    </row>
    <row r="27" spans="1:7" ht="15" x14ac:dyDescent="0.25">
      <c r="A27" s="4" t="s">
        <v>17</v>
      </c>
      <c r="B27" s="91">
        <v>45200</v>
      </c>
      <c r="C27" s="65">
        <v>2507.8960000000002</v>
      </c>
      <c r="D27" s="64">
        <v>2510.1160222356302</v>
      </c>
      <c r="E27" s="66">
        <v>2483.68660311861</v>
      </c>
      <c r="F27" s="63">
        <f t="shared" si="0"/>
        <v>-2.2200222356300401</v>
      </c>
      <c r="G27" s="22">
        <f t="shared" si="1"/>
        <v>8.8521303739470857E-4</v>
      </c>
    </row>
    <row r="28" spans="1:7" ht="15" x14ac:dyDescent="0.25">
      <c r="A28" s="4" t="s">
        <v>17</v>
      </c>
      <c r="B28" s="91">
        <v>45231</v>
      </c>
      <c r="C28" s="65">
        <v>2223.8180000000002</v>
      </c>
      <c r="D28" s="64">
        <v>2182.5203986532701</v>
      </c>
      <c r="E28" s="66">
        <v>2469.48822164179</v>
      </c>
      <c r="F28" s="63">
        <f t="shared" si="0"/>
        <v>41.297601346730062</v>
      </c>
      <c r="G28" s="22">
        <f t="shared" si="1"/>
        <v>1.8570585068890557E-2</v>
      </c>
    </row>
    <row r="29" spans="1:7" ht="15" x14ac:dyDescent="0.25">
      <c r="A29" s="4" t="s">
        <v>17</v>
      </c>
      <c r="B29" s="91">
        <v>45261</v>
      </c>
      <c r="C29" s="65">
        <v>2936.4380000000001</v>
      </c>
      <c r="D29" s="64">
        <v>2521.7387176205998</v>
      </c>
      <c r="E29" s="66">
        <v>2457.5901297362502</v>
      </c>
      <c r="F29" s="63">
        <f t="shared" si="0"/>
        <v>414.6992823794003</v>
      </c>
      <c r="G29" s="22">
        <f t="shared" si="1"/>
        <v>0.14122528123508832</v>
      </c>
    </row>
    <row r="30" spans="1:7" ht="15" x14ac:dyDescent="0.25">
      <c r="A30" s="4" t="s">
        <v>17</v>
      </c>
      <c r="B30" s="91">
        <v>45292</v>
      </c>
      <c r="C30" s="65">
        <v>1650.241</v>
      </c>
      <c r="D30" s="64">
        <v>1847.76845343988</v>
      </c>
      <c r="E30" s="66">
        <v>2466.5158422189402</v>
      </c>
      <c r="F30" s="63">
        <f t="shared" si="0"/>
        <v>-197.52745343987999</v>
      </c>
      <c r="G30" s="22">
        <f t="shared" si="1"/>
        <v>0.11969612525678371</v>
      </c>
    </row>
    <row r="31" spans="1:7" ht="15" x14ac:dyDescent="0.25">
      <c r="A31" s="4" t="s">
        <v>17</v>
      </c>
      <c r="B31" s="91">
        <v>45323</v>
      </c>
      <c r="C31" s="65">
        <v>1507.9079999999999</v>
      </c>
      <c r="D31" s="64">
        <v>1747.63996609994</v>
      </c>
      <c r="E31" s="66">
        <v>2465.5533682650498</v>
      </c>
      <c r="F31" s="63">
        <f t="shared" si="0"/>
        <v>-239.73196609994011</v>
      </c>
      <c r="G31" s="22">
        <f t="shared" si="1"/>
        <v>0.15898315155827816</v>
      </c>
    </row>
    <row r="32" spans="1:7" ht="15" x14ac:dyDescent="0.25">
      <c r="A32" s="4" t="s">
        <v>17</v>
      </c>
      <c r="B32" s="91">
        <v>45352</v>
      </c>
      <c r="C32" s="65">
        <v>2850.96</v>
      </c>
      <c r="D32" s="64">
        <v>2507.1481919381199</v>
      </c>
      <c r="E32" s="66">
        <v>2452.5354376427199</v>
      </c>
      <c r="F32" s="63">
        <f t="shared" si="0"/>
        <v>343.81180806188013</v>
      </c>
      <c r="G32" s="22">
        <f t="shared" si="1"/>
        <v>0.12059510061939842</v>
      </c>
    </row>
    <row r="33" spans="1:7" ht="15" x14ac:dyDescent="0.25">
      <c r="A33" s="4" t="s">
        <v>17</v>
      </c>
      <c r="B33" s="91">
        <v>45383</v>
      </c>
      <c r="C33" s="65">
        <v>2431.1709999999998</v>
      </c>
      <c r="D33" s="64">
        <v>2564.6946961691801</v>
      </c>
      <c r="E33" s="66">
        <v>2457.0878180916602</v>
      </c>
      <c r="F33" s="63">
        <f t="shared" si="0"/>
        <v>-133.52369616918031</v>
      </c>
      <c r="G33" s="22">
        <f t="shared" si="1"/>
        <v>5.4921556800891558E-2</v>
      </c>
    </row>
    <row r="34" spans="1:7" ht="15" x14ac:dyDescent="0.25">
      <c r="A34" s="4" t="s">
        <v>17</v>
      </c>
      <c r="B34" s="91">
        <v>45413</v>
      </c>
      <c r="C34" s="65">
        <v>3068.6970000000001</v>
      </c>
      <c r="D34" s="64">
        <v>3044.1363822225399</v>
      </c>
      <c r="E34" s="66">
        <v>2455.11850472179</v>
      </c>
      <c r="F34" s="63">
        <f t="shared" si="0"/>
        <v>24.560617777460266</v>
      </c>
      <c r="G34" s="22">
        <f t="shared" si="1"/>
        <v>8.003598197365288E-3</v>
      </c>
    </row>
    <row r="35" spans="1:7" ht="15" x14ac:dyDescent="0.25">
      <c r="A35" s="4" t="s">
        <v>17</v>
      </c>
      <c r="B35" s="91">
        <v>45444</v>
      </c>
      <c r="C35" s="65">
        <v>4060.66</v>
      </c>
      <c r="D35" s="64">
        <v>4020.4414056066298</v>
      </c>
      <c r="E35" s="66">
        <v>2454.26857519334</v>
      </c>
      <c r="F35" s="63">
        <f t="shared" si="0"/>
        <v>40.21859439337004</v>
      </c>
      <c r="G35" s="22">
        <f t="shared" si="1"/>
        <v>9.9044476497342892E-3</v>
      </c>
    </row>
    <row r="36" spans="1:7" ht="15" x14ac:dyDescent="0.25">
      <c r="A36" s="4" t="s">
        <v>17</v>
      </c>
      <c r="B36" s="91">
        <v>45474</v>
      </c>
      <c r="C36" s="65">
        <v>3410.3910000000001</v>
      </c>
      <c r="D36" s="64">
        <v>3572.32416903378</v>
      </c>
      <c r="E36" s="66">
        <v>2455.2399639138298</v>
      </c>
      <c r="F36" s="63">
        <f t="shared" si="0"/>
        <v>-161.9331690337799</v>
      </c>
      <c r="G36" s="22">
        <f t="shared" si="1"/>
        <v>4.748228840440287E-2</v>
      </c>
    </row>
    <row r="37" spans="1:7" ht="15" x14ac:dyDescent="0.25">
      <c r="A37" s="4" t="s">
        <v>17</v>
      </c>
      <c r="B37" s="91">
        <v>45505</v>
      </c>
      <c r="C37" s="65">
        <v>3635.57</v>
      </c>
      <c r="D37" s="64">
        <v>3595.0603858361001</v>
      </c>
      <c r="E37" s="66">
        <v>2449.2532812344598</v>
      </c>
      <c r="F37" s="63">
        <f t="shared" si="0"/>
        <v>40.509614163900096</v>
      </c>
      <c r="G37" s="22">
        <f t="shared" si="1"/>
        <v>1.1142575762232633E-2</v>
      </c>
    </row>
    <row r="38" spans="1:7" ht="15" x14ac:dyDescent="0.25">
      <c r="A38" s="4" t="s">
        <v>20</v>
      </c>
      <c r="B38" s="91">
        <v>45536</v>
      </c>
      <c r="C38" s="65">
        <v>4210.6840000000002</v>
      </c>
      <c r="D38" s="64">
        <v>4107.5455944458899</v>
      </c>
      <c r="E38" s="66">
        <v>2444.9632479841798</v>
      </c>
      <c r="F38" s="63">
        <f t="shared" si="0"/>
        <v>103.13840555411025</v>
      </c>
      <c r="G38" s="22">
        <f t="shared" si="1"/>
        <v>2.4494454001798817E-2</v>
      </c>
    </row>
    <row r="41" spans="1:7" x14ac:dyDescent="0.2">
      <c r="F41" s="2"/>
    </row>
  </sheetData>
  <mergeCells count="2">
    <mergeCell ref="I1:J1"/>
    <mergeCell ref="P2:P4"/>
  </mergeCells>
  <conditionalFormatting sqref="G2:G38">
    <cfRule type="cellIs" dxfId="35" priority="1" operator="greaterThan">
      <formula>0.1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0E21-FDF6-4092-81F3-7500B1314BAE}">
  <sheetPr codeName="Sheet2"/>
  <dimension ref="A1:AZ67"/>
  <sheetViews>
    <sheetView zoomScale="115" zoomScaleNormal="115" workbookViewId="0">
      <pane xSplit="4" ySplit="2" topLeftCell="E25" activePane="bottomRight" state="frozen"/>
      <selection pane="topRight" activeCell="C1" sqref="C1"/>
      <selection pane="bottomLeft" activeCell="A3" sqref="A3"/>
      <selection pane="bottomRight" activeCell="Q32" sqref="Q32"/>
    </sheetView>
  </sheetViews>
  <sheetFormatPr defaultColWidth="8.7109375" defaultRowHeight="12.75" x14ac:dyDescent="0.2"/>
  <cols>
    <col min="1" max="1" width="31" style="1" customWidth="1"/>
    <col min="2" max="2" width="28.7109375" style="1" customWidth="1"/>
    <col min="3" max="3" width="19.7109375" style="1" customWidth="1"/>
    <col min="4" max="4" width="12.42578125" style="1" customWidth="1"/>
    <col min="5" max="5" width="10.28515625" style="39" customWidth="1"/>
    <col min="6" max="8" width="8.85546875" style="39" customWidth="1"/>
    <col min="9" max="9" width="10.7109375" style="39" customWidth="1"/>
    <col min="10" max="12" width="8.85546875" style="39" bestFit="1" customWidth="1"/>
    <col min="13" max="13" width="14.85546875" style="39" customWidth="1"/>
    <col min="14" max="14" width="13.5703125" style="39" customWidth="1"/>
    <col min="15" max="15" width="14.85546875" style="39" bestFit="1" customWidth="1"/>
    <col min="16" max="18" width="13.5703125" style="39" bestFit="1" customWidth="1"/>
    <col min="19" max="19" width="10" style="39" bestFit="1" customWidth="1"/>
    <col min="20" max="20" width="9.28515625" style="39" bestFit="1" customWidth="1"/>
    <col min="21" max="21" width="10" style="39" bestFit="1" customWidth="1"/>
    <col min="22" max="22" width="9.28515625" style="39" bestFit="1" customWidth="1"/>
    <col min="23" max="23" width="8.7109375" style="39" bestFit="1" customWidth="1"/>
    <col min="24" max="24" width="12" style="39" bestFit="1" customWidth="1"/>
    <col min="25" max="25" width="8.85546875" style="39" bestFit="1" customWidth="1"/>
    <col min="26" max="28" width="12" style="39" bestFit="1" customWidth="1"/>
    <col min="29" max="29" width="8.85546875" style="1" bestFit="1" customWidth="1"/>
    <col min="30" max="30" width="10.85546875" style="39" bestFit="1" customWidth="1"/>
    <col min="31" max="31" width="12" style="39" bestFit="1" customWidth="1"/>
    <col min="32" max="32" width="9.28515625" style="1" customWidth="1"/>
    <col min="33" max="35" width="8.85546875" style="1" bestFit="1" customWidth="1"/>
    <col min="36" max="36" width="8.7109375" style="1" bestFit="1" customWidth="1"/>
    <col min="37" max="48" width="8.7109375" style="1"/>
    <col min="49" max="49" width="21" style="1" bestFit="1" customWidth="1"/>
    <col min="50" max="50" width="8.85546875" style="1" bestFit="1" customWidth="1"/>
    <col min="51" max="52" width="10.7109375" style="1" bestFit="1" customWidth="1"/>
    <col min="53" max="16384" width="8.7109375" style="1"/>
  </cols>
  <sheetData>
    <row r="1" spans="1:52" s="90" customFormat="1" ht="24" customHeight="1" x14ac:dyDescent="0.25">
      <c r="A1" s="89"/>
      <c r="B1" s="89"/>
      <c r="C1" s="89"/>
      <c r="D1" s="89"/>
      <c r="E1" s="225" t="s">
        <v>21</v>
      </c>
      <c r="F1" s="226"/>
      <c r="G1" s="226"/>
      <c r="H1" s="227"/>
      <c r="I1" s="228" t="s">
        <v>22</v>
      </c>
      <c r="J1" s="229"/>
      <c r="K1" s="229"/>
      <c r="L1" s="230"/>
      <c r="M1" s="231" t="s">
        <v>23</v>
      </c>
      <c r="N1" s="232"/>
      <c r="O1" s="233" t="s">
        <v>24</v>
      </c>
      <c r="P1" s="234"/>
      <c r="Q1" s="234"/>
      <c r="R1" s="235"/>
      <c r="S1" s="236" t="s">
        <v>25</v>
      </c>
      <c r="T1" s="237"/>
      <c r="U1" s="237"/>
      <c r="V1" s="237"/>
      <c r="W1" s="238"/>
      <c r="X1" s="216" t="s">
        <v>26</v>
      </c>
      <c r="Y1" s="217"/>
      <c r="Z1" s="217"/>
      <c r="AA1" s="218"/>
      <c r="AB1" s="219" t="s">
        <v>27</v>
      </c>
      <c r="AC1" s="220"/>
      <c r="AD1" s="220"/>
      <c r="AE1" s="221"/>
      <c r="AF1" s="222" t="s">
        <v>28</v>
      </c>
      <c r="AG1" s="223"/>
      <c r="AH1" s="223"/>
      <c r="AI1" s="223"/>
      <c r="AJ1" s="224"/>
    </row>
    <row r="2" spans="1:52" s="21" customFormat="1" ht="33.75" customHeight="1" x14ac:dyDescent="0.25">
      <c r="A2" s="12" t="s">
        <v>29</v>
      </c>
      <c r="B2" s="12" t="s">
        <v>26</v>
      </c>
      <c r="C2" s="12" t="s">
        <v>30</v>
      </c>
      <c r="D2" s="12" t="s">
        <v>31</v>
      </c>
      <c r="E2" s="13" t="s">
        <v>32</v>
      </c>
      <c r="F2" s="13" t="s">
        <v>11</v>
      </c>
      <c r="G2" s="13" t="s">
        <v>15</v>
      </c>
      <c r="H2" s="13" t="s">
        <v>17</v>
      </c>
      <c r="I2" s="14" t="s">
        <v>32</v>
      </c>
      <c r="J2" s="14" t="s">
        <v>11</v>
      </c>
      <c r="K2" s="14" t="s">
        <v>15</v>
      </c>
      <c r="L2" s="14" t="s">
        <v>17</v>
      </c>
      <c r="M2" s="15" t="s">
        <v>33</v>
      </c>
      <c r="N2" s="15" t="s">
        <v>34</v>
      </c>
      <c r="O2" s="16" t="s">
        <v>32</v>
      </c>
      <c r="P2" s="16" t="s">
        <v>11</v>
      </c>
      <c r="Q2" s="16" t="s">
        <v>15</v>
      </c>
      <c r="R2" s="16" t="s">
        <v>17</v>
      </c>
      <c r="S2" s="17" t="s">
        <v>32</v>
      </c>
      <c r="T2" s="17" t="s">
        <v>11</v>
      </c>
      <c r="U2" s="17" t="s">
        <v>15</v>
      </c>
      <c r="V2" s="17" t="s">
        <v>17</v>
      </c>
      <c r="W2" s="17" t="s">
        <v>35</v>
      </c>
      <c r="X2" s="18" t="s">
        <v>32</v>
      </c>
      <c r="Y2" s="18" t="s">
        <v>11</v>
      </c>
      <c r="Z2" s="18" t="s">
        <v>15</v>
      </c>
      <c r="AA2" s="18" t="s">
        <v>17</v>
      </c>
      <c r="AB2" s="19" t="s">
        <v>32</v>
      </c>
      <c r="AC2" s="19" t="s">
        <v>11</v>
      </c>
      <c r="AD2" s="19" t="s">
        <v>15</v>
      </c>
      <c r="AE2" s="19" t="s">
        <v>17</v>
      </c>
      <c r="AF2" s="20" t="s">
        <v>32</v>
      </c>
      <c r="AG2" s="20" t="s">
        <v>11</v>
      </c>
      <c r="AH2" s="20" t="s">
        <v>15</v>
      </c>
      <c r="AI2" s="20" t="s">
        <v>17</v>
      </c>
      <c r="AJ2" s="20" t="s">
        <v>35</v>
      </c>
    </row>
    <row r="3" spans="1:52" x14ac:dyDescent="0.2">
      <c r="A3" s="4" t="s">
        <v>4</v>
      </c>
      <c r="B3" s="4"/>
      <c r="C3" s="4" t="s">
        <v>4</v>
      </c>
      <c r="D3" s="4" t="s">
        <v>4</v>
      </c>
      <c r="E3" s="41" cm="1">
        <f t="array" ref="E3:H3">IFERROR(HLOOKUP(A3,Decomposition!$G$1:$BB$43,{40,41,42,43},0),0)</f>
        <v>88765.075171080287</v>
      </c>
      <c r="F3" s="41">
        <v>29452.634512758203</v>
      </c>
      <c r="G3" s="41">
        <v>29748.318116962429</v>
      </c>
      <c r="H3" s="41">
        <v>29564.122541359648</v>
      </c>
      <c r="I3" s="42">
        <f t="shared" ref="I3:I19" si="0">IFERROR(E3/SUM(E$3:E$22),0)</f>
        <v>0.89894805771569597</v>
      </c>
      <c r="J3" s="42">
        <f t="shared" ref="J3:J19" si="1">IFERROR(F3/SUM(F$3:F$22),0)</f>
        <v>0.87739503817345643</v>
      </c>
      <c r="K3" s="42">
        <f t="shared" ref="K3:K19" si="2">IFERROR(G3/SUM(G$3:G$22),0)</f>
        <v>0.93991509859739863</v>
      </c>
      <c r="L3" s="42">
        <f t="shared" ref="L3:L19" si="3">IFERROR(H3/SUM(H$3:H$22),0)</f>
        <v>0.88185306889516568</v>
      </c>
      <c r="M3" s="43">
        <f t="shared" ref="M3:M19" si="4">(G3-F3)/SUM(F$3:F$22)</f>
        <v>8.8084251711218944E-3</v>
      </c>
      <c r="N3" s="43">
        <f t="shared" ref="N3:N19" si="5">(H3-G3)/SUM(G$3:G$22)</f>
        <v>-5.8197643955264821E-3</v>
      </c>
      <c r="O3" s="44" cm="1">
        <f t="array" ref="O3:R3">IFERROR(HLOOKUP(A3,Decomposition!$BF$1:$BZ$43,{40,41,42,43},0),0)</f>
        <v>8170996975.953968</v>
      </c>
      <c r="P3" s="44">
        <v>2599195796.2044916</v>
      </c>
      <c r="Q3" s="44">
        <v>2754183065.7545924</v>
      </c>
      <c r="R3" s="44">
        <v>2817618113.994884</v>
      </c>
      <c r="S3" s="45"/>
      <c r="T3" s="45"/>
      <c r="U3" s="45"/>
      <c r="V3" s="45"/>
      <c r="W3" s="10" t="str">
        <f>IFERROR(#REF!/T3-1,"")</f>
        <v/>
      </c>
      <c r="X3" s="46"/>
      <c r="Y3" s="46"/>
      <c r="Z3" s="46"/>
      <c r="AA3" s="46"/>
      <c r="AB3" s="47"/>
      <c r="AC3" s="6"/>
      <c r="AD3" s="47"/>
      <c r="AE3" s="47"/>
      <c r="AF3" s="7"/>
      <c r="AG3" s="7"/>
      <c r="AH3" s="7"/>
      <c r="AI3" s="7"/>
      <c r="AJ3" s="8" t="str">
        <f t="shared" ref="AJ3:AJ6" si="6">IFERROR(AH3/AG3-1,"")</f>
        <v/>
      </c>
    </row>
    <row r="4" spans="1:52" x14ac:dyDescent="0.2">
      <c r="A4" s="129" t="s">
        <v>36</v>
      </c>
      <c r="B4" s="4"/>
      <c r="C4" s="4" t="s">
        <v>37</v>
      </c>
      <c r="D4" s="4" t="s">
        <v>38</v>
      </c>
      <c r="E4" s="41" cm="1">
        <f t="array" ref="E4:H4">IFERROR(HLOOKUP(A4,Decomposition!$G$1:$BB$43,{40,41,42,43},0),0)</f>
        <v>-11484.703142161365</v>
      </c>
      <c r="F4" s="41">
        <v>-2409.3376490032847</v>
      </c>
      <c r="G4" s="41">
        <v>-6205.798021868437</v>
      </c>
      <c r="H4" s="41">
        <v>-2869.5674712896448</v>
      </c>
      <c r="I4" s="42">
        <f t="shared" si="0"/>
        <v>-0.11630871221805626</v>
      </c>
      <c r="J4" s="42">
        <f t="shared" si="1"/>
        <v>-7.1774254951769159E-2</v>
      </c>
      <c r="K4" s="42">
        <f t="shared" si="2"/>
        <v>-0.19607573230414302</v>
      </c>
      <c r="L4" s="42">
        <f t="shared" si="3"/>
        <v>-8.5594858342855948E-2</v>
      </c>
      <c r="M4" s="43">
        <f t="shared" si="4"/>
        <v>-0.11309669063156724</v>
      </c>
      <c r="N4" s="43">
        <f t="shared" si="5"/>
        <v>0.10541010939045012</v>
      </c>
      <c r="O4" s="44" cm="1">
        <f t="array" ref="O4:R4">IFERROR(HLOOKUP(A4,Decomposition!$BF$1:$BZ$43,{40,41,42,43},0),0)</f>
        <v>-1053807971.3128221</v>
      </c>
      <c r="P4" s="44">
        <v>-206791228.06856519</v>
      </c>
      <c r="Q4" s="44">
        <v>-574411817.16012037</v>
      </c>
      <c r="R4" s="44">
        <v>-272604926.08413661</v>
      </c>
      <c r="S4" s="45"/>
      <c r="T4" s="45"/>
      <c r="U4" s="45"/>
      <c r="V4" s="45"/>
      <c r="W4" s="10" t="str">
        <f>IFERROR(#REF!/T4-1,"")</f>
        <v/>
      </c>
      <c r="X4" s="46"/>
      <c r="Y4" s="46"/>
      <c r="Z4" s="46"/>
      <c r="AA4" s="46"/>
      <c r="AB4" s="47"/>
      <c r="AC4" s="6"/>
      <c r="AD4" s="47"/>
      <c r="AE4" s="47"/>
      <c r="AF4" s="7"/>
      <c r="AG4" s="7"/>
      <c r="AH4" s="7"/>
      <c r="AI4" s="7"/>
      <c r="AJ4" s="8" t="str">
        <f t="shared" si="6"/>
        <v/>
      </c>
    </row>
    <row r="5" spans="1:52" x14ac:dyDescent="0.2">
      <c r="A5" s="130" t="s">
        <v>39</v>
      </c>
      <c r="B5" s="4"/>
      <c r="C5" s="4" t="s">
        <v>40</v>
      </c>
      <c r="D5" s="4" t="s">
        <v>38</v>
      </c>
      <c r="E5" s="41" cm="1">
        <f t="array" ref="E5:H5">IFERROR(HLOOKUP(A5,Decomposition!$G$1:$BB$43,{40,41,42,43},0),0)</f>
        <v>8556.7858286021201</v>
      </c>
      <c r="F5" s="41">
        <v>1026.7715010345821</v>
      </c>
      <c r="G5" s="41">
        <v>3222.3832940866337</v>
      </c>
      <c r="H5" s="41">
        <v>4307.6310334809041</v>
      </c>
      <c r="I5" s="42">
        <f t="shared" si="0"/>
        <v>8.6656897277288175E-2</v>
      </c>
      <c r="J5" s="42">
        <f t="shared" si="1"/>
        <v>3.058755983120668E-2</v>
      </c>
      <c r="K5" s="42">
        <f t="shared" si="2"/>
        <v>0.1018130403094302</v>
      </c>
      <c r="L5" s="42">
        <f t="shared" si="3"/>
        <v>0.12849011978044955</v>
      </c>
      <c r="M5" s="43">
        <f t="shared" si="4"/>
        <v>6.5407354039738463E-2</v>
      </c>
      <c r="N5" s="43">
        <f t="shared" si="5"/>
        <v>3.4289022053779386E-2</v>
      </c>
      <c r="O5" s="44" cm="1">
        <f t="array" ref="O5:R5">IFERROR(HLOOKUP(A5,Decomposition!$BF$1:$BZ$43,{40,41,42,43},0),0)</f>
        <v>802165794.86228251</v>
      </c>
      <c r="P5" s="44">
        <v>92837964.152270615</v>
      </c>
      <c r="Q5" s="44">
        <v>298309933.76465702</v>
      </c>
      <c r="R5" s="44">
        <v>411017896.94535494</v>
      </c>
      <c r="S5" s="45"/>
      <c r="T5" s="45"/>
      <c r="U5" s="45"/>
      <c r="V5" s="45"/>
      <c r="W5" s="10" t="str">
        <f>IFERROR(#REF!/T5-1,"")</f>
        <v/>
      </c>
      <c r="X5" s="46"/>
      <c r="Y5" s="46"/>
      <c r="Z5" s="46"/>
      <c r="AA5" s="46"/>
      <c r="AB5" s="47"/>
      <c r="AC5" s="6"/>
      <c r="AD5" s="47"/>
      <c r="AE5" s="47"/>
      <c r="AF5" s="7"/>
      <c r="AG5" s="7"/>
      <c r="AH5" s="7"/>
      <c r="AI5" s="7"/>
      <c r="AJ5" s="8" t="str">
        <f t="shared" si="6"/>
        <v/>
      </c>
    </row>
    <row r="6" spans="1:52" x14ac:dyDescent="0.2">
      <c r="A6" s="129" t="s">
        <v>41</v>
      </c>
      <c r="B6" s="4"/>
      <c r="C6" s="4" t="s">
        <v>42</v>
      </c>
      <c r="D6" s="4" t="s">
        <v>43</v>
      </c>
      <c r="E6" s="41" cm="1">
        <f t="array" ref="E6:H6">IFERROR(HLOOKUP(A6,Decomposition!$G$1:$BB$43,{40,41,42,43},0),0)</f>
        <v>9366.0520085198077</v>
      </c>
      <c r="F6" s="41">
        <v>3370.9158686525466</v>
      </c>
      <c r="G6" s="41">
        <v>1964.036775815443</v>
      </c>
      <c r="H6" s="41">
        <v>4031.0993640518163</v>
      </c>
      <c r="I6" s="42">
        <f t="shared" si="0"/>
        <v>9.4852555977626013E-2</v>
      </c>
      <c r="J6" s="42">
        <f t="shared" si="1"/>
        <v>0.10041970459297066</v>
      </c>
      <c r="K6" s="42">
        <f t="shared" si="2"/>
        <v>6.2054863489471958E-2</v>
      </c>
      <c r="L6" s="42">
        <f t="shared" si="3"/>
        <v>0.12024159824927308</v>
      </c>
      <c r="M6" s="43">
        <f t="shared" si="4"/>
        <v>-4.1910978619944486E-2</v>
      </c>
      <c r="N6" s="43">
        <f t="shared" si="5"/>
        <v>6.5310022865506745E-2</v>
      </c>
      <c r="O6" s="44" cm="1">
        <f t="array" ref="O6:R6">IFERROR(HLOOKUP(A6,Decomposition!$BF$1:$BZ$43,{40,41,42,43},0),0)</f>
        <v>865800077.69149089</v>
      </c>
      <c r="P6" s="44">
        <v>299095290.07234269</v>
      </c>
      <c r="Q6" s="44">
        <v>181141133.62191254</v>
      </c>
      <c r="R6" s="44">
        <v>385563653.99723583</v>
      </c>
      <c r="S6" s="45"/>
      <c r="T6" s="45"/>
      <c r="U6" s="45"/>
      <c r="V6" s="45"/>
      <c r="W6" s="10" t="str">
        <f>IFERROR(#REF!/T6-1,"")</f>
        <v/>
      </c>
      <c r="X6" s="46"/>
      <c r="Y6" s="46"/>
      <c r="Z6" s="46"/>
      <c r="AA6" s="46"/>
      <c r="AB6" s="47"/>
      <c r="AC6" s="6"/>
      <c r="AD6" s="47"/>
      <c r="AE6" s="47"/>
      <c r="AF6" s="7"/>
      <c r="AG6" s="7"/>
      <c r="AH6" s="7"/>
      <c r="AI6" s="7"/>
      <c r="AJ6" s="8" t="str">
        <f t="shared" si="6"/>
        <v/>
      </c>
    </row>
    <row r="7" spans="1:52" x14ac:dyDescent="0.2">
      <c r="A7" s="131" t="s">
        <v>44</v>
      </c>
      <c r="B7" s="4"/>
      <c r="C7" s="4" t="s">
        <v>45</v>
      </c>
      <c r="D7" s="4" t="s">
        <v>43</v>
      </c>
      <c r="E7" s="41" cm="1">
        <f t="array" ref="E7:H7">IFERROR(HLOOKUP(A7,Decomposition!$G$1:$BB$43,{40,41,42,43},0),0)</f>
        <v>-4392.7023547627095</v>
      </c>
      <c r="F7" s="41">
        <v>-948.99475838486524</v>
      </c>
      <c r="G7" s="41">
        <v>-911.16152727894439</v>
      </c>
      <c r="H7" s="41">
        <v>-2532.5460690988998</v>
      </c>
      <c r="I7" s="42">
        <f t="shared" si="0"/>
        <v>-4.4486091430964353E-2</v>
      </c>
      <c r="J7" s="42">
        <f t="shared" si="1"/>
        <v>-2.8270587878949063E-2</v>
      </c>
      <c r="K7" s="42">
        <f t="shared" si="2"/>
        <v>-2.8788668770562176E-2</v>
      </c>
      <c r="L7" s="42">
        <f t="shared" si="3"/>
        <v>-7.5542019555251874E-2</v>
      </c>
      <c r="M7" s="43">
        <f t="shared" si="4"/>
        <v>1.1270533111740969E-3</v>
      </c>
      <c r="N7" s="43">
        <f t="shared" si="5"/>
        <v>-5.1228570485806396E-2</v>
      </c>
      <c r="O7" s="44" cm="1">
        <f t="array" ref="O7:R7">IFERROR(HLOOKUP(A7,Decomposition!$BF$1:$BZ$43,{40,41,42,43},0),0)</f>
        <v>-410148271.69714272</v>
      </c>
      <c r="P7" s="44">
        <v>-84294845.629626364</v>
      </c>
      <c r="Q7" s="44">
        <v>-84417542.794200331</v>
      </c>
      <c r="R7" s="44">
        <v>-241435883.27331597</v>
      </c>
      <c r="S7" s="10" t="str">
        <f>IFERROR(#REF!/P7-1,"")</f>
        <v/>
      </c>
      <c r="T7" s="10" t="str">
        <f>IFERROR(#REF!/Q7-1,"")</f>
        <v/>
      </c>
      <c r="U7" s="10" t="str">
        <f>IFERROR(#REF!/R7-1,"")</f>
        <v/>
      </c>
      <c r="V7" s="10" t="str">
        <f>IFERROR(#REF!/S7-1,"")</f>
        <v/>
      </c>
      <c r="W7" s="10" t="str">
        <f>IFERROR(#REF!/T7-1,"")</f>
        <v/>
      </c>
      <c r="X7" s="46" t="str" cm="1">
        <f t="array" ref="X7">IFERROR(HLOOKUP($B7,'Raw Data'!$F$1:$AI$43,{40,41,42,43},0),"")</f>
        <v/>
      </c>
      <c r="Y7" s="46"/>
      <c r="Z7" s="46"/>
      <c r="AA7" s="46"/>
      <c r="AB7" s="47"/>
      <c r="AC7" s="6"/>
      <c r="AD7" s="47"/>
      <c r="AE7" s="47"/>
      <c r="AF7" s="37"/>
      <c r="AG7" s="37"/>
      <c r="AH7" s="37"/>
      <c r="AI7" s="37"/>
      <c r="AJ7" s="8"/>
      <c r="AM7" s="1" t="s">
        <v>46</v>
      </c>
      <c r="AR7" s="1" t="s">
        <v>47</v>
      </c>
    </row>
    <row r="8" spans="1:52" x14ac:dyDescent="0.2">
      <c r="A8" s="129" t="s">
        <v>48</v>
      </c>
      <c r="B8" s="4"/>
      <c r="C8" s="4" t="s">
        <v>49</v>
      </c>
      <c r="D8" s="4" t="s">
        <v>49</v>
      </c>
      <c r="E8" s="41" cm="1">
        <f t="array" ref="E8:H8">IFERROR(HLOOKUP(A8,Decomposition!$G$1:$BB$43,{40,41,42,43},0),0)</f>
        <v>8683.6670884838823</v>
      </c>
      <c r="F8" s="41">
        <v>3531.783122968257</v>
      </c>
      <c r="G8" s="41">
        <v>4071.3611400104924</v>
      </c>
      <c r="H8" s="41">
        <v>1080.5228255051343</v>
      </c>
      <c r="I8" s="42">
        <f t="shared" si="0"/>
        <v>8.7941858304036585E-2</v>
      </c>
      <c r="J8" s="42">
        <f t="shared" si="1"/>
        <v>0.10521194586700852</v>
      </c>
      <c r="K8" s="42">
        <f t="shared" si="2"/>
        <v>0.12863698015776506</v>
      </c>
      <c r="L8" s="42">
        <f t="shared" si="3"/>
        <v>3.2230361931085284E-2</v>
      </c>
      <c r="M8" s="43">
        <f t="shared" si="4"/>
        <v>1.6074048474517755E-2</v>
      </c>
      <c r="N8" s="43">
        <f t="shared" si="5"/>
        <v>-9.4497244456461502E-2</v>
      </c>
      <c r="O8" s="44" cm="1">
        <f t="array" ref="O8:R8">IFERROR(HLOOKUP(A8,Decomposition!$BF$1:$BZ$43,{40,41,42,43},0),0)</f>
        <v>767996757.20767879</v>
      </c>
      <c r="P8" s="44">
        <v>299935415.78453481</v>
      </c>
      <c r="Q8" s="44">
        <v>368087574.94130576</v>
      </c>
      <c r="R8" s="44">
        <v>99973766.481838286</v>
      </c>
      <c r="S8" s="10" t="str">
        <f>IFERROR(#REF!/P8-1,"")</f>
        <v/>
      </c>
      <c r="T8" s="10" t="str">
        <f>IFERROR(#REF!/Q8-1,"")</f>
        <v/>
      </c>
      <c r="U8" s="10" t="str">
        <f>IFERROR(#REF!/R8-1,"")</f>
        <v/>
      </c>
      <c r="V8" s="10" t="str">
        <f>IFERROR(#REF!/S8-1,"")</f>
        <v/>
      </c>
      <c r="W8" s="10" t="str">
        <f>IFERROR(#REF!/T8-1,"")</f>
        <v/>
      </c>
      <c r="X8" s="46" t="str" cm="1">
        <f t="array" ref="X8">IFERROR(HLOOKUP($B8,'Raw Data'!$F$1:$AI$43,{40,41,42,43},0),"")</f>
        <v/>
      </c>
      <c r="Y8" s="46"/>
      <c r="Z8" s="46"/>
      <c r="AA8" s="46"/>
      <c r="AB8" s="47"/>
      <c r="AC8" s="6"/>
      <c r="AD8" s="47"/>
      <c r="AE8" s="47"/>
      <c r="AF8" s="95"/>
      <c r="AG8" s="95"/>
      <c r="AH8" s="95"/>
      <c r="AI8" s="95"/>
      <c r="AJ8" s="85"/>
      <c r="AM8" s="18" t="s">
        <v>32</v>
      </c>
      <c r="AN8" s="18" t="s">
        <v>11</v>
      </c>
      <c r="AO8" s="18" t="s">
        <v>15</v>
      </c>
      <c r="AP8" s="18" t="s">
        <v>17</v>
      </c>
      <c r="AR8" s="18" t="s">
        <v>32</v>
      </c>
      <c r="AS8" s="18" t="s">
        <v>11</v>
      </c>
      <c r="AT8" s="18" t="s">
        <v>15</v>
      </c>
      <c r="AU8" s="18" t="s">
        <v>17</v>
      </c>
    </row>
    <row r="9" spans="1:52" x14ac:dyDescent="0.2">
      <c r="A9" s="4" t="s">
        <v>50</v>
      </c>
      <c r="B9" s="4" t="s">
        <v>51</v>
      </c>
      <c r="C9" s="4" t="s">
        <v>52</v>
      </c>
      <c r="D9" s="4" t="s">
        <v>53</v>
      </c>
      <c r="E9" s="41" cm="1">
        <f t="array" ref="E9:H9">IFERROR(HLOOKUP(A9,Decomposition!$G$1:$BB$43,{40,41,42,43},0),0)</f>
        <v>3861.6137817869162</v>
      </c>
      <c r="F9" s="41">
        <v>4.9790663143293373E-7</v>
      </c>
      <c r="G9" s="41">
        <v>1179.9030195536679</v>
      </c>
      <c r="H9" s="41">
        <v>2681.7107617353417</v>
      </c>
      <c r="I9" s="42">
        <f t="shared" si="0"/>
        <v>3.9107613012155623E-2</v>
      </c>
      <c r="J9" s="42">
        <f t="shared" si="1"/>
        <v>1.4832656403069067E-11</v>
      </c>
      <c r="K9" s="42">
        <f t="shared" si="2"/>
        <v>3.727970968304254E-2</v>
      </c>
      <c r="L9" s="42">
        <f t="shared" si="3"/>
        <v>7.9991376771527331E-2</v>
      </c>
      <c r="M9" s="43">
        <f t="shared" si="4"/>
        <v>3.5149353243661904E-2</v>
      </c>
      <c r="N9" s="43">
        <f>(H9-G9)/SUM(G$3:G$22)</f>
        <v>4.7450473217245492E-2</v>
      </c>
      <c r="O9" s="44" cm="1">
        <f t="array" ref="O9:R9">IFERROR(HLOOKUP(A9,Decomposition!$BF$1:$BZ$43,{40,41,42,43},0),0)</f>
        <v>364646381.337704</v>
      </c>
      <c r="P9" s="44">
        <v>4.3876610446878822E-2</v>
      </c>
      <c r="Q9" s="44">
        <v>107796706.89161766</v>
      </c>
      <c r="R9" s="44">
        <v>256849674.40220982</v>
      </c>
      <c r="S9" s="82">
        <f>IFERROR(O9/X9,0)</f>
        <v>1.9471255363434905</v>
      </c>
      <c r="T9" s="82">
        <f t="shared" ref="S9:V12" si="7">IFERROR(P9/Y9,0)</f>
        <v>0</v>
      </c>
      <c r="U9" s="82">
        <f t="shared" si="7"/>
        <v>2.1526666481804129</v>
      </c>
      <c r="V9" s="82">
        <f t="shared" si="7"/>
        <v>1.8721052601434622</v>
      </c>
      <c r="W9" s="48">
        <f t="shared" ref="W9:W13" si="8">IFERROR(V9/U9,0)</f>
        <v>0.86966798214015106</v>
      </c>
      <c r="X9" s="46" cm="1">
        <f t="array" ref="X9:AA9">IFERROR(HLOOKUP($B9,'Raw Data'!$F$1:$AX$43,{40,41,42,43},0),"")</f>
        <v>187274202.16699222</v>
      </c>
      <c r="Y9" s="46">
        <v>0</v>
      </c>
      <c r="Z9" s="46">
        <v>50075894</v>
      </c>
      <c r="AA9" s="46">
        <v>137198308.16699219</v>
      </c>
      <c r="AB9" s="47" cm="1">
        <f t="array" ref="AB9:AE9">IFERROR(HLOOKUP($A9,'Raw Data'!$F$1:$AX$43,{40,41,42,43},0),"")</f>
        <v>269644723</v>
      </c>
      <c r="AC9" s="47">
        <v>0</v>
      </c>
      <c r="AD9" s="47">
        <v>78297126</v>
      </c>
      <c r="AE9" s="47">
        <v>191347597</v>
      </c>
      <c r="AF9" s="84">
        <f t="shared" ref="AF9:AF10" si="9">IFERROR(X9/AB9,0)</f>
        <v>0.69452203656509981</v>
      </c>
      <c r="AG9" s="84">
        <f t="shared" ref="AG9:AG10" si="10">IFERROR(Y9/AC9,0)</f>
        <v>0</v>
      </c>
      <c r="AH9" s="84">
        <f t="shared" ref="AH9:AH10" si="11">IFERROR(Z9/AD9,0)</f>
        <v>0.63956235124134697</v>
      </c>
      <c r="AI9" s="84">
        <f t="shared" ref="AI9:AI10" si="12">IFERROR(AA9/AE9,0)</f>
        <v>0.71701087611250314</v>
      </c>
      <c r="AJ9" s="85">
        <f t="shared" ref="AJ9:AJ14" si="13">IFERROR(AI9/AH9,0)</f>
        <v>1.1210961288150152</v>
      </c>
      <c r="AM9" s="125">
        <f>IFERROR(X9/SUM(X$9:X$13),0)</f>
        <v>0.59300520434485937</v>
      </c>
      <c r="AN9" s="125">
        <f t="shared" ref="AM9:AP13" si="14">IFERROR(Y9/SUM(Y$9:Y$13),0)</f>
        <v>0</v>
      </c>
      <c r="AO9" s="125">
        <f t="shared" si="14"/>
        <v>0.35880243633646658</v>
      </c>
      <c r="AP9" s="125">
        <f t="shared" si="14"/>
        <v>0.77846831323122478</v>
      </c>
      <c r="AR9" s="125">
        <f>IFERROR(I9/SUM(I$9:I$13),0)</f>
        <v>0.4870459066127652</v>
      </c>
      <c r="AS9" s="125">
        <v>0</v>
      </c>
      <c r="AT9" s="125">
        <f t="shared" ref="AT9:AU13" si="15">IFERROR(K9/SUM(K$9:K$13),0)</f>
        <v>0.36555662380714266</v>
      </c>
      <c r="AU9" s="125">
        <f t="shared" si="15"/>
        <v>0.57046077665366057</v>
      </c>
      <c r="AW9" s="156">
        <f>IFERROR(AR9/AM9*100,"")</f>
        <v>82.131809812840345</v>
      </c>
      <c r="AX9" s="156" t="str">
        <f t="shared" ref="AX9:AZ9" si="16">IFERROR(AS9/AN9*100,"")</f>
        <v/>
      </c>
      <c r="AY9" s="156">
        <f t="shared" si="16"/>
        <v>101.88242519745387</v>
      </c>
      <c r="AZ9" s="156">
        <f t="shared" si="16"/>
        <v>73.27989681247557</v>
      </c>
    </row>
    <row r="10" spans="1:52" x14ac:dyDescent="0.2">
      <c r="A10" s="4" t="s">
        <v>54</v>
      </c>
      <c r="B10" s="4" t="s">
        <v>55</v>
      </c>
      <c r="C10" s="4" t="s">
        <v>52</v>
      </c>
      <c r="D10" s="4" t="s">
        <v>53</v>
      </c>
      <c r="E10" s="41" cm="1">
        <f t="array" ref="E10:H10">IFERROR(HLOOKUP(A10,Decomposition!$G$1:$BB$43,{40,41,42,43},0),0)</f>
        <v>583.09360940324666</v>
      </c>
      <c r="F10" s="41">
        <v>2.7099363745687012E-7</v>
      </c>
      <c r="G10" s="41">
        <v>357.71739433251435</v>
      </c>
      <c r="H10" s="41">
        <v>225.37621479973859</v>
      </c>
      <c r="I10" s="42">
        <f t="shared" si="0"/>
        <v>5.9051475665314193E-3</v>
      </c>
      <c r="J10" s="42">
        <f t="shared" si="1"/>
        <v>8.0729101764474932E-12</v>
      </c>
      <c r="K10" s="42">
        <f t="shared" si="2"/>
        <v>1.1302285347430633E-2</v>
      </c>
      <c r="L10" s="42">
        <f t="shared" si="3"/>
        <v>6.7226316762515059E-3</v>
      </c>
      <c r="M10" s="43">
        <f t="shared" si="4"/>
        <v>1.0656413995222078E-2</v>
      </c>
      <c r="N10" s="43">
        <f t="shared" si="5"/>
        <v>-4.1813951403900824E-3</v>
      </c>
      <c r="O10" s="44" cm="1">
        <f t="array" ref="O10:R10">IFERROR(HLOOKUP(A10,Decomposition!$BF$1:$BZ$43,{40,41,42,43},0),0)</f>
        <v>54442987.607309029</v>
      </c>
      <c r="P10" s="44">
        <v>2.3881321939505817E-2</v>
      </c>
      <c r="Q10" s="44">
        <v>32690641.284649353</v>
      </c>
      <c r="R10" s="44">
        <v>21752346.298778366</v>
      </c>
      <c r="S10" s="82">
        <f t="shared" si="7"/>
        <v>3.9220143796252751</v>
      </c>
      <c r="T10" s="52">
        <f t="shared" si="7"/>
        <v>0</v>
      </c>
      <c r="U10" s="82">
        <f t="shared" si="7"/>
        <v>4.6619312344619273</v>
      </c>
      <c r="V10" s="82">
        <f t="shared" si="7"/>
        <v>3.1666809584764595</v>
      </c>
      <c r="W10" s="83">
        <f t="shared" si="8"/>
        <v>0.67926376413871592</v>
      </c>
      <c r="X10" s="46" cm="1">
        <f t="array" ref="X10:AA10">IFERROR(HLOOKUP($B10,'Raw Data'!$F$1:$AX$43,{40,41,42,43},0),"")</f>
        <v>13881383.987304689</v>
      </c>
      <c r="Y10" s="46">
        <v>0</v>
      </c>
      <c r="Z10" s="46">
        <v>7012253</v>
      </c>
      <c r="AA10" s="46">
        <v>6869130.9873046903</v>
      </c>
      <c r="AB10" s="47" cm="1">
        <f t="array" ref="AB10:AE10">IFERROR(HLOOKUP($A10,'Raw Data'!$F$1:$AX$43,{40,41,42,43},0),"")</f>
        <v>101654</v>
      </c>
      <c r="AC10" s="47">
        <v>0</v>
      </c>
      <c r="AD10" s="47">
        <v>60335</v>
      </c>
      <c r="AE10" s="47">
        <v>41319</v>
      </c>
      <c r="AF10" s="84">
        <f t="shared" si="9"/>
        <v>136.55521659063774</v>
      </c>
      <c r="AG10" s="84">
        <f t="shared" si="10"/>
        <v>0</v>
      </c>
      <c r="AH10" s="84">
        <f t="shared" si="11"/>
        <v>116.22197729344494</v>
      </c>
      <c r="AI10" s="84">
        <f t="shared" si="12"/>
        <v>166.24630284626178</v>
      </c>
      <c r="AJ10" s="85">
        <f t="shared" si="13"/>
        <v>1.4304205342033729</v>
      </c>
      <c r="AM10" s="125">
        <f t="shared" si="14"/>
        <v>4.3955509369308907E-2</v>
      </c>
      <c r="AN10" s="125">
        <f t="shared" si="14"/>
        <v>0</v>
      </c>
      <c r="AO10" s="125">
        <f t="shared" si="14"/>
        <v>5.0244004842084231E-2</v>
      </c>
      <c r="AP10" s="125">
        <f t="shared" si="14"/>
        <v>3.8975705199970699E-2</v>
      </c>
      <c r="AR10" s="125">
        <f>IFERROR(I10/SUM(I$9:I$13),0)</f>
        <v>7.3542661612446214E-2</v>
      </c>
      <c r="AS10" s="125">
        <v>0</v>
      </c>
      <c r="AT10" s="125">
        <f t="shared" si="15"/>
        <v>0.11082772124674128</v>
      </c>
      <c r="AU10" s="125">
        <f t="shared" si="15"/>
        <v>4.7942638843990859E-2</v>
      </c>
      <c r="AW10" s="156">
        <f t="shared" ref="AW10:AW13" si="17">IFERROR(AR10/AM10*100,"")</f>
        <v>167.3115899864784</v>
      </c>
      <c r="AX10" s="156" t="str">
        <f t="shared" ref="AX10:AX13" si="18">IFERROR(AS10/AN10*100,"")</f>
        <v/>
      </c>
      <c r="AY10" s="156">
        <f t="shared" ref="AY10:AY13" si="19">IFERROR(AT10/AO10*100,"")</f>
        <v>220.57899563354931</v>
      </c>
      <c r="AZ10" s="156">
        <f t="shared" ref="AZ10:AZ13" si="20">IFERROR(AU10/AP10*100,"")</f>
        <v>123.00646928134837</v>
      </c>
    </row>
    <row r="11" spans="1:52" x14ac:dyDescent="0.2">
      <c r="A11" s="4" t="s">
        <v>56</v>
      </c>
      <c r="B11" s="4" t="s">
        <v>57</v>
      </c>
      <c r="C11" s="4" t="s">
        <v>52</v>
      </c>
      <c r="D11" s="4" t="s">
        <v>53</v>
      </c>
      <c r="E11" s="41" cm="1">
        <f t="array" ref="E11:H11">IFERROR(HLOOKUP(A11,Decomposition!$G$1:$BB$43,{40,41,42,43},0),0)</f>
        <v>1054.2436759116429</v>
      </c>
      <c r="F11" s="41">
        <v>4.1377384210075308E-7</v>
      </c>
      <c r="G11" s="41">
        <v>801.47445144127107</v>
      </c>
      <c r="H11" s="41">
        <v>252.76922405659792</v>
      </c>
      <c r="I11" s="42">
        <f t="shared" si="0"/>
        <v>1.0676612428855257E-2</v>
      </c>
      <c r="J11" s="42">
        <f t="shared" si="1"/>
        <v>1.2326337592241742E-11</v>
      </c>
      <c r="K11" s="42">
        <f t="shared" si="2"/>
        <v>2.5323042972979971E-2</v>
      </c>
      <c r="L11" s="42">
        <f t="shared" si="3"/>
        <v>7.5397237190016481E-3</v>
      </c>
      <c r="M11" s="43">
        <f t="shared" si="4"/>
        <v>2.3875952633361432E-2</v>
      </c>
      <c r="N11" s="43">
        <f t="shared" si="5"/>
        <v>-1.733665499576937E-2</v>
      </c>
      <c r="O11" s="44" cm="1">
        <f t="array" ref="O11:R11">IFERROR(HLOOKUP(A11,Decomposition!$BF$1:$BZ$43,{40,41,42,43},0),0)</f>
        <v>96765546.756077692</v>
      </c>
      <c r="P11" s="44">
        <v>3.6507686499492376E-2</v>
      </c>
      <c r="Q11" s="44">
        <v>73223482.444055945</v>
      </c>
      <c r="R11" s="44">
        <v>23542064.275514085</v>
      </c>
      <c r="S11" s="52">
        <f>IFERROR(O11/X11,0)</f>
        <v>5.2662043649127677</v>
      </c>
      <c r="T11" s="52">
        <f t="shared" si="7"/>
        <v>0</v>
      </c>
      <c r="U11" s="52">
        <f>IFERROR(Q11/Z11,0)</f>
        <v>3.9849908959128708</v>
      </c>
      <c r="V11" s="52">
        <f t="shared" si="7"/>
        <v>0</v>
      </c>
      <c r="W11" s="48">
        <f t="shared" si="8"/>
        <v>0</v>
      </c>
      <c r="X11" s="46" cm="1">
        <f t="array" ref="X11:AA11">IFERROR(HLOOKUP($B11,'Raw Data'!$F$1:$AX$43,{40,41,42,43},0),"")</f>
        <v>18374818</v>
      </c>
      <c r="Y11" s="46">
        <v>0</v>
      </c>
      <c r="Z11" s="46">
        <v>18374818</v>
      </c>
      <c r="AA11" s="46">
        <v>0</v>
      </c>
      <c r="AB11" s="47" cm="1">
        <f t="array" ref="AB11:AE11">IFERROR(HLOOKUP($A11,'Raw Data'!$F$1:$AX$43,{40,41,42,43},0),"")</f>
        <v>3532942</v>
      </c>
      <c r="AC11" s="47">
        <v>0</v>
      </c>
      <c r="AD11" s="47">
        <v>3532942</v>
      </c>
      <c r="AE11" s="47">
        <v>0</v>
      </c>
      <c r="AF11" s="84">
        <f t="shared" ref="AF11:AF12" si="21">IFERROR(X11/AB11,0)</f>
        <v>5.2009962235440037</v>
      </c>
      <c r="AG11" s="84">
        <f t="shared" ref="AG11:AG12" si="22">IFERROR(Y11/AC11,0)</f>
        <v>0</v>
      </c>
      <c r="AH11" s="84">
        <f t="shared" ref="AH11:AH12" si="23">IFERROR(Z11/AD11,0)</f>
        <v>5.2009962235440037</v>
      </c>
      <c r="AI11" s="84">
        <f t="shared" ref="AI11:AI12" si="24">IFERROR(AA11/AE11,0)</f>
        <v>0</v>
      </c>
      <c r="AJ11" s="85">
        <f t="shared" si="13"/>
        <v>0</v>
      </c>
      <c r="AM11" s="125">
        <f t="shared" si="14"/>
        <v>5.8184002798064655E-2</v>
      </c>
      <c r="AN11" s="125">
        <f t="shared" si="14"/>
        <v>0</v>
      </c>
      <c r="AO11" s="125">
        <f t="shared" si="14"/>
        <v>0.13165874713368392</v>
      </c>
      <c r="AP11" s="125">
        <f t="shared" si="14"/>
        <v>0</v>
      </c>
      <c r="AR11" s="125">
        <f>IFERROR(I11/SUM(I$9:I$13),0)</f>
        <v>0.13296644769264326</v>
      </c>
      <c r="AS11" s="125">
        <v>0</v>
      </c>
      <c r="AT11" s="125">
        <f t="shared" si="15"/>
        <v>0.2483121830193997</v>
      </c>
      <c r="AU11" s="125">
        <f t="shared" si="15"/>
        <v>5.3769753967113552E-2</v>
      </c>
      <c r="AW11" s="156">
        <f t="shared" si="17"/>
        <v>228.52750120015131</v>
      </c>
      <c r="AX11" s="156" t="str">
        <f t="shared" si="18"/>
        <v/>
      </c>
      <c r="AY11" s="156">
        <f t="shared" si="19"/>
        <v>188.60287555924256</v>
      </c>
      <c r="AZ11" s="156" t="str">
        <f t="shared" si="20"/>
        <v/>
      </c>
    </row>
    <row r="12" spans="1:52" x14ac:dyDescent="0.2">
      <c r="A12" s="4" t="s">
        <v>58</v>
      </c>
      <c r="B12" s="4" t="s">
        <v>59</v>
      </c>
      <c r="C12" s="4" t="s">
        <v>52</v>
      </c>
      <c r="D12" s="4" t="s">
        <v>60</v>
      </c>
      <c r="E12" s="41" cm="1">
        <f t="array" ref="E12:H12">IFERROR(HLOOKUP(A12,Decomposition!$G$1:$BB$43,{40,41,42,43},0),0)</f>
        <v>1227.3599304119482</v>
      </c>
      <c r="F12" s="41">
        <v>3.0021750364808441E-7</v>
      </c>
      <c r="G12" s="41">
        <v>658.46213107631343</v>
      </c>
      <c r="H12" s="41">
        <v>568.89779903541717</v>
      </c>
      <c r="I12" s="42">
        <f t="shared" si="0"/>
        <v>1.2429807820647901E-2</v>
      </c>
      <c r="J12" s="42">
        <f t="shared" si="1"/>
        <v>8.9434901981195588E-12</v>
      </c>
      <c r="K12" s="42">
        <f t="shared" si="2"/>
        <v>2.0804487044272655E-2</v>
      </c>
      <c r="L12" s="42">
        <f t="shared" si="3"/>
        <v>1.6969361064758173E-2</v>
      </c>
      <c r="M12" s="43">
        <f t="shared" si="4"/>
        <v>1.9615610485296593E-2</v>
      </c>
      <c r="N12" s="43">
        <f t="shared" si="5"/>
        <v>-2.8298362162877456E-3</v>
      </c>
      <c r="O12" s="44" cm="1">
        <f t="array" ref="O12:R12">IFERROR(HLOOKUP(A12,Decomposition!$BF$1:$BZ$43,{40,41,42,43},0),0)</f>
        <v>113637052.25737265</v>
      </c>
      <c r="P12" s="44">
        <v>2.658988063039415E-2</v>
      </c>
      <c r="Q12" s="44">
        <v>60149266.591284171</v>
      </c>
      <c r="R12" s="44">
        <v>53487785.639498591</v>
      </c>
      <c r="S12" s="52">
        <f t="shared" si="7"/>
        <v>2.4934118451728815</v>
      </c>
      <c r="T12" s="52">
        <f t="shared" si="7"/>
        <v>0</v>
      </c>
      <c r="U12" s="52">
        <f t="shared" si="7"/>
        <v>1.3197886676740955</v>
      </c>
      <c r="V12" s="52">
        <f t="shared" si="7"/>
        <v>0</v>
      </c>
      <c r="W12" s="48">
        <f t="shared" si="8"/>
        <v>0</v>
      </c>
      <c r="X12" s="46" cm="1">
        <f t="array" ref="X12:AA12">IFERROR(HLOOKUP($B12,'Raw Data'!$F$1:$AX$43,{40,41,42,43},0),"")</f>
        <v>45574922.761904821</v>
      </c>
      <c r="Y12" s="46">
        <v>0</v>
      </c>
      <c r="Z12" s="46">
        <v>45574922.761904821</v>
      </c>
      <c r="AA12" s="46">
        <v>0</v>
      </c>
      <c r="AB12" s="47" cm="1">
        <f t="array" ref="AB12:AE12">IFERROR(HLOOKUP($A12,'Raw Data'!$F$1:$AX$43,{40,41,42,43},0),"")</f>
        <v>460.11572826120005</v>
      </c>
      <c r="AC12" s="47">
        <v>0</v>
      </c>
      <c r="AD12" s="47">
        <v>460.11572826120005</v>
      </c>
      <c r="AE12" s="47">
        <v>0</v>
      </c>
      <c r="AF12" s="84">
        <f t="shared" si="21"/>
        <v>99050.999482531697</v>
      </c>
      <c r="AG12" s="84">
        <f t="shared" si="22"/>
        <v>0</v>
      </c>
      <c r="AH12" s="84">
        <f t="shared" si="23"/>
        <v>99050.999482531697</v>
      </c>
      <c r="AI12" s="84">
        <f t="shared" si="24"/>
        <v>0</v>
      </c>
      <c r="AJ12" s="85">
        <f t="shared" si="13"/>
        <v>0</v>
      </c>
      <c r="AM12" s="125">
        <f t="shared" si="14"/>
        <v>0.14431334413762631</v>
      </c>
      <c r="AN12" s="125">
        <f t="shared" si="14"/>
        <v>0</v>
      </c>
      <c r="AO12" s="125">
        <f t="shared" si="14"/>
        <v>0.32655219940392349</v>
      </c>
      <c r="AP12" s="125">
        <f t="shared" si="14"/>
        <v>0</v>
      </c>
      <c r="AR12" s="125">
        <f>IFERROR(I12/SUM(I$9:I$13),0)</f>
        <v>0.15480072939118522</v>
      </c>
      <c r="AS12" s="125">
        <v>0</v>
      </c>
      <c r="AT12" s="125">
        <f t="shared" si="15"/>
        <v>0.20400421861126095</v>
      </c>
      <c r="AU12" s="125">
        <f t="shared" si="15"/>
        <v>0.12101748067129189</v>
      </c>
      <c r="AW12" s="156">
        <f t="shared" si="17"/>
        <v>107.2670932242811</v>
      </c>
      <c r="AX12" s="156" t="str">
        <f t="shared" si="18"/>
        <v/>
      </c>
      <c r="AY12" s="156">
        <f t="shared" si="19"/>
        <v>62.472161872938791</v>
      </c>
      <c r="AZ12" s="156" t="str">
        <f t="shared" si="20"/>
        <v/>
      </c>
    </row>
    <row r="13" spans="1:52" x14ac:dyDescent="0.2">
      <c r="A13" s="4" t="s">
        <v>61</v>
      </c>
      <c r="B13" s="4" t="s">
        <v>62</v>
      </c>
      <c r="C13" s="4" t="s">
        <v>52</v>
      </c>
      <c r="D13" s="4" t="s">
        <v>60</v>
      </c>
      <c r="E13" s="41" cm="1">
        <f t="array" ref="E13:H13">IFERROR(HLOOKUP(A13,Decomposition!$G$1:$BB$43,{40,41,42,43},0),0)</f>
        <v>1202.3333650743557</v>
      </c>
      <c r="F13" s="41">
        <v>5.5575131898152271E-8</v>
      </c>
      <c r="G13" s="41">
        <v>230.13180120410101</v>
      </c>
      <c r="H13" s="41">
        <v>972.20156381467962</v>
      </c>
      <c r="I13" s="42">
        <f t="shared" si="0"/>
        <v>1.2176356986993299E-2</v>
      </c>
      <c r="J13" s="42">
        <f t="shared" si="1"/>
        <v>1.6555851719190653E-12</v>
      </c>
      <c r="K13" s="42">
        <f t="shared" si="2"/>
        <v>7.2711456751503962E-3</v>
      </c>
      <c r="L13" s="42">
        <f t="shared" si="3"/>
        <v>2.8999302496979355E-2</v>
      </c>
      <c r="M13" s="43">
        <f t="shared" si="4"/>
        <v>6.8556346077011058E-3</v>
      </c>
      <c r="N13" s="43">
        <f t="shared" si="5"/>
        <v>2.3446117906496606E-2</v>
      </c>
      <c r="O13" s="44" cm="1">
        <f t="array" ref="O13:R13">IFERROR(HLOOKUP(A13,Decomposition!$BF$1:$BZ$43,{40,41,42,43},0),0)</f>
        <v>113631631.69265263</v>
      </c>
      <c r="P13" s="44">
        <v>4.936476534796925E-3</v>
      </c>
      <c r="Q13" s="44">
        <v>21042716.897928379</v>
      </c>
      <c r="R13" s="44">
        <v>92588914.789787784</v>
      </c>
      <c r="S13" s="52">
        <f t="shared" ref="S13" si="25">IFERROR(O13/X13,0)</f>
        <v>2.2412550819169748</v>
      </c>
      <c r="T13" s="52">
        <f t="shared" ref="T13" si="26">IFERROR(P13/Y13,0)</f>
        <v>0</v>
      </c>
      <c r="U13" s="52">
        <f t="shared" ref="U13" si="27">IFERROR(Q13/Z13,0)</f>
        <v>1.1358425248733039</v>
      </c>
      <c r="V13" s="52">
        <f t="shared" ref="V13" si="28">IFERROR(R13/AA13,0)</f>
        <v>2.8777635677907059</v>
      </c>
      <c r="W13" s="48">
        <f t="shared" si="8"/>
        <v>2.5335937903114716</v>
      </c>
      <c r="X13" s="46" cm="1">
        <f t="array" ref="X13:AA13">IFERROR(HLOOKUP($B13,'Raw Data'!$F$1:$AX$43,{40,41,42,43},0),"")</f>
        <v>50699999.571428522</v>
      </c>
      <c r="Y13" s="46">
        <v>0</v>
      </c>
      <c r="Z13" s="46">
        <v>18526086.527950309</v>
      </c>
      <c r="AA13" s="46">
        <v>32173913.04347821</v>
      </c>
      <c r="AB13" s="47" cm="1">
        <f t="array" ref="AB13:AE13">IFERROR(HLOOKUP($A13,'Raw Data'!$F$1:$AX$43,{40,41,42,43},0),"")</f>
        <v>287.88743172699992</v>
      </c>
      <c r="AC13" s="47">
        <v>0</v>
      </c>
      <c r="AD13" s="47">
        <v>187.03583002689999</v>
      </c>
      <c r="AE13" s="47">
        <v>100.85160170009991</v>
      </c>
      <c r="AF13" s="84">
        <f t="shared" ref="AF13" si="29">IFERROR(X13/AB13,0)</f>
        <v>176110.50009125337</v>
      </c>
      <c r="AG13" s="84">
        <f t="shared" ref="AG13" si="30">IFERROR(Y13/AC13,0)</f>
        <v>0</v>
      </c>
      <c r="AH13" s="84">
        <f t="shared" ref="AH13" si="31">IFERROR(Z13/AD13,0)</f>
        <v>99051.002822752402</v>
      </c>
      <c r="AI13" s="84">
        <f t="shared" ref="AI13" si="32">IFERROR(AA13/AE13,0)</f>
        <v>319022.3308416364</v>
      </c>
      <c r="AJ13" s="85">
        <f t="shared" si="13"/>
        <v>3.2207885003699905</v>
      </c>
      <c r="AM13" s="125">
        <f t="shared" si="14"/>
        <v>0.16054193935014072</v>
      </c>
      <c r="AN13" s="125">
        <f t="shared" si="14"/>
        <v>0</v>
      </c>
      <c r="AO13" s="125">
        <f t="shared" si="14"/>
        <v>0.13274261228384185</v>
      </c>
      <c r="AP13" s="125">
        <f t="shared" si="14"/>
        <v>0.18255598156880448</v>
      </c>
      <c r="AR13" s="125">
        <f>IFERROR(I13/SUM(I$9:I$13),0)</f>
        <v>0.15164425469096002</v>
      </c>
      <c r="AS13" s="125">
        <v>0</v>
      </c>
      <c r="AT13" s="125">
        <f t="shared" si="15"/>
        <v>7.1299253315455405E-2</v>
      </c>
      <c r="AU13" s="125">
        <f t="shared" si="15"/>
        <v>0.20680934986394303</v>
      </c>
      <c r="AW13" s="156">
        <f t="shared" si="17"/>
        <v>94.457719462467111</v>
      </c>
      <c r="AX13" s="156" t="str">
        <f t="shared" si="18"/>
        <v/>
      </c>
      <c r="AY13" s="156">
        <f t="shared" si="19"/>
        <v>53.712407861159996</v>
      </c>
      <c r="AZ13" s="156">
        <f t="shared" si="20"/>
        <v>113.28544158713176</v>
      </c>
    </row>
    <row r="14" spans="1:52" x14ac:dyDescent="0.2">
      <c r="A14" s="132" t="s">
        <v>63</v>
      </c>
      <c r="B14" s="4" t="s">
        <v>64</v>
      </c>
      <c r="C14" s="4" t="s">
        <v>65</v>
      </c>
      <c r="D14" s="4" t="s">
        <v>66</v>
      </c>
      <c r="E14" s="41" cm="1">
        <f t="array" ref="E14:H14">IFERROR(HLOOKUP(A14,Decomposition!$G$1:$BB$43,{40,41,42,43},0),0)</f>
        <v>-2484.2790930388537</v>
      </c>
      <c r="F14" s="41">
        <v>-552.81996685788795</v>
      </c>
      <c r="G14" s="41">
        <v>-760.90257648275633</v>
      </c>
      <c r="H14" s="41">
        <v>-1170.5565496982097</v>
      </c>
      <c r="I14" s="42">
        <f t="shared" ref="I14" si="33">IFERROR(E14/SUM(E$3:E$22),0)</f>
        <v>-2.5158970025167943E-2</v>
      </c>
      <c r="J14" s="42">
        <f t="shared" ref="J14" si="34">IFERROR(F14/SUM(F$3:F$22),0)</f>
        <v>-1.6468526634322533E-2</v>
      </c>
      <c r="K14" s="42">
        <f t="shared" ref="K14" si="35">IFERROR(G14/SUM(G$3:G$22),0)</f>
        <v>-2.4041151415212552E-2</v>
      </c>
      <c r="L14" s="42">
        <f t="shared" ref="L14" si="36">IFERROR(H14/SUM(H$3:H$22),0)</f>
        <v>-3.4915931775840535E-2</v>
      </c>
      <c r="M14" s="43">
        <f t="shared" si="4"/>
        <v>-6.1987884016269723E-3</v>
      </c>
      <c r="N14" s="43">
        <f t="shared" si="5"/>
        <v>-1.2943251215471907E-2</v>
      </c>
      <c r="O14" s="44" cm="1">
        <f t="array" ref="O14:R14">IFERROR(HLOOKUP(A14,Decomposition!$BF$1:$BZ$43,{40,41,42,43},0),0)</f>
        <v>-229403670.3881458</v>
      </c>
      <c r="P14" s="44">
        <v>-48310261.115625516</v>
      </c>
      <c r="Q14" s="44">
        <v>-69475882.661112815</v>
      </c>
      <c r="R14" s="44">
        <v>-111617526.6114075</v>
      </c>
      <c r="S14" s="45"/>
      <c r="T14" s="45"/>
      <c r="U14" s="45"/>
      <c r="V14" s="45"/>
      <c r="W14" s="10" t="str">
        <f>IFERROR(#REF!/T14-1,"")</f>
        <v/>
      </c>
      <c r="X14" s="46"/>
      <c r="Y14" s="46"/>
      <c r="Z14" s="46"/>
      <c r="AA14" s="46"/>
      <c r="AB14" s="47"/>
      <c r="AC14" s="47"/>
      <c r="AD14" s="47"/>
      <c r="AE14" s="47"/>
      <c r="AF14" s="84"/>
      <c r="AG14" s="84"/>
      <c r="AH14" s="84"/>
      <c r="AI14" s="84"/>
      <c r="AJ14" s="85">
        <f t="shared" si="13"/>
        <v>0</v>
      </c>
    </row>
    <row r="15" spans="1:52" x14ac:dyDescent="0.2">
      <c r="A15" s="129" t="s">
        <v>67</v>
      </c>
      <c r="B15" s="4"/>
      <c r="C15" s="4" t="s">
        <v>68</v>
      </c>
      <c r="D15" s="4" t="s">
        <v>69</v>
      </c>
      <c r="E15" s="41" cm="1">
        <f t="array" ref="E15:H15">IFERROR(HLOOKUP(A15,Decomposition!$G$1:$BB$43,{40,41,42,43},0),0)</f>
        <v>-2721.4789083072314</v>
      </c>
      <c r="F15" s="41">
        <v>-1564.898542775878</v>
      </c>
      <c r="G15" s="41">
        <v>-597.69937311364913</v>
      </c>
      <c r="H15" s="41">
        <v>-558.88099241770522</v>
      </c>
      <c r="I15" s="42">
        <f t="shared" si="0"/>
        <v>-2.7561157065679801E-2</v>
      </c>
      <c r="J15" s="42">
        <f t="shared" si="1"/>
        <v>-4.6618383699484033E-2</v>
      </c>
      <c r="K15" s="42">
        <f t="shared" si="2"/>
        <v>-1.8884653008043144E-2</v>
      </c>
      <c r="L15" s="42">
        <f t="shared" si="3"/>
        <v>-1.6670574870647357E-2</v>
      </c>
      <c r="M15" s="43">
        <f t="shared" si="4"/>
        <v>2.8812897943629654E-2</v>
      </c>
      <c r="N15" s="43">
        <f t="shared" si="5"/>
        <v>1.2264889052136111E-3</v>
      </c>
      <c r="O15" s="44" cm="1">
        <f t="array" ref="O15:R15">IFERROR(HLOOKUP(A15,Decomposition!$BF$1:$BZ$43,{40,41,42,43},0),0)</f>
        <v>-246869581.53561842</v>
      </c>
      <c r="P15" s="44">
        <v>-138368065.82372648</v>
      </c>
      <c r="Q15" s="44">
        <v>-54819983.61341463</v>
      </c>
      <c r="R15" s="44">
        <v>-53681532.098477453</v>
      </c>
      <c r="S15" s="45"/>
      <c r="T15" s="45"/>
      <c r="U15" s="45"/>
      <c r="V15" s="45"/>
      <c r="W15" s="10" t="str">
        <f>IFERROR(#REF!/T15-1,"")</f>
        <v/>
      </c>
      <c r="X15" s="46"/>
      <c r="Y15" s="46"/>
      <c r="Z15" s="46"/>
      <c r="AA15" s="46"/>
      <c r="AB15" s="47"/>
      <c r="AC15" s="6"/>
      <c r="AD15" s="47"/>
      <c r="AE15" s="47"/>
      <c r="AF15" s="7"/>
      <c r="AG15" s="7"/>
      <c r="AH15" s="7"/>
      <c r="AI15" s="7"/>
      <c r="AJ15" s="8" t="str">
        <f>IFERROR(AH15/AG15-1,"")</f>
        <v/>
      </c>
    </row>
    <row r="16" spans="1:52" x14ac:dyDescent="0.2">
      <c r="A16" s="129" t="s">
        <v>70</v>
      </c>
      <c r="B16" s="4"/>
      <c r="C16" s="4" t="s">
        <v>68</v>
      </c>
      <c r="D16" s="4" t="s">
        <v>69</v>
      </c>
      <c r="E16" s="41" cm="1">
        <f t="array" ref="E16:H16">IFERROR(HLOOKUP(A16,Decomposition!$G$1:$BB$43,{40,41,42,43},0),0)</f>
        <v>-11897.194603874672</v>
      </c>
      <c r="F16" s="41">
        <v>-3749.1080961819202</v>
      </c>
      <c r="G16" s="41">
        <v>-4011.1989348188317</v>
      </c>
      <c r="H16" s="41">
        <v>-4136.8875728739195</v>
      </c>
      <c r="I16" s="42">
        <f t="shared" si="0"/>
        <v>-0.12048612543622583</v>
      </c>
      <c r="J16" s="42">
        <f t="shared" si="1"/>
        <v>-0.11168606461133508</v>
      </c>
      <c r="K16" s="42">
        <f t="shared" si="2"/>
        <v>-0.12673612092927936</v>
      </c>
      <c r="L16" s="42">
        <f t="shared" si="3"/>
        <v>-0.12339710054676843</v>
      </c>
      <c r="M16" s="43">
        <f t="shared" si="4"/>
        <v>-7.8076954803867884E-3</v>
      </c>
      <c r="N16" s="43">
        <f t="shared" si="5"/>
        <v>-3.971204293487747E-3</v>
      </c>
      <c r="O16" s="44" cm="1">
        <f t="array" ref="O16:R16">IFERROR(HLOOKUP(A16,Decomposition!$BF$1:$BZ$43,{40,41,42,43},0),0)</f>
        <v>-1096551751.7186565</v>
      </c>
      <c r="P16" s="44">
        <v>-328753767.12417555</v>
      </c>
      <c r="Q16" s="44">
        <v>-375243061.93474883</v>
      </c>
      <c r="R16" s="44">
        <v>-392554922.65973198</v>
      </c>
      <c r="S16" s="45"/>
      <c r="T16" s="45"/>
      <c r="U16" s="45"/>
      <c r="V16" s="45"/>
      <c r="W16" s="45"/>
      <c r="X16" s="46"/>
      <c r="Y16" s="46"/>
      <c r="Z16" s="46"/>
      <c r="AA16" s="46"/>
      <c r="AB16" s="47"/>
      <c r="AC16" s="6"/>
      <c r="AD16" s="47"/>
      <c r="AE16" s="47"/>
      <c r="AF16" s="7"/>
      <c r="AG16" s="7"/>
      <c r="AH16" s="7"/>
      <c r="AI16" s="7"/>
      <c r="AJ16" s="8"/>
    </row>
    <row r="17" spans="1:36" x14ac:dyDescent="0.2">
      <c r="A17" s="129" t="s">
        <v>71</v>
      </c>
      <c r="B17" s="4"/>
      <c r="C17" s="4" t="s">
        <v>68</v>
      </c>
      <c r="D17" s="4" t="s">
        <v>69</v>
      </c>
      <c r="E17" s="41" cm="1">
        <f t="array" ref="E17:H17">IFERROR(HLOOKUP(A17,Decomposition!$G$1:$BB$43,{40,41,42,43},0),0)</f>
        <v>5102.9571705697563</v>
      </c>
      <c r="F17" s="41">
        <v>4296.9997576311998</v>
      </c>
      <c r="G17" s="41">
        <v>805.95741293855588</v>
      </c>
      <c r="H17" s="41">
        <v>0</v>
      </c>
      <c r="I17" s="103">
        <f t="shared" si="0"/>
        <v>5.1679035118809974E-2</v>
      </c>
      <c r="J17" s="103">
        <f t="shared" si="1"/>
        <v>0.12800777685082843</v>
      </c>
      <c r="K17" s="103">
        <f t="shared" si="2"/>
        <v>2.5464684701469027E-2</v>
      </c>
      <c r="L17" s="103">
        <f t="shared" si="3"/>
        <v>0</v>
      </c>
      <c r="M17" s="43">
        <f t="shared" si="4"/>
        <v>-0.10399827662139778</v>
      </c>
      <c r="N17" s="43">
        <f t="shared" si="5"/>
        <v>-2.5464684701469027E-2</v>
      </c>
      <c r="O17" s="44" cm="1">
        <f t="array" ref="O17:R17">IFERROR(HLOOKUP(A17,Decomposition!$BF$1:$BZ$43,{40,41,42,43},0),0)</f>
        <v>451217254.73366725</v>
      </c>
      <c r="P17" s="44">
        <v>378658801.8760215</v>
      </c>
      <c r="Q17" s="44">
        <v>72558452.857645765</v>
      </c>
      <c r="R17" s="44">
        <v>0</v>
      </c>
      <c r="S17" s="45"/>
      <c r="T17" s="45"/>
      <c r="U17" s="45"/>
      <c r="V17" s="45"/>
      <c r="W17" s="45"/>
      <c r="X17" s="46"/>
      <c r="Y17" s="46"/>
      <c r="Z17" s="46"/>
      <c r="AA17" s="46"/>
      <c r="AB17" s="47"/>
      <c r="AC17" s="6"/>
      <c r="AD17" s="47"/>
      <c r="AE17" s="47"/>
      <c r="AF17" s="7"/>
      <c r="AG17" s="7"/>
      <c r="AH17" s="7"/>
      <c r="AI17" s="7"/>
      <c r="AJ17" s="8"/>
    </row>
    <row r="18" spans="1:36" x14ac:dyDescent="0.2">
      <c r="A18" s="129" t="s">
        <v>72</v>
      </c>
      <c r="B18" s="4"/>
      <c r="C18" s="4" t="s">
        <v>68</v>
      </c>
      <c r="D18" s="4" t="s">
        <v>69</v>
      </c>
      <c r="E18" s="41" cm="1">
        <f t="array" ref="E18:H18">IFERROR(HLOOKUP(A18,Decomposition!$G$1:$BB$43,{40,41,42,43},0),0)</f>
        <v>1770.136213769186</v>
      </c>
      <c r="F18" s="41">
        <v>595.78993032942003</v>
      </c>
      <c r="G18" s="41">
        <v>585.17521054501799</v>
      </c>
      <c r="H18" s="41">
        <v>589.17107289474802</v>
      </c>
      <c r="I18" s="42">
        <f t="shared" si="0"/>
        <v>1.7926650861198833E-2</v>
      </c>
      <c r="J18" s="42">
        <f t="shared" si="1"/>
        <v>1.7748603386848201E-2</v>
      </c>
      <c r="K18" s="42">
        <f t="shared" si="2"/>
        <v>1.848894493980003E-2</v>
      </c>
      <c r="L18" s="42">
        <f t="shared" si="3"/>
        <v>1.7574082166979015E-2</v>
      </c>
      <c r="M18" s="43">
        <f t="shared" si="4"/>
        <v>-3.1621288297322482E-4</v>
      </c>
      <c r="N18" s="43">
        <f t="shared" si="5"/>
        <v>1.262515527654857E-4</v>
      </c>
      <c r="O18" s="44" cm="1">
        <f t="array" ref="O18:R18">IFERROR(HLOOKUP(A18,Decomposition!$BF$1:$BZ$43,{40,41,42,43},0),0)</f>
        <v>165978219.86739126</v>
      </c>
      <c r="P18" s="44">
        <v>55836806.095256463</v>
      </c>
      <c r="Q18" s="44">
        <v>53203741.001238026</v>
      </c>
      <c r="R18" s="44">
        <v>56937672.770896755</v>
      </c>
      <c r="S18" s="45"/>
      <c r="T18" s="45"/>
      <c r="U18" s="45"/>
      <c r="V18" s="45"/>
      <c r="W18" s="45"/>
      <c r="X18" s="46"/>
      <c r="Y18" s="46"/>
      <c r="Z18" s="46"/>
      <c r="AA18" s="46"/>
      <c r="AB18" s="47"/>
      <c r="AC18" s="6"/>
      <c r="AD18" s="47"/>
      <c r="AE18" s="47"/>
      <c r="AF18" s="7"/>
      <c r="AG18" s="7"/>
      <c r="AH18" s="7"/>
      <c r="AI18" s="7"/>
      <c r="AJ18" s="8"/>
    </row>
    <row r="19" spans="1:36" x14ac:dyDescent="0.2">
      <c r="A19" s="129" t="s">
        <v>73</v>
      </c>
      <c r="B19" s="4"/>
      <c r="C19" s="4" t="s">
        <v>68</v>
      </c>
      <c r="D19" s="4" t="s">
        <v>69</v>
      </c>
      <c r="E19" s="41" cm="1">
        <f t="array" ref="E19:H19">IFERROR(HLOOKUP(A19,Decomposition!$G$1:$BB$43,{40,41,42,43},0),0)</f>
        <v>1550.3151443353549</v>
      </c>
      <c r="F19" s="41">
        <v>518.53542918336302</v>
      </c>
      <c r="G19" s="41">
        <v>511.84526732878902</v>
      </c>
      <c r="H19" s="41">
        <v>519.93444782320296</v>
      </c>
      <c r="I19" s="42">
        <f t="shared" si="0"/>
        <v>1.5700463106254982E-2</v>
      </c>
      <c r="J19" s="42">
        <f t="shared" si="1"/>
        <v>1.5447189027709831E-2</v>
      </c>
      <c r="K19" s="42">
        <f t="shared" si="2"/>
        <v>1.6172043509028951E-2</v>
      </c>
      <c r="L19" s="42">
        <f t="shared" si="3"/>
        <v>1.5508858339893702E-2</v>
      </c>
      <c r="M19" s="43">
        <f t="shared" si="4"/>
        <v>-1.9930016152673355E-4</v>
      </c>
      <c r="N19" s="43">
        <f t="shared" si="5"/>
        <v>2.55582277024392E-4</v>
      </c>
      <c r="O19" s="44" cm="1">
        <f t="array" ref="O19:R19">IFERROR(HLOOKUP(A19,Decomposition!$BF$1:$BZ$43,{40,41,42,43},0),0)</f>
        <v>134195859.0410552</v>
      </c>
      <c r="P19" s="44">
        <v>42040637.933369033</v>
      </c>
      <c r="Q19" s="44">
        <v>43782134.99861031</v>
      </c>
      <c r="R19" s="44">
        <v>48373086.109075867</v>
      </c>
      <c r="S19" s="45"/>
      <c r="T19" s="45"/>
      <c r="U19" s="45"/>
      <c r="V19" s="45"/>
      <c r="W19" s="45"/>
      <c r="X19" s="46"/>
      <c r="Y19" s="46"/>
      <c r="Z19" s="46"/>
      <c r="AA19" s="46"/>
      <c r="AB19" s="47"/>
      <c r="AC19" s="6"/>
      <c r="AD19" s="47"/>
      <c r="AE19" s="47"/>
      <c r="AF19" s="7"/>
      <c r="AG19" s="7"/>
      <c r="AH19" s="7"/>
      <c r="AI19" s="7"/>
      <c r="AJ19" s="8"/>
    </row>
    <row r="20" spans="1:36" x14ac:dyDescent="0.2">
      <c r="A20" s="4"/>
      <c r="B20" s="4"/>
      <c r="C20" s="4"/>
      <c r="D20" s="4"/>
      <c r="E20" s="41"/>
      <c r="F20" s="41"/>
      <c r="G20" s="41"/>
      <c r="H20" s="41"/>
      <c r="I20" s="42"/>
      <c r="J20" s="42"/>
      <c r="K20" s="42"/>
      <c r="L20" s="42"/>
      <c r="M20" s="43"/>
      <c r="N20" s="43"/>
      <c r="O20" s="44"/>
      <c r="P20" s="44"/>
      <c r="Q20" s="44"/>
      <c r="R20" s="44"/>
      <c r="S20" s="45"/>
      <c r="T20" s="45"/>
      <c r="U20" s="45"/>
      <c r="V20" s="45"/>
      <c r="W20" s="45"/>
      <c r="X20" s="46"/>
      <c r="Y20" s="46"/>
      <c r="Z20" s="46"/>
      <c r="AA20" s="46"/>
      <c r="AB20" s="47"/>
      <c r="AC20" s="6"/>
      <c r="AD20" s="47"/>
      <c r="AE20" s="47"/>
      <c r="AF20" s="7"/>
      <c r="AG20" s="7"/>
      <c r="AH20" s="7"/>
      <c r="AI20" s="7"/>
      <c r="AJ20" s="8"/>
    </row>
    <row r="21" spans="1:36" x14ac:dyDescent="0.2">
      <c r="A21" s="4"/>
      <c r="B21" s="4"/>
      <c r="C21" s="4"/>
      <c r="D21" s="4"/>
      <c r="E21" s="41"/>
      <c r="F21" s="41"/>
      <c r="G21" s="41"/>
      <c r="H21" s="41"/>
      <c r="I21" s="42"/>
      <c r="J21" s="42"/>
      <c r="K21" s="42"/>
      <c r="L21" s="42"/>
      <c r="M21" s="43"/>
      <c r="N21" s="43"/>
      <c r="O21" s="44"/>
      <c r="P21" s="44"/>
      <c r="Q21" s="44"/>
      <c r="R21" s="44"/>
      <c r="S21" s="45"/>
      <c r="T21" s="45"/>
      <c r="U21" s="45"/>
      <c r="V21" s="45"/>
      <c r="W21" s="45"/>
      <c r="X21" s="46"/>
      <c r="Y21" s="46"/>
      <c r="Z21" s="46"/>
      <c r="AA21" s="46"/>
      <c r="AB21" s="47"/>
      <c r="AC21" s="6"/>
      <c r="AD21" s="47"/>
      <c r="AE21" s="47"/>
      <c r="AF21" s="7"/>
      <c r="AG21" s="7"/>
      <c r="AH21" s="7"/>
      <c r="AI21" s="7"/>
      <c r="AJ21" s="8"/>
    </row>
    <row r="22" spans="1:36" x14ac:dyDescent="0.2">
      <c r="A22" s="4"/>
      <c r="B22" s="4"/>
      <c r="C22" s="4"/>
      <c r="D22" s="4"/>
      <c r="E22" s="41"/>
      <c r="F22" s="41"/>
      <c r="G22" s="41"/>
      <c r="H22" s="41"/>
      <c r="I22" s="42"/>
      <c r="J22" s="42"/>
      <c r="K22" s="42"/>
      <c r="L22" s="42"/>
      <c r="M22" s="43"/>
      <c r="N22" s="43"/>
      <c r="O22" s="44"/>
      <c r="P22" s="44"/>
      <c r="Q22" s="44"/>
      <c r="R22" s="44"/>
      <c r="S22" s="45"/>
      <c r="T22" s="45"/>
      <c r="U22" s="45"/>
      <c r="V22" s="45"/>
      <c r="W22" s="45"/>
      <c r="X22" s="46"/>
      <c r="Y22" s="46"/>
      <c r="Z22" s="46"/>
      <c r="AA22" s="46"/>
      <c r="AB22" s="47"/>
      <c r="AC22" s="6"/>
      <c r="AD22" s="47"/>
      <c r="AE22" s="47"/>
      <c r="AF22" s="7"/>
      <c r="AG22" s="7"/>
      <c r="AH22" s="7"/>
      <c r="AI22" s="7"/>
      <c r="AJ22" s="8"/>
    </row>
    <row r="23" spans="1:36" ht="25.5" x14ac:dyDescent="0.2">
      <c r="A23" s="98" t="s">
        <v>74</v>
      </c>
      <c r="E23" s="1"/>
      <c r="F23" s="2">
        <f>SUM(F3:F19)</f>
        <v>33568.271110892209</v>
      </c>
      <c r="G23" s="2">
        <f t="shared" ref="G23:H23" si="37">SUM(G3:G19)</f>
        <v>31650.005581732617</v>
      </c>
      <c r="H23" s="2">
        <f t="shared" si="37"/>
        <v>33524.998193178842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36" ht="25.5" x14ac:dyDescent="0.2">
      <c r="A24" s="100" t="s">
        <v>75</v>
      </c>
      <c r="G24" s="126">
        <f>G23/F23-1</f>
        <v>-5.7145198893998272E-2</v>
      </c>
      <c r="H24" s="126">
        <f>H23/G23-1</f>
        <v>5.924146226781124E-2</v>
      </c>
      <c r="I24" s="92">
        <f>MEDIAN(I9:I13)</f>
        <v>1.2176356986993299E-2</v>
      </c>
      <c r="S24" s="127">
        <f>MEDIAN(S9:S13)</f>
        <v>2.4934118451728815</v>
      </c>
    </row>
    <row r="25" spans="1:36" ht="25.5" x14ac:dyDescent="0.2">
      <c r="A25" s="99" t="s">
        <v>76</v>
      </c>
      <c r="H25" s="155">
        <f>H23/F23</f>
        <v>0.99871089822974757</v>
      </c>
    </row>
    <row r="26" spans="1:36" s="3" customFormat="1" ht="24" customHeight="1" x14ac:dyDescent="0.2">
      <c r="A26" s="100"/>
      <c r="C26" s="5"/>
      <c r="D26" s="5"/>
      <c r="E26" s="225" t="s">
        <v>21</v>
      </c>
      <c r="F26" s="226"/>
      <c r="G26" s="226"/>
      <c r="H26" s="227"/>
      <c r="I26" s="228" t="s">
        <v>22</v>
      </c>
      <c r="J26" s="229"/>
      <c r="K26" s="229"/>
      <c r="L26" s="230"/>
      <c r="M26" s="231" t="s">
        <v>23</v>
      </c>
      <c r="N26" s="232"/>
      <c r="O26" s="233" t="s">
        <v>24</v>
      </c>
      <c r="P26" s="234"/>
      <c r="Q26" s="234"/>
      <c r="R26" s="235"/>
      <c r="S26" s="236" t="s">
        <v>25</v>
      </c>
      <c r="T26" s="237"/>
      <c r="U26" s="237"/>
      <c r="V26" s="237"/>
      <c r="W26" s="238"/>
      <c r="X26" s="216" t="s">
        <v>26</v>
      </c>
      <c r="Y26" s="217"/>
      <c r="Z26" s="217"/>
      <c r="AA26" s="218"/>
      <c r="AB26" s="219" t="s">
        <v>27</v>
      </c>
      <c r="AC26" s="220"/>
      <c r="AD26" s="220"/>
      <c r="AE26" s="221"/>
      <c r="AF26" s="222" t="s">
        <v>28</v>
      </c>
      <c r="AG26" s="223"/>
      <c r="AH26" s="223"/>
      <c r="AI26" s="223"/>
      <c r="AJ26" s="224"/>
    </row>
    <row r="27" spans="1:36" s="21" customFormat="1" ht="25.5" x14ac:dyDescent="0.25">
      <c r="A27" s="99"/>
      <c r="C27" s="12" t="s">
        <v>30</v>
      </c>
      <c r="D27" s="12" t="s">
        <v>31</v>
      </c>
      <c r="E27" s="13" t="s">
        <v>32</v>
      </c>
      <c r="F27" s="13" t="s">
        <v>11</v>
      </c>
      <c r="G27" s="13" t="s">
        <v>15</v>
      </c>
      <c r="H27" s="13" t="s">
        <v>17</v>
      </c>
      <c r="I27" s="14" t="s">
        <v>32</v>
      </c>
      <c r="J27" s="14" t="s">
        <v>11</v>
      </c>
      <c r="K27" s="14" t="s">
        <v>15</v>
      </c>
      <c r="L27" s="14" t="s">
        <v>17</v>
      </c>
      <c r="M27" s="15" t="s">
        <v>33</v>
      </c>
      <c r="N27" s="15" t="s">
        <v>34</v>
      </c>
      <c r="O27" s="16" t="s">
        <v>32</v>
      </c>
      <c r="P27" s="16" t="s">
        <v>11</v>
      </c>
      <c r="Q27" s="16" t="s">
        <v>15</v>
      </c>
      <c r="R27" s="16" t="s">
        <v>17</v>
      </c>
      <c r="S27" s="17" t="s">
        <v>32</v>
      </c>
      <c r="T27" s="17" t="s">
        <v>11</v>
      </c>
      <c r="U27" s="17" t="s">
        <v>15</v>
      </c>
      <c r="V27" s="17" t="s">
        <v>17</v>
      </c>
      <c r="W27" s="17" t="s">
        <v>35</v>
      </c>
      <c r="X27" s="18" t="s">
        <v>32</v>
      </c>
      <c r="Y27" s="18" t="s">
        <v>11</v>
      </c>
      <c r="Z27" s="18" t="s">
        <v>15</v>
      </c>
      <c r="AA27" s="18" t="s">
        <v>17</v>
      </c>
      <c r="AB27" s="19" t="s">
        <v>32</v>
      </c>
      <c r="AC27" s="19" t="s">
        <v>11</v>
      </c>
      <c r="AD27" s="19" t="s">
        <v>15</v>
      </c>
      <c r="AE27" s="19" t="s">
        <v>17</v>
      </c>
      <c r="AF27" s="20" t="s">
        <v>32</v>
      </c>
      <c r="AG27" s="20" t="s">
        <v>11</v>
      </c>
      <c r="AH27" s="20" t="s">
        <v>15</v>
      </c>
      <c r="AI27" s="20" t="s">
        <v>17</v>
      </c>
      <c r="AJ27" s="20" t="s">
        <v>35</v>
      </c>
    </row>
    <row r="28" spans="1:36" x14ac:dyDescent="0.2">
      <c r="C28" s="4" t="s">
        <v>4</v>
      </c>
      <c r="D28" s="4" t="s">
        <v>4</v>
      </c>
      <c r="E28" s="41">
        <f t="shared" ref="E28:H35" si="38">SUMIFS(E$3:E$22,$C$3:$C$22,$C28,$D$3:$D$22,$D28)</f>
        <v>88765.075171080287</v>
      </c>
      <c r="F28" s="41">
        <f t="shared" si="38"/>
        <v>29452.634512758203</v>
      </c>
      <c r="G28" s="41">
        <f t="shared" si="38"/>
        <v>29748.318116962429</v>
      </c>
      <c r="H28" s="41">
        <f t="shared" si="38"/>
        <v>29564.122541359648</v>
      </c>
      <c r="I28" s="49">
        <f t="shared" ref="I28:I35" si="39">E28/SUM(E$3:E$22)</f>
        <v>0.89894805771569597</v>
      </c>
      <c r="J28" s="49">
        <f t="shared" ref="J28:J35" si="40">F28/SUM(F$3:F$22)</f>
        <v>0.87739503817345643</v>
      </c>
      <c r="K28" s="49">
        <f t="shared" ref="K28:K35" si="41">G28/SUM(G$3:G$22)</f>
        <v>0.93991509859739863</v>
      </c>
      <c r="L28" s="49">
        <f t="shared" ref="L28:L35" si="42">H28/SUM(H$3:H$22)</f>
        <v>0.88185306889516568</v>
      </c>
      <c r="M28" s="43">
        <f t="shared" ref="M28:M35" si="43">(G28-F28)/SUM($F$3:$F$22)</f>
        <v>8.8084251711218944E-3</v>
      </c>
      <c r="N28" s="43">
        <f t="shared" ref="N28:N35" si="44">(H28-G28)/SUM($G$3:$G$22)</f>
        <v>-5.8197643955264821E-3</v>
      </c>
      <c r="O28" s="44">
        <f t="shared" ref="O28:R35" si="45">SUMIFS(O$3:O$22,$C$3:$C$22,$C28,$D$3:$D$22,$D28)</f>
        <v>8170996975.953968</v>
      </c>
      <c r="P28" s="44">
        <f t="shared" si="45"/>
        <v>2599195796.2044916</v>
      </c>
      <c r="Q28" s="44">
        <f t="shared" si="45"/>
        <v>2754183065.7545924</v>
      </c>
      <c r="R28" s="44">
        <f t="shared" si="45"/>
        <v>2817618113.994884</v>
      </c>
      <c r="S28" s="50"/>
      <c r="T28" s="50"/>
      <c r="U28" s="50"/>
      <c r="V28" s="50"/>
      <c r="W28" s="10"/>
      <c r="X28" s="46">
        <f t="shared" ref="X28:AE33" si="46">SUMIFS(X$3:X$22,$C$3:$C$22,$C28,$D$3:$D$22,$D28)</f>
        <v>0</v>
      </c>
      <c r="Y28" s="46">
        <f t="shared" si="46"/>
        <v>0</v>
      </c>
      <c r="Z28" s="46">
        <f t="shared" si="46"/>
        <v>0</v>
      </c>
      <c r="AA28" s="46">
        <f t="shared" si="46"/>
        <v>0</v>
      </c>
      <c r="AB28" s="47">
        <f t="shared" si="46"/>
        <v>0</v>
      </c>
      <c r="AC28" s="6">
        <f t="shared" si="46"/>
        <v>0</v>
      </c>
      <c r="AD28" s="47">
        <f t="shared" si="46"/>
        <v>0</v>
      </c>
      <c r="AE28" s="47">
        <f t="shared" si="46"/>
        <v>0</v>
      </c>
      <c r="AF28" s="9">
        <f t="shared" ref="AF28:AF33" si="47">IFERROR(X28/AB28,0)</f>
        <v>0</v>
      </c>
      <c r="AG28" s="9">
        <f t="shared" ref="AG28:AG33" si="48">IFERROR(Y28/AC28,0)</f>
        <v>0</v>
      </c>
      <c r="AH28" s="9">
        <f t="shared" ref="AH28:AH33" si="49">IFERROR(Z28/AD28,0)</f>
        <v>0</v>
      </c>
      <c r="AI28" s="9">
        <f t="shared" ref="AI28:AI33" si="50">IFERROR(AA28/AE28,0)</f>
        <v>0</v>
      </c>
      <c r="AJ28" s="8" t="str">
        <f>IFERROR(AH28/AG28-1,"")</f>
        <v/>
      </c>
    </row>
    <row r="29" spans="1:36" x14ac:dyDescent="0.2">
      <c r="C29" s="4" t="s">
        <v>38</v>
      </c>
      <c r="D29" s="4" t="s">
        <v>38</v>
      </c>
      <c r="E29" s="41">
        <f t="shared" si="38"/>
        <v>0</v>
      </c>
      <c r="F29" s="41">
        <f t="shared" si="38"/>
        <v>0</v>
      </c>
      <c r="G29" s="41">
        <f t="shared" si="38"/>
        <v>0</v>
      </c>
      <c r="H29" s="41">
        <f t="shared" si="38"/>
        <v>0</v>
      </c>
      <c r="I29" s="49">
        <f t="shared" si="39"/>
        <v>0</v>
      </c>
      <c r="J29" s="49">
        <f t="shared" si="40"/>
        <v>0</v>
      </c>
      <c r="K29" s="49">
        <f t="shared" si="41"/>
        <v>0</v>
      </c>
      <c r="L29" s="49">
        <f t="shared" si="42"/>
        <v>0</v>
      </c>
      <c r="M29" s="43">
        <f t="shared" si="43"/>
        <v>0</v>
      </c>
      <c r="N29" s="43">
        <f t="shared" si="44"/>
        <v>0</v>
      </c>
      <c r="O29" s="44">
        <f t="shared" si="45"/>
        <v>0</v>
      </c>
      <c r="P29" s="44">
        <f t="shared" si="45"/>
        <v>0</v>
      </c>
      <c r="Q29" s="44">
        <f t="shared" si="45"/>
        <v>0</v>
      </c>
      <c r="R29" s="44">
        <f t="shared" si="45"/>
        <v>0</v>
      </c>
      <c r="S29" s="50"/>
      <c r="T29" s="50"/>
      <c r="U29" s="50"/>
      <c r="V29" s="50"/>
      <c r="W29" s="10"/>
      <c r="X29" s="46">
        <f t="shared" si="46"/>
        <v>0</v>
      </c>
      <c r="Y29" s="46">
        <f t="shared" si="46"/>
        <v>0</v>
      </c>
      <c r="Z29" s="46">
        <f t="shared" si="46"/>
        <v>0</v>
      </c>
      <c r="AA29" s="46">
        <f t="shared" si="46"/>
        <v>0</v>
      </c>
      <c r="AB29" s="47">
        <f t="shared" si="46"/>
        <v>0</v>
      </c>
      <c r="AC29" s="6">
        <f t="shared" si="46"/>
        <v>0</v>
      </c>
      <c r="AD29" s="47">
        <f t="shared" si="46"/>
        <v>0</v>
      </c>
      <c r="AE29" s="47">
        <f t="shared" si="46"/>
        <v>0</v>
      </c>
      <c r="AF29" s="9">
        <f t="shared" si="47"/>
        <v>0</v>
      </c>
      <c r="AG29" s="9">
        <f t="shared" si="48"/>
        <v>0</v>
      </c>
      <c r="AH29" s="9">
        <f t="shared" si="49"/>
        <v>0</v>
      </c>
      <c r="AI29" s="9">
        <f t="shared" si="50"/>
        <v>0</v>
      </c>
      <c r="AJ29" s="8" t="str">
        <f>IFERROR(AH29/AG29-1,"")</f>
        <v/>
      </c>
    </row>
    <row r="30" spans="1:36" x14ac:dyDescent="0.2">
      <c r="C30" s="4" t="s">
        <v>43</v>
      </c>
      <c r="D30" s="4" t="s">
        <v>43</v>
      </c>
      <c r="E30" s="41">
        <f t="shared" si="38"/>
        <v>0</v>
      </c>
      <c r="F30" s="41">
        <f t="shared" si="38"/>
        <v>0</v>
      </c>
      <c r="G30" s="41">
        <f t="shared" si="38"/>
        <v>0</v>
      </c>
      <c r="H30" s="41">
        <f t="shared" si="38"/>
        <v>0</v>
      </c>
      <c r="I30" s="49">
        <f t="shared" si="39"/>
        <v>0</v>
      </c>
      <c r="J30" s="49">
        <f t="shared" si="40"/>
        <v>0</v>
      </c>
      <c r="K30" s="49">
        <f t="shared" si="41"/>
        <v>0</v>
      </c>
      <c r="L30" s="49">
        <f t="shared" si="42"/>
        <v>0</v>
      </c>
      <c r="M30" s="43">
        <f t="shared" si="43"/>
        <v>0</v>
      </c>
      <c r="N30" s="43">
        <f t="shared" si="44"/>
        <v>0</v>
      </c>
      <c r="O30" s="44">
        <f t="shared" si="45"/>
        <v>0</v>
      </c>
      <c r="P30" s="44">
        <f t="shared" si="45"/>
        <v>0</v>
      </c>
      <c r="Q30" s="44">
        <f t="shared" si="45"/>
        <v>0</v>
      </c>
      <c r="R30" s="44">
        <f t="shared" si="45"/>
        <v>0</v>
      </c>
      <c r="S30" s="50"/>
      <c r="T30" s="50"/>
      <c r="U30" s="50"/>
      <c r="V30" s="50"/>
      <c r="W30" s="10"/>
      <c r="X30" s="46">
        <f t="shared" si="46"/>
        <v>0</v>
      </c>
      <c r="Y30" s="46">
        <f t="shared" si="46"/>
        <v>0</v>
      </c>
      <c r="Z30" s="46">
        <f t="shared" si="46"/>
        <v>0</v>
      </c>
      <c r="AA30" s="46">
        <f t="shared" si="46"/>
        <v>0</v>
      </c>
      <c r="AB30" s="47">
        <f t="shared" si="46"/>
        <v>0</v>
      </c>
      <c r="AC30" s="6">
        <f t="shared" si="46"/>
        <v>0</v>
      </c>
      <c r="AD30" s="47">
        <f t="shared" si="46"/>
        <v>0</v>
      </c>
      <c r="AE30" s="47">
        <f t="shared" si="46"/>
        <v>0</v>
      </c>
      <c r="AF30" s="9">
        <f t="shared" si="47"/>
        <v>0</v>
      </c>
      <c r="AG30" s="9">
        <f t="shared" si="48"/>
        <v>0</v>
      </c>
      <c r="AH30" s="9">
        <f t="shared" si="49"/>
        <v>0</v>
      </c>
      <c r="AI30" s="9">
        <f t="shared" si="50"/>
        <v>0</v>
      </c>
      <c r="AJ30" s="8" t="str">
        <f>IFERROR(AH30/AG30-1,"")</f>
        <v/>
      </c>
    </row>
    <row r="31" spans="1:36" x14ac:dyDescent="0.2">
      <c r="C31" s="4" t="s">
        <v>49</v>
      </c>
      <c r="D31" s="4" t="s">
        <v>49</v>
      </c>
      <c r="E31" s="41">
        <f t="shared" si="38"/>
        <v>8683.6670884838823</v>
      </c>
      <c r="F31" s="41">
        <f t="shared" si="38"/>
        <v>3531.783122968257</v>
      </c>
      <c r="G31" s="41">
        <f t="shared" si="38"/>
        <v>4071.3611400104924</v>
      </c>
      <c r="H31" s="41">
        <f t="shared" si="38"/>
        <v>1080.5228255051343</v>
      </c>
      <c r="I31" s="49">
        <f>E31/SUM(E$3:E$22)</f>
        <v>8.7941858304036585E-2</v>
      </c>
      <c r="J31" s="49">
        <f t="shared" si="40"/>
        <v>0.10521194586700852</v>
      </c>
      <c r="K31" s="49">
        <f t="shared" si="41"/>
        <v>0.12863698015776506</v>
      </c>
      <c r="L31" s="49">
        <f t="shared" si="42"/>
        <v>3.2230361931085284E-2</v>
      </c>
      <c r="M31" s="43">
        <f t="shared" si="43"/>
        <v>1.6074048474517755E-2</v>
      </c>
      <c r="N31" s="43">
        <f t="shared" si="44"/>
        <v>-9.4497244456461502E-2</v>
      </c>
      <c r="O31" s="44">
        <f t="shared" si="45"/>
        <v>767996757.20767879</v>
      </c>
      <c r="P31" s="44">
        <f t="shared" si="45"/>
        <v>299935415.78453481</v>
      </c>
      <c r="Q31" s="44">
        <f t="shared" si="45"/>
        <v>368087574.94130576</v>
      </c>
      <c r="R31" s="44">
        <f t="shared" si="45"/>
        <v>99973766.481838286</v>
      </c>
      <c r="S31" s="50"/>
      <c r="T31" s="50"/>
      <c r="U31" s="50"/>
      <c r="V31" s="50"/>
      <c r="W31" s="10"/>
      <c r="X31" s="46">
        <f t="shared" si="46"/>
        <v>0</v>
      </c>
      <c r="Y31" s="46">
        <f t="shared" si="46"/>
        <v>0</v>
      </c>
      <c r="Z31" s="46">
        <f t="shared" si="46"/>
        <v>0</v>
      </c>
      <c r="AA31" s="46">
        <f t="shared" si="46"/>
        <v>0</v>
      </c>
      <c r="AB31" s="47">
        <f t="shared" si="46"/>
        <v>0</v>
      </c>
      <c r="AC31" s="6">
        <f t="shared" si="46"/>
        <v>0</v>
      </c>
      <c r="AD31" s="47">
        <f t="shared" si="46"/>
        <v>0</v>
      </c>
      <c r="AE31" s="47">
        <f t="shared" si="46"/>
        <v>0</v>
      </c>
      <c r="AF31" s="9">
        <f t="shared" si="47"/>
        <v>0</v>
      </c>
      <c r="AG31" s="9">
        <f t="shared" si="48"/>
        <v>0</v>
      </c>
      <c r="AH31" s="9">
        <f t="shared" si="49"/>
        <v>0</v>
      </c>
      <c r="AI31" s="9">
        <f t="shared" si="50"/>
        <v>0</v>
      </c>
      <c r="AJ31" s="8" t="str">
        <f>IFERROR(AH31/AG31-1,"")</f>
        <v/>
      </c>
    </row>
    <row r="32" spans="1:36" x14ac:dyDescent="0.2">
      <c r="C32" s="4" t="s">
        <v>52</v>
      </c>
      <c r="D32" s="4" t="s">
        <v>53</v>
      </c>
      <c r="E32" s="41">
        <f>SUMIFS(E$3:E$22,$C$3:$C$22,$C32,$D$3:$D$22,$D32)</f>
        <v>5498.9510671018052</v>
      </c>
      <c r="F32" s="41">
        <f t="shared" si="38"/>
        <v>1.182674110990557E-6</v>
      </c>
      <c r="G32" s="41">
        <f t="shared" si="38"/>
        <v>2339.0948653274531</v>
      </c>
      <c r="H32" s="41">
        <f t="shared" si="38"/>
        <v>3159.8562005916783</v>
      </c>
      <c r="I32" s="49">
        <f t="shared" si="39"/>
        <v>5.5689373007542294E-2</v>
      </c>
      <c r="J32" s="49">
        <f t="shared" si="40"/>
        <v>3.5231904171758307E-11</v>
      </c>
      <c r="K32" s="49">
        <f t="shared" si="41"/>
        <v>7.3905038003453147E-2</v>
      </c>
      <c r="L32" s="49">
        <f t="shared" si="42"/>
        <v>9.4253732166780485E-2</v>
      </c>
      <c r="M32" s="43">
        <f t="shared" si="43"/>
        <v>6.9681719872245404E-2</v>
      </c>
      <c r="N32" s="43">
        <f t="shared" si="44"/>
        <v>2.5932423081086047E-2</v>
      </c>
      <c r="O32" s="44">
        <f t="shared" si="45"/>
        <v>515854915.70109075</v>
      </c>
      <c r="P32" s="44">
        <f t="shared" si="45"/>
        <v>0.10426561888587701</v>
      </c>
      <c r="Q32" s="44">
        <f t="shared" si="45"/>
        <v>213710830.62032294</v>
      </c>
      <c r="R32" s="44">
        <f t="shared" si="45"/>
        <v>302144084.97650224</v>
      </c>
      <c r="S32" s="54">
        <f t="shared" ref="S32:V33" si="51">IFERROR(O32/X32,0)</f>
        <v>2.3498108049695121</v>
      </c>
      <c r="T32" s="54">
        <f t="shared" si="51"/>
        <v>0</v>
      </c>
      <c r="U32" s="54">
        <f t="shared" si="51"/>
        <v>2.831996206620333</v>
      </c>
      <c r="V32" s="54">
        <f t="shared" si="51"/>
        <v>2.0972406169648408</v>
      </c>
      <c r="W32" s="48">
        <f>IFERROR(V32/U32-1,0)</f>
        <v>-0.25944794274012817</v>
      </c>
      <c r="X32" s="46">
        <f t="shared" si="46"/>
        <v>219530404.1542969</v>
      </c>
      <c r="Y32" s="46">
        <f t="shared" si="46"/>
        <v>0</v>
      </c>
      <c r="Z32" s="46">
        <f t="shared" si="46"/>
        <v>75462965</v>
      </c>
      <c r="AA32" s="46">
        <f t="shared" si="46"/>
        <v>144067439.15429688</v>
      </c>
      <c r="AB32" s="47">
        <f t="shared" si="46"/>
        <v>273279319</v>
      </c>
      <c r="AC32" s="6">
        <f t="shared" si="46"/>
        <v>0</v>
      </c>
      <c r="AD32" s="47">
        <f t="shared" si="46"/>
        <v>81890403</v>
      </c>
      <c r="AE32" s="47">
        <f t="shared" si="46"/>
        <v>191388916</v>
      </c>
      <c r="AF32" s="9">
        <f t="shared" si="47"/>
        <v>0.80331876176219874</v>
      </c>
      <c r="AG32" s="9">
        <f t="shared" si="48"/>
        <v>0</v>
      </c>
      <c r="AH32" s="9">
        <f t="shared" si="49"/>
        <v>0.92151170632290091</v>
      </c>
      <c r="AI32" s="9">
        <f t="shared" si="50"/>
        <v>0.75274703554043265</v>
      </c>
      <c r="AJ32" s="8">
        <f>IFERROR(AI32/AH32-1,0)</f>
        <v>-0.18313893315136309</v>
      </c>
    </row>
    <row r="33" spans="1:36" x14ac:dyDescent="0.2">
      <c r="C33" s="4" t="s">
        <v>52</v>
      </c>
      <c r="D33" s="4" t="s">
        <v>60</v>
      </c>
      <c r="E33" s="41">
        <f t="shared" si="38"/>
        <v>2429.6932954863041</v>
      </c>
      <c r="F33" s="41">
        <f t="shared" si="38"/>
        <v>3.5579263554623669E-7</v>
      </c>
      <c r="G33" s="41">
        <f t="shared" si="38"/>
        <v>888.59393228041449</v>
      </c>
      <c r="H33" s="41">
        <f t="shared" si="38"/>
        <v>1541.0993628500969</v>
      </c>
      <c r="I33" s="49">
        <f t="shared" si="39"/>
        <v>2.46061648076412E-2</v>
      </c>
      <c r="J33" s="49">
        <f t="shared" si="40"/>
        <v>1.0599075370038623E-11</v>
      </c>
      <c r="K33" s="49">
        <f t="shared" si="41"/>
        <v>2.8075632719423052E-2</v>
      </c>
      <c r="L33" s="49">
        <f t="shared" si="42"/>
        <v>4.5968663561737531E-2</v>
      </c>
      <c r="M33" s="43">
        <f t="shared" si="43"/>
        <v>2.6471245092997701E-2</v>
      </c>
      <c r="N33" s="43">
        <f t="shared" si="44"/>
        <v>2.0616281690208862E-2</v>
      </c>
      <c r="O33" s="44">
        <f t="shared" si="45"/>
        <v>227268683.95002526</v>
      </c>
      <c r="P33" s="44">
        <f t="shared" si="45"/>
        <v>3.1526357165191074E-2</v>
      </c>
      <c r="Q33" s="44">
        <f t="shared" si="45"/>
        <v>81191983.489212543</v>
      </c>
      <c r="R33" s="44">
        <f t="shared" si="45"/>
        <v>146076700.42928636</v>
      </c>
      <c r="S33" s="54">
        <f t="shared" si="51"/>
        <v>2.3606218363194444</v>
      </c>
      <c r="T33" s="54">
        <f t="shared" si="51"/>
        <v>0</v>
      </c>
      <c r="U33" s="54">
        <f t="shared" si="51"/>
        <v>1.2666256645363352</v>
      </c>
      <c r="V33" s="54">
        <f t="shared" si="51"/>
        <v>4.5402217700994481</v>
      </c>
      <c r="W33" s="48">
        <f t="shared" ref="W33" si="52">IFERROR(V33/U33-1,0)</f>
        <v>2.5845016386601132</v>
      </c>
      <c r="X33" s="46">
        <f t="shared" si="46"/>
        <v>96274922.333333343</v>
      </c>
      <c r="Y33" s="46">
        <f t="shared" si="46"/>
        <v>0</v>
      </c>
      <c r="Z33" s="46">
        <f t="shared" si="46"/>
        <v>64101009.28985513</v>
      </c>
      <c r="AA33" s="46">
        <f t="shared" si="46"/>
        <v>32173913.04347821</v>
      </c>
      <c r="AB33" s="47">
        <f t="shared" si="46"/>
        <v>748.00315998819997</v>
      </c>
      <c r="AC33" s="6">
        <f t="shared" si="46"/>
        <v>0</v>
      </c>
      <c r="AD33" s="47">
        <f t="shared" si="46"/>
        <v>647.15155828809998</v>
      </c>
      <c r="AE33" s="47">
        <f t="shared" si="46"/>
        <v>100.85160170009991</v>
      </c>
      <c r="AF33" s="9">
        <f t="shared" si="47"/>
        <v>128709.24547277596</v>
      </c>
      <c r="AG33" s="9">
        <f t="shared" si="48"/>
        <v>0</v>
      </c>
      <c r="AH33" s="9">
        <f t="shared" si="49"/>
        <v>99051.000447902101</v>
      </c>
      <c r="AI33" s="9">
        <f t="shared" si="50"/>
        <v>319022.3308416364</v>
      </c>
      <c r="AJ33" s="8">
        <f t="shared" ref="AJ33" si="53">IFERROR(AI33/AH33-1,0)</f>
        <v>2.2207885775917298</v>
      </c>
    </row>
    <row r="34" spans="1:36" x14ac:dyDescent="0.2">
      <c r="C34" s="4" t="s">
        <v>77</v>
      </c>
      <c r="D34" s="4" t="s">
        <v>66</v>
      </c>
      <c r="E34" s="41">
        <f t="shared" si="38"/>
        <v>0</v>
      </c>
      <c r="F34" s="41">
        <f t="shared" si="38"/>
        <v>0</v>
      </c>
      <c r="G34" s="41">
        <f t="shared" si="38"/>
        <v>0</v>
      </c>
      <c r="H34" s="41">
        <f t="shared" si="38"/>
        <v>0</v>
      </c>
      <c r="I34" s="49">
        <f t="shared" si="39"/>
        <v>0</v>
      </c>
      <c r="J34" s="49">
        <f t="shared" si="40"/>
        <v>0</v>
      </c>
      <c r="K34" s="49">
        <f t="shared" si="41"/>
        <v>0</v>
      </c>
      <c r="L34" s="49">
        <f t="shared" si="42"/>
        <v>0</v>
      </c>
      <c r="M34" s="43">
        <f t="shared" si="43"/>
        <v>0</v>
      </c>
      <c r="N34" s="43">
        <f t="shared" si="44"/>
        <v>0</v>
      </c>
      <c r="O34" s="44">
        <f t="shared" si="45"/>
        <v>0</v>
      </c>
      <c r="P34" s="44">
        <f t="shared" si="45"/>
        <v>0</v>
      </c>
      <c r="Q34" s="44">
        <f t="shared" si="45"/>
        <v>0</v>
      </c>
      <c r="R34" s="44">
        <f t="shared" si="45"/>
        <v>0</v>
      </c>
      <c r="S34" s="50"/>
      <c r="T34" s="50"/>
      <c r="U34" s="50"/>
      <c r="V34" s="50"/>
      <c r="W34" s="50"/>
      <c r="X34" s="46"/>
      <c r="Y34" s="46"/>
      <c r="Z34" s="46"/>
      <c r="AA34" s="46"/>
      <c r="AB34" s="47"/>
      <c r="AC34" s="6"/>
      <c r="AD34" s="47"/>
      <c r="AE34" s="47"/>
      <c r="AF34" s="9"/>
      <c r="AG34" s="9"/>
      <c r="AH34" s="9"/>
      <c r="AI34" s="9"/>
      <c r="AJ34" s="11"/>
    </row>
    <row r="35" spans="1:36" x14ac:dyDescent="0.2">
      <c r="C35" s="4" t="s">
        <v>69</v>
      </c>
      <c r="D35" s="4" t="s">
        <v>69</v>
      </c>
      <c r="E35" s="41">
        <f t="shared" si="38"/>
        <v>0</v>
      </c>
      <c r="F35" s="41">
        <f t="shared" si="38"/>
        <v>0</v>
      </c>
      <c r="G35" s="41">
        <f t="shared" si="38"/>
        <v>0</v>
      </c>
      <c r="H35" s="41">
        <f t="shared" si="38"/>
        <v>0</v>
      </c>
      <c r="I35" s="49">
        <f t="shared" si="39"/>
        <v>0</v>
      </c>
      <c r="J35" s="49">
        <f t="shared" si="40"/>
        <v>0</v>
      </c>
      <c r="K35" s="49">
        <f t="shared" si="41"/>
        <v>0</v>
      </c>
      <c r="L35" s="49">
        <f t="shared" si="42"/>
        <v>0</v>
      </c>
      <c r="M35" s="43">
        <f t="shared" si="43"/>
        <v>0</v>
      </c>
      <c r="N35" s="43">
        <f t="shared" si="44"/>
        <v>0</v>
      </c>
      <c r="O35" s="44">
        <f t="shared" si="45"/>
        <v>0</v>
      </c>
      <c r="P35" s="44">
        <f t="shared" si="45"/>
        <v>0</v>
      </c>
      <c r="Q35" s="44">
        <f t="shared" si="45"/>
        <v>0</v>
      </c>
      <c r="R35" s="44">
        <f t="shared" si="45"/>
        <v>0</v>
      </c>
      <c r="S35" s="50"/>
      <c r="T35" s="50"/>
      <c r="U35" s="50"/>
      <c r="V35" s="50"/>
      <c r="W35" s="50"/>
      <c r="X35" s="46"/>
      <c r="Y35" s="46"/>
      <c r="Z35" s="46"/>
      <c r="AA35" s="46"/>
      <c r="AB35" s="47"/>
      <c r="AC35" s="6"/>
      <c r="AD35" s="47"/>
      <c r="AE35" s="47"/>
      <c r="AF35" s="9"/>
      <c r="AG35" s="9"/>
      <c r="AH35" s="9"/>
      <c r="AI35" s="9"/>
      <c r="AJ35" s="11"/>
    </row>
    <row r="36" spans="1:36" x14ac:dyDescent="0.2">
      <c r="C36" s="4"/>
      <c r="D36" s="4"/>
      <c r="E36" s="41"/>
      <c r="F36" s="41"/>
      <c r="G36" s="41"/>
      <c r="H36" s="41"/>
      <c r="I36" s="49"/>
      <c r="J36" s="49"/>
      <c r="K36" s="49"/>
      <c r="L36" s="49"/>
      <c r="M36" s="43"/>
      <c r="N36" s="43"/>
      <c r="O36" s="44"/>
      <c r="P36" s="44"/>
      <c r="Q36" s="44"/>
      <c r="R36" s="44"/>
      <c r="S36" s="50"/>
      <c r="T36" s="50"/>
      <c r="U36" s="50"/>
      <c r="V36" s="50"/>
      <c r="W36" s="50"/>
      <c r="X36" s="46"/>
      <c r="Y36" s="46"/>
      <c r="Z36" s="46"/>
      <c r="AA36" s="46"/>
      <c r="AB36" s="47"/>
      <c r="AC36" s="6"/>
      <c r="AD36" s="47"/>
      <c r="AE36" s="47"/>
      <c r="AF36" s="9"/>
      <c r="AG36" s="9"/>
      <c r="AH36" s="9"/>
      <c r="AI36" s="9"/>
      <c r="AJ36" s="11"/>
    </row>
    <row r="37" spans="1:36" x14ac:dyDescent="0.2">
      <c r="E37" s="51"/>
      <c r="F37" s="51"/>
    </row>
    <row r="38" spans="1:36" ht="27" customHeight="1" x14ac:dyDescent="0.2">
      <c r="E38" s="239" t="s">
        <v>21</v>
      </c>
      <c r="F38" s="239"/>
      <c r="G38" s="239"/>
      <c r="H38" s="239"/>
      <c r="I38" s="228" t="s">
        <v>22</v>
      </c>
      <c r="J38" s="229"/>
      <c r="K38" s="229"/>
      <c r="L38" s="230"/>
      <c r="M38" s="231" t="s">
        <v>23</v>
      </c>
      <c r="N38" s="232"/>
      <c r="O38" s="233" t="s">
        <v>24</v>
      </c>
      <c r="P38" s="234"/>
      <c r="Q38" s="234"/>
      <c r="R38" s="235"/>
      <c r="S38" s="236" t="s">
        <v>25</v>
      </c>
      <c r="T38" s="237"/>
      <c r="U38" s="237"/>
      <c r="V38" s="237"/>
      <c r="W38" s="238"/>
      <c r="X38" s="216" t="s">
        <v>26</v>
      </c>
      <c r="Y38" s="217"/>
      <c r="Z38" s="217"/>
      <c r="AA38" s="218"/>
      <c r="AB38" s="219" t="s">
        <v>27</v>
      </c>
      <c r="AC38" s="220"/>
      <c r="AD38" s="220"/>
      <c r="AE38" s="221"/>
      <c r="AF38" s="222" t="s">
        <v>28</v>
      </c>
      <c r="AG38" s="223"/>
      <c r="AH38" s="223"/>
      <c r="AI38" s="223"/>
      <c r="AJ38" s="224"/>
    </row>
    <row r="39" spans="1:36" s="32" customFormat="1" ht="24.75" customHeight="1" x14ac:dyDescent="0.25">
      <c r="C39" s="12" t="s">
        <v>30</v>
      </c>
      <c r="D39" s="38"/>
      <c r="E39" s="13" t="s">
        <v>32</v>
      </c>
      <c r="F39" s="13" t="s">
        <v>11</v>
      </c>
      <c r="G39" s="13" t="s">
        <v>15</v>
      </c>
      <c r="H39" s="13" t="s">
        <v>17</v>
      </c>
      <c r="I39" s="14" t="s">
        <v>32</v>
      </c>
      <c r="J39" s="14" t="s">
        <v>11</v>
      </c>
      <c r="K39" s="14" t="s">
        <v>15</v>
      </c>
      <c r="L39" s="14" t="s">
        <v>17</v>
      </c>
      <c r="M39" s="15" t="s">
        <v>33</v>
      </c>
      <c r="N39" s="15" t="s">
        <v>34</v>
      </c>
      <c r="O39" s="16" t="s">
        <v>32</v>
      </c>
      <c r="P39" s="16" t="s">
        <v>11</v>
      </c>
      <c r="Q39" s="16" t="s">
        <v>15</v>
      </c>
      <c r="R39" s="16" t="s">
        <v>17</v>
      </c>
      <c r="S39" s="17" t="s">
        <v>32</v>
      </c>
      <c r="T39" s="17" t="s">
        <v>11</v>
      </c>
      <c r="U39" s="17" t="s">
        <v>15</v>
      </c>
      <c r="V39" s="17" t="s">
        <v>17</v>
      </c>
      <c r="W39" s="17" t="s">
        <v>35</v>
      </c>
      <c r="X39" s="18" t="s">
        <v>32</v>
      </c>
      <c r="Y39" s="18" t="s">
        <v>11</v>
      </c>
      <c r="Z39" s="18" t="s">
        <v>15</v>
      </c>
      <c r="AA39" s="18" t="s">
        <v>17</v>
      </c>
      <c r="AB39" s="19" t="s">
        <v>32</v>
      </c>
      <c r="AC39" s="19" t="s">
        <v>11</v>
      </c>
      <c r="AD39" s="19" t="s">
        <v>15</v>
      </c>
      <c r="AE39" s="19" t="s">
        <v>17</v>
      </c>
      <c r="AF39" s="20" t="s">
        <v>32</v>
      </c>
      <c r="AG39" s="20" t="s">
        <v>11</v>
      </c>
      <c r="AH39" s="20" t="s">
        <v>15</v>
      </c>
      <c r="AI39" s="20" t="s">
        <v>17</v>
      </c>
      <c r="AJ39" s="20" t="s">
        <v>35</v>
      </c>
    </row>
    <row r="40" spans="1:36" x14ac:dyDescent="0.2">
      <c r="C40" s="1" t="s">
        <v>4</v>
      </c>
      <c r="D40" s="4"/>
      <c r="E40" s="41">
        <f>SUMIFS(E$3:E$22,$C$3:$C$22,$C40)</f>
        <v>88765.075171080287</v>
      </c>
      <c r="F40" s="41">
        <f t="shared" ref="E40:H48" si="54">SUMIFS(F$3:F$22,$C$3:$C$22,$C40)</f>
        <v>29452.634512758203</v>
      </c>
      <c r="G40" s="41">
        <f t="shared" si="54"/>
        <v>29748.318116962429</v>
      </c>
      <c r="H40" s="41">
        <f t="shared" si="54"/>
        <v>29564.122541359648</v>
      </c>
      <c r="I40" s="49">
        <f>E40/SUM(E$3:E$22)</f>
        <v>0.89894805771569597</v>
      </c>
      <c r="J40" s="49">
        <f t="shared" ref="I40:L46" si="55">F40/SUM(F$3:F$22)</f>
        <v>0.87739503817345643</v>
      </c>
      <c r="K40" s="49">
        <f t="shared" si="55"/>
        <v>0.93991509859739863</v>
      </c>
      <c r="L40" s="49">
        <f t="shared" si="55"/>
        <v>0.88185306889516568</v>
      </c>
      <c r="M40" s="43">
        <f>(G40-F40)/SUM($F$3:$F$22)</f>
        <v>8.8084251711218944E-3</v>
      </c>
      <c r="N40" s="43">
        <f t="shared" ref="N40:N46" si="56">(H40-G40)/SUM($G$3:$G$22)</f>
        <v>-5.8197643955264821E-3</v>
      </c>
      <c r="O40" s="44">
        <f t="shared" ref="O40:R48" si="57">SUMIFS(O$3:O$22,$C$3:$C$22,$C40)</f>
        <v>8170996975.953968</v>
      </c>
      <c r="P40" s="44">
        <f t="shared" si="57"/>
        <v>2599195796.2044916</v>
      </c>
      <c r="Q40" s="44">
        <f t="shared" si="57"/>
        <v>2754183065.7545924</v>
      </c>
      <c r="R40" s="44">
        <f t="shared" si="57"/>
        <v>2817618113.994884</v>
      </c>
      <c r="S40" s="50"/>
      <c r="T40" s="50"/>
      <c r="U40" s="50"/>
      <c r="V40" s="50"/>
      <c r="W40" s="50"/>
      <c r="X40" s="46"/>
      <c r="Y40" s="46"/>
      <c r="Z40" s="46"/>
      <c r="AA40" s="46"/>
      <c r="AB40" s="47"/>
      <c r="AC40" s="6"/>
      <c r="AD40" s="47"/>
      <c r="AE40" s="47"/>
      <c r="AF40" s="9"/>
      <c r="AG40" s="9"/>
      <c r="AH40" s="9"/>
      <c r="AI40" s="9"/>
      <c r="AJ40" s="11"/>
    </row>
    <row r="41" spans="1:36" x14ac:dyDescent="0.2">
      <c r="C41" s="1" t="s">
        <v>37</v>
      </c>
      <c r="D41" s="4"/>
      <c r="E41" s="41">
        <f t="shared" si="54"/>
        <v>-11484.703142161365</v>
      </c>
      <c r="F41" s="41">
        <f t="shared" si="54"/>
        <v>-2409.3376490032847</v>
      </c>
      <c r="G41" s="41">
        <f t="shared" si="54"/>
        <v>-6205.798021868437</v>
      </c>
      <c r="H41" s="41">
        <f t="shared" si="54"/>
        <v>-2869.5674712896448</v>
      </c>
      <c r="I41" s="49">
        <f t="shared" si="55"/>
        <v>-0.11630871221805626</v>
      </c>
      <c r="J41" s="49">
        <f t="shared" si="55"/>
        <v>-7.1774254951769159E-2</v>
      </c>
      <c r="K41" s="49">
        <f t="shared" si="55"/>
        <v>-0.19607573230414302</v>
      </c>
      <c r="L41" s="49">
        <f t="shared" si="55"/>
        <v>-8.5594858342855948E-2</v>
      </c>
      <c r="M41" s="43">
        <f>(G41-F41)/SUM($F$3:$F$22)</f>
        <v>-0.11309669063156724</v>
      </c>
      <c r="N41" s="43">
        <f t="shared" si="56"/>
        <v>0.10541010939045012</v>
      </c>
      <c r="O41" s="44">
        <f t="shared" si="57"/>
        <v>-1053807971.3128221</v>
      </c>
      <c r="P41" s="44">
        <f t="shared" si="57"/>
        <v>-206791228.06856519</v>
      </c>
      <c r="Q41" s="44">
        <f t="shared" si="57"/>
        <v>-574411817.16012037</v>
      </c>
      <c r="R41" s="44">
        <f t="shared" si="57"/>
        <v>-272604926.08413661</v>
      </c>
      <c r="S41" s="50"/>
      <c r="T41" s="50"/>
      <c r="U41" s="50"/>
      <c r="V41" s="50"/>
      <c r="W41" s="50"/>
      <c r="X41" s="46"/>
      <c r="Y41" s="46"/>
      <c r="Z41" s="46"/>
      <c r="AA41" s="46"/>
      <c r="AB41" s="47"/>
      <c r="AC41" s="6"/>
      <c r="AD41" s="47"/>
      <c r="AE41" s="47"/>
      <c r="AF41" s="9"/>
      <c r="AG41" s="9"/>
      <c r="AH41" s="9"/>
      <c r="AI41" s="9"/>
      <c r="AJ41" s="11"/>
    </row>
    <row r="42" spans="1:36" x14ac:dyDescent="0.2">
      <c r="C42" s="1" t="s">
        <v>40</v>
      </c>
      <c r="D42" s="4"/>
      <c r="E42" s="41">
        <f t="shared" si="54"/>
        <v>8556.7858286021201</v>
      </c>
      <c r="F42" s="41">
        <f t="shared" si="54"/>
        <v>1026.7715010345821</v>
      </c>
      <c r="G42" s="41">
        <f t="shared" si="54"/>
        <v>3222.3832940866337</v>
      </c>
      <c r="H42" s="41">
        <f t="shared" si="54"/>
        <v>4307.6310334809041</v>
      </c>
      <c r="I42" s="49">
        <f t="shared" si="55"/>
        <v>8.6656897277288175E-2</v>
      </c>
      <c r="J42" s="49">
        <f t="shared" si="55"/>
        <v>3.058755983120668E-2</v>
      </c>
      <c r="K42" s="49">
        <f t="shared" si="55"/>
        <v>0.1018130403094302</v>
      </c>
      <c r="L42" s="49">
        <f t="shared" si="55"/>
        <v>0.12849011978044955</v>
      </c>
      <c r="M42" s="43">
        <f t="shared" ref="M42:M46" si="58">(G42-F42)/SUM($F$3:$F$22)</f>
        <v>6.5407354039738463E-2</v>
      </c>
      <c r="N42" s="43">
        <f t="shared" si="56"/>
        <v>3.4289022053779386E-2</v>
      </c>
      <c r="O42" s="44">
        <f t="shared" si="57"/>
        <v>802165794.86228251</v>
      </c>
      <c r="P42" s="44">
        <f t="shared" si="57"/>
        <v>92837964.152270615</v>
      </c>
      <c r="Q42" s="44">
        <f t="shared" si="57"/>
        <v>298309933.76465702</v>
      </c>
      <c r="R42" s="44">
        <f t="shared" si="57"/>
        <v>411017896.94535494</v>
      </c>
      <c r="S42" s="50"/>
      <c r="T42" s="50"/>
      <c r="U42" s="50"/>
      <c r="V42" s="50"/>
      <c r="W42" s="50"/>
      <c r="X42" s="46"/>
      <c r="Y42" s="46"/>
      <c r="Z42" s="46"/>
      <c r="AA42" s="46"/>
      <c r="AB42" s="47"/>
      <c r="AC42" s="6"/>
      <c r="AD42" s="47"/>
      <c r="AE42" s="47"/>
      <c r="AF42" s="9"/>
      <c r="AG42" s="9"/>
      <c r="AH42" s="9"/>
      <c r="AI42" s="9"/>
      <c r="AJ42" s="11"/>
    </row>
    <row r="43" spans="1:36" x14ac:dyDescent="0.2">
      <c r="C43" s="1" t="s">
        <v>42</v>
      </c>
      <c r="D43" s="4"/>
      <c r="E43" s="41">
        <f t="shared" si="54"/>
        <v>9366.0520085198077</v>
      </c>
      <c r="F43" s="41">
        <f t="shared" si="54"/>
        <v>3370.9158686525466</v>
      </c>
      <c r="G43" s="41">
        <f t="shared" si="54"/>
        <v>1964.036775815443</v>
      </c>
      <c r="H43" s="41">
        <f t="shared" si="54"/>
        <v>4031.0993640518163</v>
      </c>
      <c r="I43" s="49">
        <f t="shared" si="55"/>
        <v>9.4852555977626013E-2</v>
      </c>
      <c r="J43" s="49">
        <f t="shared" si="55"/>
        <v>0.10041970459297066</v>
      </c>
      <c r="K43" s="49">
        <f t="shared" si="55"/>
        <v>6.2054863489471958E-2</v>
      </c>
      <c r="L43" s="49">
        <f t="shared" si="55"/>
        <v>0.12024159824927308</v>
      </c>
      <c r="M43" s="43">
        <f t="shared" si="58"/>
        <v>-4.1910978619944486E-2</v>
      </c>
      <c r="N43" s="43">
        <f t="shared" si="56"/>
        <v>6.5310022865506745E-2</v>
      </c>
      <c r="O43" s="44">
        <f t="shared" si="57"/>
        <v>865800077.69149089</v>
      </c>
      <c r="P43" s="44">
        <f t="shared" si="57"/>
        <v>299095290.07234269</v>
      </c>
      <c r="Q43" s="44">
        <f t="shared" si="57"/>
        <v>181141133.62191254</v>
      </c>
      <c r="R43" s="44">
        <f t="shared" si="57"/>
        <v>385563653.99723583</v>
      </c>
      <c r="S43" s="50"/>
      <c r="T43" s="50"/>
      <c r="U43" s="50"/>
      <c r="V43" s="50"/>
      <c r="W43" s="50"/>
      <c r="X43" s="46"/>
      <c r="Y43" s="46"/>
      <c r="Z43" s="46"/>
      <c r="AA43" s="46"/>
      <c r="AB43" s="47"/>
      <c r="AC43" s="6"/>
      <c r="AD43" s="47"/>
      <c r="AE43" s="47"/>
      <c r="AF43" s="9"/>
      <c r="AG43" s="9"/>
      <c r="AH43" s="9"/>
      <c r="AI43" s="9"/>
      <c r="AJ43" s="11"/>
    </row>
    <row r="44" spans="1:36" x14ac:dyDescent="0.2">
      <c r="C44" s="1" t="s">
        <v>45</v>
      </c>
      <c r="D44" s="4"/>
      <c r="E44" s="41">
        <f t="shared" si="54"/>
        <v>-4392.7023547627095</v>
      </c>
      <c r="F44" s="41">
        <f t="shared" si="54"/>
        <v>-948.99475838486524</v>
      </c>
      <c r="G44" s="41">
        <f t="shared" si="54"/>
        <v>-911.16152727894439</v>
      </c>
      <c r="H44" s="41">
        <f t="shared" si="54"/>
        <v>-2532.5460690988998</v>
      </c>
      <c r="I44" s="49">
        <f t="shared" si="55"/>
        <v>-4.4486091430964353E-2</v>
      </c>
      <c r="J44" s="49">
        <f t="shared" si="55"/>
        <v>-2.8270587878949063E-2</v>
      </c>
      <c r="K44" s="49">
        <f t="shared" si="55"/>
        <v>-2.8788668770562176E-2</v>
      </c>
      <c r="L44" s="49">
        <f t="shared" si="55"/>
        <v>-7.5542019555251874E-2</v>
      </c>
      <c r="M44" s="43">
        <f t="shared" si="58"/>
        <v>1.1270533111740969E-3</v>
      </c>
      <c r="N44" s="43">
        <f t="shared" si="56"/>
        <v>-5.1228570485806396E-2</v>
      </c>
      <c r="O44" s="44">
        <f t="shared" si="57"/>
        <v>-410148271.69714272</v>
      </c>
      <c r="P44" s="44">
        <f t="shared" si="57"/>
        <v>-84294845.629626364</v>
      </c>
      <c r="Q44" s="44">
        <f t="shared" si="57"/>
        <v>-84417542.794200331</v>
      </c>
      <c r="R44" s="44">
        <f t="shared" si="57"/>
        <v>-241435883.27331597</v>
      </c>
      <c r="S44" s="50"/>
      <c r="T44" s="50"/>
      <c r="U44" s="50"/>
      <c r="V44" s="50"/>
      <c r="W44" s="50"/>
      <c r="X44" s="46"/>
      <c r="Y44" s="46"/>
      <c r="Z44" s="46"/>
      <c r="AA44" s="46"/>
      <c r="AB44" s="47"/>
      <c r="AC44" s="6"/>
      <c r="AD44" s="47"/>
      <c r="AE44" s="47"/>
      <c r="AF44" s="95"/>
      <c r="AG44" s="95"/>
      <c r="AH44" s="95"/>
      <c r="AI44" s="95"/>
      <c r="AJ44" s="11"/>
    </row>
    <row r="45" spans="1:36" x14ac:dyDescent="0.2">
      <c r="A45" s="35"/>
      <c r="C45" s="1" t="s">
        <v>49</v>
      </c>
      <c r="D45" s="4"/>
      <c r="E45" s="41">
        <f t="shared" si="54"/>
        <v>8683.6670884838823</v>
      </c>
      <c r="F45" s="41">
        <f t="shared" si="54"/>
        <v>3531.783122968257</v>
      </c>
      <c r="G45" s="41">
        <f t="shared" si="54"/>
        <v>4071.3611400104924</v>
      </c>
      <c r="H45" s="41">
        <f t="shared" si="54"/>
        <v>1080.5228255051343</v>
      </c>
      <c r="I45" s="49">
        <f t="shared" si="55"/>
        <v>8.7941858304036585E-2</v>
      </c>
      <c r="J45" s="49">
        <f t="shared" si="55"/>
        <v>0.10521194586700852</v>
      </c>
      <c r="K45" s="49">
        <f t="shared" si="55"/>
        <v>0.12863698015776506</v>
      </c>
      <c r="L45" s="49">
        <f t="shared" si="55"/>
        <v>3.2230361931085284E-2</v>
      </c>
      <c r="M45" s="43">
        <f t="shared" si="58"/>
        <v>1.6074048474517755E-2</v>
      </c>
      <c r="N45" s="43">
        <f t="shared" si="56"/>
        <v>-9.4497244456461502E-2</v>
      </c>
      <c r="O45" s="44">
        <f t="shared" si="57"/>
        <v>767996757.20767879</v>
      </c>
      <c r="P45" s="44">
        <f t="shared" si="57"/>
        <v>299935415.78453481</v>
      </c>
      <c r="Q45" s="44">
        <f t="shared" si="57"/>
        <v>368087574.94130576</v>
      </c>
      <c r="R45" s="44">
        <f t="shared" si="57"/>
        <v>99973766.481838286</v>
      </c>
      <c r="S45" s="50"/>
      <c r="T45" s="50"/>
      <c r="U45" s="50"/>
      <c r="V45" s="50"/>
      <c r="W45" s="50"/>
      <c r="X45" s="46"/>
      <c r="Y45" s="46"/>
      <c r="Z45" s="46"/>
      <c r="AA45" s="46"/>
      <c r="AB45" s="47"/>
      <c r="AC45" s="6"/>
      <c r="AD45" s="47"/>
      <c r="AE45" s="47"/>
      <c r="AF45" s="95"/>
      <c r="AG45" s="95"/>
      <c r="AH45" s="95"/>
      <c r="AI45" s="95"/>
      <c r="AJ45" s="11"/>
    </row>
    <row r="46" spans="1:36" x14ac:dyDescent="0.2">
      <c r="A46" s="35"/>
      <c r="C46" s="1" t="s">
        <v>52</v>
      </c>
      <c r="D46" s="4"/>
      <c r="E46" s="41">
        <f t="shared" si="54"/>
        <v>7928.6443625881093</v>
      </c>
      <c r="F46" s="41">
        <f t="shared" si="54"/>
        <v>1.5384667465367936E-6</v>
      </c>
      <c r="G46" s="41">
        <f t="shared" si="54"/>
        <v>3227.6887976078679</v>
      </c>
      <c r="H46" s="41">
        <f t="shared" si="54"/>
        <v>4700.9555634417748</v>
      </c>
      <c r="I46" s="49">
        <f t="shared" si="55"/>
        <v>8.029553781518349E-2</v>
      </c>
      <c r="J46" s="49">
        <f t="shared" si="55"/>
        <v>4.5830979541796924E-11</v>
      </c>
      <c r="K46" s="49">
        <f t="shared" si="55"/>
        <v>0.1019806707228762</v>
      </c>
      <c r="L46" s="49">
        <f t="shared" si="55"/>
        <v>0.140222395728518</v>
      </c>
      <c r="M46" s="43">
        <f t="shared" si="58"/>
        <v>9.6152964965243115E-2</v>
      </c>
      <c r="N46" s="43">
        <f t="shared" si="56"/>
        <v>4.6548704771294885E-2</v>
      </c>
      <c r="O46" s="44">
        <f t="shared" si="57"/>
        <v>743123599.65111601</v>
      </c>
      <c r="P46" s="44">
        <f t="shared" si="57"/>
        <v>0.1357919760510681</v>
      </c>
      <c r="Q46" s="44">
        <f t="shared" si="57"/>
        <v>294902814.10953546</v>
      </c>
      <c r="R46" s="44">
        <f t="shared" si="57"/>
        <v>448220785.4057886</v>
      </c>
      <c r="S46" s="54">
        <f t="shared" ref="S46" si="59">IFERROR(O46/X46,0)</f>
        <v>2.353106604996491</v>
      </c>
      <c r="T46" s="54">
        <f t="shared" ref="T46" si="60">IFERROR(P46/Y46,0)</f>
        <v>0</v>
      </c>
      <c r="U46" s="54">
        <f t="shared" ref="U46" si="61">IFERROR(Q46/Z46,0)</f>
        <v>2.113029638272288</v>
      </c>
      <c r="V46" s="54">
        <f t="shared" ref="V46" si="62">IFERROR(R46/AA46,0)</f>
        <v>2.5432214393294186</v>
      </c>
      <c r="W46" s="48">
        <f t="shared" ref="W46" si="63">IFERROR(V46,U46-1)</f>
        <v>2.5432214393294186</v>
      </c>
      <c r="X46" s="46">
        <f t="shared" ref="X46" si="64">SUMIFS(X$3:X$22,$C$3:$C$22,$C46)</f>
        <v>315805326.48763025</v>
      </c>
      <c r="Y46" s="46">
        <f t="shared" ref="Y46:AE46" si="65">SUMIFS(Y$3:Y$22,$C$3:$C$22,$C46)</f>
        <v>0</v>
      </c>
      <c r="Z46" s="46">
        <f t="shared" si="65"/>
        <v>139563974.28985512</v>
      </c>
      <c r="AA46" s="46">
        <f t="shared" si="65"/>
        <v>176241352.1977751</v>
      </c>
      <c r="AB46" s="47">
        <f t="shared" si="65"/>
        <v>273280067.00316</v>
      </c>
      <c r="AC46" s="6">
        <f t="shared" si="65"/>
        <v>0</v>
      </c>
      <c r="AD46" s="47">
        <f t="shared" si="65"/>
        <v>81891050.15155828</v>
      </c>
      <c r="AE46" s="47">
        <f t="shared" si="65"/>
        <v>191389016.85160169</v>
      </c>
      <c r="AF46" s="95">
        <f t="shared" ref="AF46" si="66">IFERROR(X46/AB46,0)</f>
        <v>1.1556105425134373</v>
      </c>
      <c r="AG46" s="95">
        <f t="shared" ref="AG46" si="67">IFERROR(Y46/AC46,0)</f>
        <v>0</v>
      </c>
      <c r="AH46" s="95">
        <f t="shared" ref="AH46" si="68">IFERROR(Z46/AD46,0)</f>
        <v>1.7042640683146668</v>
      </c>
      <c r="AI46" s="95">
        <f t="shared" ref="AI46" si="69">IFERROR(AA46/AE46,0)</f>
        <v>0.92085405472576454</v>
      </c>
      <c r="AJ46" s="11">
        <f t="shared" ref="AJ46" si="70">IFERROR(AI46,AH46-1)</f>
        <v>0.92085405472576454</v>
      </c>
    </row>
    <row r="47" spans="1:36" x14ac:dyDescent="0.2">
      <c r="C47" s="1" t="s">
        <v>65</v>
      </c>
      <c r="D47" s="4"/>
      <c r="E47" s="41">
        <f t="shared" si="54"/>
        <v>-2484.2790930388537</v>
      </c>
      <c r="F47" s="41">
        <f t="shared" si="54"/>
        <v>-552.81996685788795</v>
      </c>
      <c r="G47" s="41">
        <f t="shared" si="54"/>
        <v>-760.90257648275633</v>
      </c>
      <c r="H47" s="41">
        <f t="shared" si="54"/>
        <v>-1170.5565496982097</v>
      </c>
      <c r="I47" s="49">
        <f t="shared" ref="I47:I48" si="71">E47/SUM(E$3:E$22)</f>
        <v>-2.5158970025167943E-2</v>
      </c>
      <c r="J47" s="49">
        <f t="shared" ref="J47:J48" si="72">F47/SUM(F$3:F$22)</f>
        <v>-1.6468526634322533E-2</v>
      </c>
      <c r="K47" s="49">
        <f t="shared" ref="K47:K48" si="73">G47/SUM(G$3:G$22)</f>
        <v>-2.4041151415212552E-2</v>
      </c>
      <c r="L47" s="49">
        <f t="shared" ref="L47:L48" si="74">H47/SUM(H$3:H$22)</f>
        <v>-3.4915931775840535E-2</v>
      </c>
      <c r="M47" s="43">
        <f t="shared" ref="M47:M48" si="75">(G47-F47)/SUM($F$3:$F$22)</f>
        <v>-6.1987884016269723E-3</v>
      </c>
      <c r="N47" s="43">
        <f t="shared" ref="N47:N48" si="76">(H47-G47)/SUM($G$3:$G$22)</f>
        <v>-1.2943251215471907E-2</v>
      </c>
      <c r="O47" s="44">
        <f t="shared" si="57"/>
        <v>-229403670.3881458</v>
      </c>
      <c r="P47" s="44">
        <f t="shared" si="57"/>
        <v>-48310261.115625516</v>
      </c>
      <c r="Q47" s="44">
        <f t="shared" si="57"/>
        <v>-69475882.661112815</v>
      </c>
      <c r="R47" s="44">
        <f t="shared" si="57"/>
        <v>-111617526.6114075</v>
      </c>
      <c r="S47" s="50"/>
      <c r="T47" s="50"/>
      <c r="U47" s="50"/>
      <c r="V47" s="50"/>
      <c r="W47" s="50"/>
      <c r="X47" s="46"/>
      <c r="Y47" s="46"/>
      <c r="Z47" s="46"/>
      <c r="AA47" s="46"/>
      <c r="AB47" s="47"/>
      <c r="AC47" s="6"/>
      <c r="AD47" s="47"/>
      <c r="AE47" s="47"/>
      <c r="AF47" s="9"/>
      <c r="AG47" s="9"/>
      <c r="AH47" s="9"/>
      <c r="AI47" s="9"/>
      <c r="AJ47" s="11"/>
    </row>
    <row r="48" spans="1:36" x14ac:dyDescent="0.2">
      <c r="C48" s="1" t="s">
        <v>68</v>
      </c>
      <c r="D48" s="4"/>
      <c r="E48" s="41">
        <f t="shared" si="54"/>
        <v>-6195.2649835076063</v>
      </c>
      <c r="F48" s="41">
        <f t="shared" si="54"/>
        <v>97.318478186184166</v>
      </c>
      <c r="G48" s="41">
        <f t="shared" si="54"/>
        <v>-2705.9204171201177</v>
      </c>
      <c r="H48" s="41">
        <f t="shared" si="54"/>
        <v>-3586.6630445736732</v>
      </c>
      <c r="I48" s="49">
        <f t="shared" si="71"/>
        <v>-6.2741133415641845E-2</v>
      </c>
      <c r="J48" s="49">
        <f t="shared" si="72"/>
        <v>2.8991209545673126E-3</v>
      </c>
      <c r="K48" s="49">
        <f t="shared" si="73"/>
        <v>-8.5495100787024492E-2</v>
      </c>
      <c r="L48" s="49">
        <f t="shared" si="74"/>
        <v>-0.10698473491054306</v>
      </c>
      <c r="M48" s="43">
        <f t="shared" si="75"/>
        <v>-8.350858720265486E-2</v>
      </c>
      <c r="N48" s="43">
        <f t="shared" si="76"/>
        <v>-2.7827566259953279E-2</v>
      </c>
      <c r="O48" s="44">
        <f t="shared" si="57"/>
        <v>-592029999.61216116</v>
      </c>
      <c r="P48" s="44">
        <f t="shared" si="57"/>
        <v>9414412.9567449763</v>
      </c>
      <c r="Q48" s="44">
        <f t="shared" si="57"/>
        <v>-260518716.69066936</v>
      </c>
      <c r="R48" s="44">
        <f t="shared" si="57"/>
        <v>-340925695.87823689</v>
      </c>
      <c r="S48" s="50"/>
      <c r="T48" s="50"/>
      <c r="U48" s="50"/>
      <c r="V48" s="50"/>
      <c r="W48" s="50"/>
      <c r="X48" s="46"/>
      <c r="Y48" s="46"/>
      <c r="Z48" s="46"/>
      <c r="AA48" s="46"/>
      <c r="AB48" s="47"/>
      <c r="AC48" s="6"/>
      <c r="AD48" s="47"/>
      <c r="AE48" s="47"/>
      <c r="AF48" s="9"/>
      <c r="AG48" s="9"/>
      <c r="AH48" s="9"/>
      <c r="AI48" s="9"/>
      <c r="AJ48" s="11"/>
    </row>
    <row r="49" spans="3:8" x14ac:dyDescent="0.2">
      <c r="E49" s="1"/>
      <c r="F49" s="1"/>
      <c r="G49" s="1"/>
      <c r="H49" s="1"/>
    </row>
    <row r="50" spans="3:8" x14ac:dyDescent="0.2">
      <c r="E50" s="1"/>
      <c r="F50" s="1"/>
      <c r="G50" s="1"/>
      <c r="H50" s="133"/>
    </row>
    <row r="51" spans="3:8" x14ac:dyDescent="0.2">
      <c r="E51" s="1"/>
      <c r="F51" s="1"/>
      <c r="G51" s="1"/>
      <c r="H51" s="1"/>
    </row>
    <row r="52" spans="3:8" x14ac:dyDescent="0.2">
      <c r="E52" s="1"/>
      <c r="F52" s="1"/>
      <c r="G52" s="1"/>
      <c r="H52" s="1"/>
    </row>
    <row r="60" spans="3:8" ht="15" x14ac:dyDescent="0.25">
      <c r="C60"/>
    </row>
    <row r="61" spans="3:8" ht="15" x14ac:dyDescent="0.25">
      <c r="C61"/>
    </row>
    <row r="62" spans="3:8" ht="15" x14ac:dyDescent="0.25">
      <c r="C62"/>
    </row>
    <row r="63" spans="3:8" ht="15" x14ac:dyDescent="0.25">
      <c r="C63"/>
    </row>
    <row r="64" spans="3:8" ht="15" x14ac:dyDescent="0.25">
      <c r="C64"/>
    </row>
    <row r="65" spans="3:3" ht="15" x14ac:dyDescent="0.25">
      <c r="C65"/>
    </row>
    <row r="66" spans="3:3" ht="15" x14ac:dyDescent="0.25">
      <c r="C66"/>
    </row>
    <row r="67" spans="3:3" ht="15" x14ac:dyDescent="0.25">
      <c r="C67"/>
    </row>
  </sheetData>
  <dataConsolidate/>
  <mergeCells count="24">
    <mergeCell ref="X38:AA38"/>
    <mergeCell ref="AB38:AE38"/>
    <mergeCell ref="AF38:AJ38"/>
    <mergeCell ref="X26:AA26"/>
    <mergeCell ref="AB26:AE26"/>
    <mergeCell ref="AF26:AJ26"/>
    <mergeCell ref="E38:H38"/>
    <mergeCell ref="I38:L38"/>
    <mergeCell ref="M38:N38"/>
    <mergeCell ref="O38:R38"/>
    <mergeCell ref="S38:W38"/>
    <mergeCell ref="X1:AA1"/>
    <mergeCell ref="AB1:AE1"/>
    <mergeCell ref="AF1:AJ1"/>
    <mergeCell ref="E26:H26"/>
    <mergeCell ref="I26:L26"/>
    <mergeCell ref="M26:N26"/>
    <mergeCell ref="O26:R26"/>
    <mergeCell ref="S26:W26"/>
    <mergeCell ref="E1:H1"/>
    <mergeCell ref="I1:L1"/>
    <mergeCell ref="M1:N1"/>
    <mergeCell ref="O1:R1"/>
    <mergeCell ref="S1:W1"/>
  </mergeCells>
  <phoneticPr fontId="5" type="noConversion"/>
  <conditionalFormatting sqref="S9:W13">
    <cfRule type="cellIs" dxfId="34" priority="7" operator="lessThan">
      <formula>5</formula>
    </cfRule>
  </conditionalFormatting>
  <conditionalFormatting sqref="S32:W33">
    <cfRule type="cellIs" dxfId="33" priority="15" operator="lessThan">
      <formula>5</formula>
    </cfRule>
  </conditionalFormatting>
  <conditionalFormatting sqref="S46:W46">
    <cfRule type="cellIs" dxfId="32" priority="10" operator="lessThan">
      <formula>5</formula>
    </cfRule>
  </conditionalFormatting>
  <conditionalFormatting sqref="W7">
    <cfRule type="cellIs" dxfId="31" priority="13" operator="lessThan">
      <formula>5</formula>
    </cfRule>
  </conditionalFormatting>
  <conditionalFormatting sqref="AM9:AM1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{21447417-EA8D-4240-A70F-8A297A254161}</x14:id>
        </ext>
      </extLst>
    </cfRule>
  </conditionalFormatting>
  <conditionalFormatting sqref="AO9:AO13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{9F3D47B2-53E7-4CCE-BCF1-175E5E04F0F5}</x14:id>
        </ext>
      </extLst>
    </cfRule>
  </conditionalFormatting>
  <conditionalFormatting sqref="AP9:AP1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{8716D2C0-DAD6-40BA-9BAF-4CE5D29C8DD8}</x14:id>
        </ext>
      </extLst>
    </cfRule>
  </conditionalFormatting>
  <conditionalFormatting sqref="AR9:AR1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{880573F7-C8B1-44EC-9086-8DF88EDE3532}</x14:id>
        </ext>
      </extLst>
    </cfRule>
  </conditionalFormatting>
  <conditionalFormatting sqref="AT9:AT13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{102DB1CE-AFDD-4908-A4F7-B3A4919A1CD1}</x14:id>
        </ext>
      </extLst>
    </cfRule>
  </conditionalFormatting>
  <conditionalFormatting sqref="AU9:AU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{687F6269-0D9D-41A0-B92D-A24B4BA6F5A9}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447417-EA8D-4240-A70F-8A297A2541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AM9:AM13</xm:sqref>
        </x14:conditionalFormatting>
        <x14:conditionalFormatting xmlns:xm="http://schemas.microsoft.com/office/excel/2006/main">
          <x14:cfRule type="dataBar" id="{9F3D47B2-53E7-4CCE-BCF1-175E5E04F0F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AO9:AO13</xm:sqref>
        </x14:conditionalFormatting>
        <x14:conditionalFormatting xmlns:xm="http://schemas.microsoft.com/office/excel/2006/main">
          <x14:cfRule type="dataBar" id="{8716D2C0-DAD6-40BA-9BAF-4CE5D29C8D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AP9:AP13</xm:sqref>
        </x14:conditionalFormatting>
        <x14:conditionalFormatting xmlns:xm="http://schemas.microsoft.com/office/excel/2006/main">
          <x14:cfRule type="dataBar" id="{880573F7-C8B1-44EC-9086-8DF88EDE35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AR9:AR13</xm:sqref>
        </x14:conditionalFormatting>
        <x14:conditionalFormatting xmlns:xm="http://schemas.microsoft.com/office/excel/2006/main">
          <x14:cfRule type="dataBar" id="{102DB1CE-AFDD-4908-A4F7-B3A4919A1CD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AT9:AT13</xm:sqref>
        </x14:conditionalFormatting>
        <x14:conditionalFormatting xmlns:xm="http://schemas.microsoft.com/office/excel/2006/main">
          <x14:cfRule type="dataBar" id="{687F6269-0D9D-41A0-B92D-A24B4BA6F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AU9:AU13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92B4-6853-4929-A62C-9A427DC2BC34}">
  <sheetPr codeName="Sheet3"/>
  <dimension ref="A1:BV61"/>
  <sheetViews>
    <sheetView tabSelected="1" zoomScaleNormal="100" workbookViewId="0">
      <pane xSplit="6" ySplit="1" topLeftCell="G11" activePane="bottomRight" state="frozen"/>
      <selection pane="topRight" activeCell="D1" sqref="D1"/>
      <selection pane="bottomLeft" activeCell="A2" sqref="A2"/>
      <selection pane="bottomRight" activeCell="G2" sqref="G2:G38"/>
    </sheetView>
  </sheetViews>
  <sheetFormatPr defaultColWidth="8.7109375" defaultRowHeight="12.75" x14ac:dyDescent="0.2"/>
  <cols>
    <col min="1" max="1" width="9.140625" style="1" bestFit="1" customWidth="1"/>
    <col min="2" max="3" width="9.140625" style="1" customWidth="1"/>
    <col min="4" max="4" width="11.5703125" style="1" bestFit="1" customWidth="1"/>
    <col min="5" max="5" width="6.7109375" style="1" bestFit="1" customWidth="1"/>
    <col min="6" max="6" width="9.5703125" style="1" bestFit="1" customWidth="1"/>
    <col min="7" max="7" width="8.140625" style="1" bestFit="1" customWidth="1"/>
    <col min="8" max="8" width="10.28515625" style="1" bestFit="1" customWidth="1"/>
    <col min="9" max="9" width="9.42578125" style="1" bestFit="1" customWidth="1"/>
    <col min="10" max="10" width="10.140625" style="1" customWidth="1"/>
    <col min="11" max="11" width="9.42578125" style="1" bestFit="1" customWidth="1"/>
    <col min="12" max="13" width="10" style="1" bestFit="1" customWidth="1"/>
    <col min="14" max="14" width="10.140625" style="1" customWidth="1"/>
    <col min="15" max="15" width="13.7109375" style="1" bestFit="1" customWidth="1"/>
    <col min="16" max="16" width="10.28515625" style="1" bestFit="1" customWidth="1"/>
    <col min="17" max="17" width="9.42578125" style="1" bestFit="1" customWidth="1"/>
    <col min="18" max="18" width="8.7109375" style="1" bestFit="1" customWidth="1"/>
    <col min="19" max="20" width="10" style="1" bestFit="1" customWidth="1"/>
    <col min="21" max="21" width="9.5703125" style="1" bestFit="1" customWidth="1"/>
    <col min="22" max="22" width="9.7109375" style="1" bestFit="1" customWidth="1"/>
    <col min="23" max="50" width="10.140625" style="1" bestFit="1" customWidth="1"/>
    <col min="51" max="52" width="8.85546875" style="1" bestFit="1" customWidth="1"/>
    <col min="53" max="53" width="8.85546875" style="1" customWidth="1"/>
    <col min="54" max="54" width="9.85546875" style="1" bestFit="1" customWidth="1"/>
    <col min="55" max="55" width="8.7109375" style="1" customWidth="1"/>
    <col min="56" max="56" width="9.85546875" style="1" bestFit="1" customWidth="1"/>
    <col min="57" max="57" width="8.7109375" style="1"/>
    <col min="58" max="58" width="16.7109375" style="1" bestFit="1" customWidth="1"/>
    <col min="59" max="64" width="15.28515625" style="1" bestFit="1" customWidth="1"/>
    <col min="65" max="69" width="14.28515625" style="1" bestFit="1" customWidth="1"/>
    <col min="70" max="70" width="14.5703125" style="1" bestFit="1" customWidth="1"/>
    <col min="71" max="71" width="14.28515625" style="1" bestFit="1" customWidth="1"/>
    <col min="72" max="72" width="12.140625" style="1" bestFit="1" customWidth="1"/>
    <col min="73" max="74" width="14.28515625" style="1" bestFit="1" customWidth="1"/>
    <col min="75" max="16384" width="8.7109375" style="1"/>
  </cols>
  <sheetData>
    <row r="1" spans="1:74" s="32" customFormat="1" ht="45.75" thickBot="1" x14ac:dyDescent="0.25">
      <c r="A1" s="21" t="s">
        <v>8</v>
      </c>
      <c r="B1" s="21"/>
      <c r="C1" s="21"/>
      <c r="D1" s="21" t="s">
        <v>1</v>
      </c>
      <c r="E1" s="40" t="s">
        <v>6</v>
      </c>
      <c r="F1" s="12" t="s">
        <v>5</v>
      </c>
      <c r="G1" s="55" t="s">
        <v>4</v>
      </c>
      <c r="H1" s="55" t="s">
        <v>36</v>
      </c>
      <c r="I1" s="55" t="s">
        <v>39</v>
      </c>
      <c r="J1" s="55" t="s">
        <v>41</v>
      </c>
      <c r="K1" s="55" t="s">
        <v>44</v>
      </c>
      <c r="L1" s="55" t="s">
        <v>48</v>
      </c>
      <c r="M1" s="55" t="s">
        <v>50</v>
      </c>
      <c r="N1" s="55" t="s">
        <v>54</v>
      </c>
      <c r="O1" s="55" t="s">
        <v>56</v>
      </c>
      <c r="P1" s="55" t="s">
        <v>58</v>
      </c>
      <c r="Q1" s="55" t="s">
        <v>61</v>
      </c>
      <c r="R1" s="55" t="s">
        <v>63</v>
      </c>
      <c r="S1" s="55" t="s">
        <v>67</v>
      </c>
      <c r="T1" s="55" t="s">
        <v>70</v>
      </c>
      <c r="U1" s="55" t="s">
        <v>71</v>
      </c>
      <c r="V1" s="55" t="s">
        <v>72</v>
      </c>
      <c r="W1" s="55" t="s">
        <v>73</v>
      </c>
      <c r="X1" s="101"/>
      <c r="Y1" s="2"/>
      <c r="BB1" s="81" t="s">
        <v>78</v>
      </c>
      <c r="BD1" s="80" t="s">
        <v>36</v>
      </c>
      <c r="BF1" s="12" t="str">
        <f t="shared" ref="BF1:BV1" si="0">G1</f>
        <v>Base</v>
      </c>
      <c r="BG1" s="12" t="str">
        <f t="shared" si="0"/>
        <v>Twinings_Price</v>
      </c>
      <c r="BH1" s="12" t="str">
        <f t="shared" si="0"/>
        <v>Competitor_Price</v>
      </c>
      <c r="BI1" s="12" t="str">
        <f t="shared" si="0"/>
        <v>Twinings_WD</v>
      </c>
      <c r="BJ1" s="12" t="str">
        <f t="shared" si="0"/>
        <v>Competitor_WD</v>
      </c>
      <c r="BK1" s="12" t="str">
        <f t="shared" si="0"/>
        <v>Discounts_5%_Min</v>
      </c>
      <c r="BL1" s="12" t="str">
        <f t="shared" si="0"/>
        <v>YouTube_FB_Impressions</v>
      </c>
      <c r="BM1" s="12" t="str">
        <f t="shared" si="0"/>
        <v>Google_Search_Clicks</v>
      </c>
      <c r="BN1" s="12" t="str">
        <f t="shared" si="0"/>
        <v>Display_Impressions</v>
      </c>
      <c r="BO1" s="12" t="str">
        <f t="shared" si="0"/>
        <v>OOH_Screen_GRPs</v>
      </c>
      <c r="BP1" s="12" t="str">
        <f t="shared" si="0"/>
        <v>OOH_Retail_GRPs</v>
      </c>
      <c r="BQ1" s="12" t="str">
        <f t="shared" si="0"/>
        <v>Competitor_GRPs</v>
      </c>
      <c r="BR1" s="12" t="str">
        <f t="shared" si="0"/>
        <v>Inflation</v>
      </c>
      <c r="BS1" s="12" t="str">
        <f t="shared" si="0"/>
        <v>Temperature</v>
      </c>
      <c r="BT1" s="12" t="str">
        <f t="shared" si="0"/>
        <v>Covid_Index</v>
      </c>
      <c r="BU1" s="12" t="str">
        <f t="shared" si="0"/>
        <v>Winter_Solstice</v>
      </c>
      <c r="BV1" s="12" t="str">
        <f t="shared" si="0"/>
        <v>Independence_Month</v>
      </c>
    </row>
    <row r="2" spans="1:74" ht="15" x14ac:dyDescent="0.25">
      <c r="A2" s="4" t="s">
        <v>11</v>
      </c>
      <c r="B2" s="4"/>
      <c r="C2" s="4"/>
      <c r="D2" s="62">
        <v>44440</v>
      </c>
      <c r="E2" s="78">
        <f>AVP!G2</f>
        <v>2.0832139200916762E-2</v>
      </c>
      <c r="F2" s="63">
        <f>AVP!F2</f>
        <v>-68.953714126580053</v>
      </c>
      <c r="G2" s="104">
        <v>2486.3068578007301</v>
      </c>
      <c r="H2" s="104">
        <v>-405.807705849858</v>
      </c>
      <c r="I2" s="104">
        <v>23.457837198065398</v>
      </c>
      <c r="J2" s="104">
        <v>88.337516913782594</v>
      </c>
      <c r="K2" s="104">
        <v>-41.214992296714897</v>
      </c>
      <c r="L2" s="104">
        <v>602.363640036314</v>
      </c>
      <c r="M2" s="104">
        <v>4.5318190105233498E-8</v>
      </c>
      <c r="N2" s="104">
        <v>2.4060811361772499E-8</v>
      </c>
      <c r="O2" s="104">
        <v>3.5499081134420703E-8</v>
      </c>
      <c r="P2" s="104">
        <v>2.09101244950685E-8</v>
      </c>
      <c r="Q2" s="104">
        <v>3.62337666511555E-9</v>
      </c>
      <c r="R2" s="104">
        <v>-72.034821602553606</v>
      </c>
      <c r="S2" s="104">
        <v>-138.30448343515999</v>
      </c>
      <c r="T2" s="104">
        <v>-190.76284054744201</v>
      </c>
      <c r="U2" s="104">
        <v>508.04527659664097</v>
      </c>
      <c r="V2" s="104">
        <v>0</v>
      </c>
      <c r="W2" s="104">
        <v>518.53542918336302</v>
      </c>
      <c r="X2" s="104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79"/>
      <c r="BD2" s="51">
        <v>81075.729000000007</v>
      </c>
      <c r="BF2" s="63">
        <f t="shared" ref="BF2" si="1">$BD2*G2</f>
        <v>201579141.01389354</v>
      </c>
      <c r="BG2" s="63">
        <f t="shared" ref="BG2:BG38" si="2">$BD2*H2</f>
        <v>-32901155.585594803</v>
      </c>
      <c r="BH2" s="63">
        <f t="shared" ref="BH2:BH38" si="3">$BD2*I2</f>
        <v>1901861.2515964697</v>
      </c>
      <c r="BI2" s="63">
        <f t="shared" ref="BI2:BI38" si="4">$BD2*J2</f>
        <v>7162028.5818347549</v>
      </c>
      <c r="BJ2" s="63">
        <f t="shared" ref="BJ2:BJ38" si="5">$BD2*K2</f>
        <v>-3341535.5461855447</v>
      </c>
      <c r="BK2" s="63">
        <f t="shared" ref="BK2:BK38" si="6">$BD2*L2</f>
        <v>48837071.239037745</v>
      </c>
      <c r="BL2" s="63">
        <f t="shared" ref="BL2:BL38" si="7">$BD2*M2</f>
        <v>3.6742052997423926E-3</v>
      </c>
      <c r="BM2" s="63">
        <f t="shared" ref="BM2:BM38" si="8">$BD2*N2</f>
        <v>1.9507478214871882E-3</v>
      </c>
      <c r="BN2" s="63">
        <f t="shared" ref="BN2:BN38" si="9">$BD2*O2</f>
        <v>2.8781138818033056E-3</v>
      </c>
      <c r="BO2" s="63">
        <f t="shared" ref="BO2:BO38" si="10">$BD2*P2</f>
        <v>1.6953035869184357E-3</v>
      </c>
      <c r="BP2" s="63">
        <f t="shared" ref="BP2:BP38" si="11">$BD2*Q2</f>
        <v>2.9376790456583213E-4</v>
      </c>
      <c r="BQ2" s="63">
        <f t="shared" ref="BQ2:BQ38" si="12">$BD2*R2</f>
        <v>-5840275.6748119825</v>
      </c>
      <c r="BR2" s="63">
        <f t="shared" ref="BR2:BR38" si="13">$BD2*S2</f>
        <v>-11213136.818474021</v>
      </c>
      <c r="BS2" s="63">
        <f t="shared" ref="BS2:BS38" si="14">$BD2*T2</f>
        <v>-15466236.363494622</v>
      </c>
      <c r="BT2" s="63">
        <f t="shared" ref="BT2:BT38" si="15">$BD2*U2</f>
        <v>41190141.165079311</v>
      </c>
      <c r="BU2" s="63">
        <f t="shared" ref="BU2:BU38" si="16">$BD2*V2</f>
        <v>0</v>
      </c>
      <c r="BV2" s="63">
        <f t="shared" ref="BV2:BV38" si="17">$BD2*W2</f>
        <v>42040637.933369033</v>
      </c>
    </row>
    <row r="3" spans="1:74" ht="15" x14ac:dyDescent="0.25">
      <c r="A3" s="4" t="s">
        <v>11</v>
      </c>
      <c r="B3" s="4"/>
      <c r="C3" s="4"/>
      <c r="D3" s="62">
        <v>44470</v>
      </c>
      <c r="E3" s="78">
        <f>AVP!G3</f>
        <v>3.0978030802665358E-2</v>
      </c>
      <c r="F3" s="63">
        <f>AVP!F3</f>
        <v>93.810708723649896</v>
      </c>
      <c r="G3" s="104">
        <v>2472.8050198772999</v>
      </c>
      <c r="H3" s="104">
        <v>-300.40606338852598</v>
      </c>
      <c r="I3" s="104">
        <v>3.25198254240627</v>
      </c>
      <c r="J3" s="104">
        <v>348.14222628112998</v>
      </c>
      <c r="K3" s="104">
        <v>-77.633850889765696</v>
      </c>
      <c r="L3" s="104">
        <v>662.25311097081396</v>
      </c>
      <c r="M3" s="104">
        <v>4.4237048867877399E-8</v>
      </c>
      <c r="N3" s="104">
        <v>2.36856737434794E-8</v>
      </c>
      <c r="O3" s="104">
        <v>3.5473090885576498E-8</v>
      </c>
      <c r="P3" s="104">
        <v>2.2251739465110201E-8</v>
      </c>
      <c r="Q3" s="104">
        <v>3.9543282984732304E-9</v>
      </c>
      <c r="R3" s="104">
        <v>-72.448132634343096</v>
      </c>
      <c r="S3" s="104">
        <v>-156.981204591216</v>
      </c>
      <c r="T3" s="104">
        <v>-312.01808851802599</v>
      </c>
      <c r="U3" s="104">
        <v>367.52229149698002</v>
      </c>
      <c r="V3" s="104">
        <v>0</v>
      </c>
      <c r="W3" s="104">
        <v>0</v>
      </c>
      <c r="X3" s="104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79"/>
      <c r="BD3" s="51">
        <v>82223.331000000006</v>
      </c>
      <c r="BF3" s="63">
        <f t="shared" ref="BF3:BF38" si="18">$BD3*G3</f>
        <v>203322265.64783281</v>
      </c>
      <c r="BG3" s="63">
        <f t="shared" si="2"/>
        <v>-24700387.184401754</v>
      </c>
      <c r="BH3" s="63">
        <f t="shared" si="3"/>
        <v>267388.8369904923</v>
      </c>
      <c r="BI3" s="63">
        <f t="shared" si="4"/>
        <v>28625413.506590251</v>
      </c>
      <c r="BJ3" s="63">
        <f t="shared" si="5"/>
        <v>-6383313.8185138498</v>
      </c>
      <c r="BK3" s="63">
        <f t="shared" si="6"/>
        <v>54452656.749132968</v>
      </c>
      <c r="BL3" s="63">
        <f t="shared" si="7"/>
        <v>3.6373175115266589E-3</v>
      </c>
      <c r="BM3" s="63">
        <f t="shared" si="8"/>
        <v>1.9475149921681159E-3</v>
      </c>
      <c r="BN3" s="63">
        <f t="shared" si="9"/>
        <v>2.9167156934778397E-3</v>
      </c>
      <c r="BO3" s="63">
        <f t="shared" si="10"/>
        <v>1.8296121393655191E-3</v>
      </c>
      <c r="BP3" s="63">
        <f t="shared" si="11"/>
        <v>3.2513804456803122E-4</v>
      </c>
      <c r="BQ3" s="63">
        <f t="shared" si="12"/>
        <v>-5956926.7899254952</v>
      </c>
      <c r="BR3" s="63">
        <f t="shared" si="13"/>
        <v>-12907517.545882273</v>
      </c>
      <c r="BS3" s="63">
        <f t="shared" si="14"/>
        <v>-25655166.570204951</v>
      </c>
      <c r="BT3" s="63">
        <f t="shared" si="15"/>
        <v>30218907.023634676</v>
      </c>
      <c r="BU3" s="63">
        <f t="shared" si="16"/>
        <v>0</v>
      </c>
      <c r="BV3" s="63">
        <f t="shared" si="17"/>
        <v>0</v>
      </c>
    </row>
    <row r="4" spans="1:74" ht="15" x14ac:dyDescent="0.25">
      <c r="A4" s="4" t="s">
        <v>11</v>
      </c>
      <c r="B4" s="4"/>
      <c r="C4" s="4"/>
      <c r="D4" s="62">
        <v>44501</v>
      </c>
      <c r="E4" s="78">
        <f>AVP!G4</f>
        <v>7.0298551924483338E-2</v>
      </c>
      <c r="F4" s="63">
        <f>AVP!F4</f>
        <v>-177.54328109695007</v>
      </c>
      <c r="G4" s="104">
        <v>2469.03999939717</v>
      </c>
      <c r="H4" s="104">
        <v>-296.870941383331</v>
      </c>
      <c r="I4" s="104">
        <v>0</v>
      </c>
      <c r="J4" s="104">
        <v>317.97257976898601</v>
      </c>
      <c r="K4" s="104">
        <v>-106.07662389678001</v>
      </c>
      <c r="L4" s="104">
        <v>581.10767844492898</v>
      </c>
      <c r="M4" s="104">
        <v>4.3414245480788497E-8</v>
      </c>
      <c r="N4" s="104">
        <v>2.3657323366789001E-8</v>
      </c>
      <c r="O4" s="104">
        <v>3.52780814949017E-8</v>
      </c>
      <c r="P4" s="104">
        <v>2.3129083605068002E-8</v>
      </c>
      <c r="Q4" s="104">
        <v>3.9226534724182897E-9</v>
      </c>
      <c r="R4" s="104">
        <v>-79.624360053510102</v>
      </c>
      <c r="S4" s="104">
        <v>-58.628364426772997</v>
      </c>
      <c r="T4" s="104">
        <v>-450.08939582860302</v>
      </c>
      <c r="U4" s="104">
        <v>326.27370894545402</v>
      </c>
      <c r="V4" s="104">
        <v>0</v>
      </c>
      <c r="W4" s="104">
        <v>0</v>
      </c>
      <c r="X4" s="104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79"/>
      <c r="BD4" s="51">
        <v>84167.763999999996</v>
      </c>
      <c r="BF4" s="63">
        <f t="shared" si="18"/>
        <v>207813575.97582114</v>
      </c>
      <c r="BG4" s="63">
        <f t="shared" si="2"/>
        <v>-24986963.332810037</v>
      </c>
      <c r="BH4" s="63">
        <f t="shared" si="3"/>
        <v>0</v>
      </c>
      <c r="BI4" s="63">
        <f t="shared" si="4"/>
        <v>26763041.052467186</v>
      </c>
      <c r="BJ4" s="63">
        <f t="shared" si="5"/>
        <v>-8928232.2460609395</v>
      </c>
      <c r="BK4" s="63">
        <f t="shared" si="6"/>
        <v>48910533.937940665</v>
      </c>
      <c r="BL4" s="63">
        <f t="shared" si="7"/>
        <v>3.6540799678650726E-3</v>
      </c>
      <c r="BM4" s="63">
        <f t="shared" si="8"/>
        <v>1.991184010007582E-3</v>
      </c>
      <c r="BN4" s="63">
        <f t="shared" si="9"/>
        <v>2.9692772376356531E-3</v>
      </c>
      <c r="BO4" s="63">
        <f t="shared" si="10"/>
        <v>1.9467232504076326E-3</v>
      </c>
      <c r="BP4" s="63">
        <f t="shared" si="11"/>
        <v>3.3016097172028309E-4</v>
      </c>
      <c r="BQ4" s="63">
        <f t="shared" si="12"/>
        <v>-6701804.3456348656</v>
      </c>
      <c r="BR4" s="63">
        <f t="shared" si="13"/>
        <v>-4934618.3407786246</v>
      </c>
      <c r="BS4" s="63">
        <f t="shared" si="14"/>
        <v>-37883018.047004439</v>
      </c>
      <c r="BT4" s="63">
        <f t="shared" si="15"/>
        <v>27461728.53392566</v>
      </c>
      <c r="BU4" s="63">
        <f t="shared" si="16"/>
        <v>0</v>
      </c>
      <c r="BV4" s="63">
        <f t="shared" si="17"/>
        <v>0</v>
      </c>
    </row>
    <row r="5" spans="1:74" ht="15" x14ac:dyDescent="0.25">
      <c r="A5" s="4" t="s">
        <v>11</v>
      </c>
      <c r="B5" s="4"/>
      <c r="C5" s="4"/>
      <c r="D5" s="62">
        <v>44531</v>
      </c>
      <c r="E5" s="78">
        <f>AVP!G5</f>
        <v>0.16290525754703339</v>
      </c>
      <c r="F5" s="63">
        <f>AVP!F5</f>
        <v>446.59824735489019</v>
      </c>
      <c r="G5" s="104">
        <v>2447.4368359373102</v>
      </c>
      <c r="H5" s="104">
        <v>-142.06704997713399</v>
      </c>
      <c r="I5" s="104">
        <v>16.158530089885701</v>
      </c>
      <c r="J5" s="104">
        <v>312.59824911967598</v>
      </c>
      <c r="K5" s="104">
        <v>-82.661177705094801</v>
      </c>
      <c r="L5" s="104">
        <v>91.953482452882596</v>
      </c>
      <c r="M5" s="104">
        <v>4.2091654425249099E-8</v>
      </c>
      <c r="N5" s="104">
        <v>2.3005333804191E-8</v>
      </c>
      <c r="O5" s="104">
        <v>3.5404535137915803E-8</v>
      </c>
      <c r="P5" s="104">
        <v>2.48737939297717E-8</v>
      </c>
      <c r="Q5" s="104">
        <v>4.5340985985508402E-9</v>
      </c>
      <c r="R5" s="104">
        <v>-86.216045908330699</v>
      </c>
      <c r="S5" s="104">
        <v>-91.119559142992003</v>
      </c>
      <c r="T5" s="104">
        <v>-540.29591902155198</v>
      </c>
      <c r="U5" s="104">
        <v>369.07440667054698</v>
      </c>
      <c r="V5" s="104">
        <v>0</v>
      </c>
      <c r="W5" s="104">
        <v>0</v>
      </c>
      <c r="X5" s="104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79"/>
      <c r="BD5" s="51">
        <v>95099.892999999996</v>
      </c>
      <c r="BF5" s="63">
        <f t="shared" si="18"/>
        <v>232750981.22189674</v>
      </c>
      <c r="BG5" s="63">
        <f t="shared" si="2"/>
        <v>-13510561.251651095</v>
      </c>
      <c r="BH5" s="63">
        <f t="shared" si="3"/>
        <v>1536674.4825854106</v>
      </c>
      <c r="BI5" s="63">
        <f t="shared" si="4"/>
        <v>29728060.043268528</v>
      </c>
      <c r="BJ5" s="63">
        <f t="shared" si="5"/>
        <v>-7861069.1550085004</v>
      </c>
      <c r="BK5" s="63">
        <f t="shared" si="6"/>
        <v>8744766.342246512</v>
      </c>
      <c r="BL5" s="63">
        <f t="shared" si="7"/>
        <v>4.002911832034166E-3</v>
      </c>
      <c r="BM5" s="63">
        <f t="shared" si="8"/>
        <v>2.1878047832078469E-3</v>
      </c>
      <c r="BN5" s="63">
        <f t="shared" si="9"/>
        <v>3.3669675033305329E-3</v>
      </c>
      <c r="BO5" s="63">
        <f t="shared" si="10"/>
        <v>2.3654951412253379E-3</v>
      </c>
      <c r="BP5" s="63">
        <f t="shared" si="11"/>
        <v>4.3119229157363487E-4</v>
      </c>
      <c r="BQ5" s="63">
        <f t="shared" si="12"/>
        <v>-8199136.7407653369</v>
      </c>
      <c r="BR5" s="63">
        <f t="shared" si="13"/>
        <v>-8665460.3247057106</v>
      </c>
      <c r="BS5" s="63">
        <f t="shared" si="14"/>
        <v>-51382084.087286256</v>
      </c>
      <c r="BT5" s="63">
        <f t="shared" si="15"/>
        <v>35098936.583407499</v>
      </c>
      <c r="BU5" s="63">
        <f t="shared" si="16"/>
        <v>0</v>
      </c>
      <c r="BV5" s="63">
        <f t="shared" si="17"/>
        <v>0</v>
      </c>
    </row>
    <row r="6" spans="1:74" ht="15" x14ac:dyDescent="0.25">
      <c r="A6" s="4" t="s">
        <v>11</v>
      </c>
      <c r="B6" s="4"/>
      <c r="C6" s="4"/>
      <c r="D6" s="62">
        <v>44562</v>
      </c>
      <c r="E6" s="78">
        <f>AVP!G6</f>
        <v>9.0961250673220501E-2</v>
      </c>
      <c r="F6" s="63">
        <f>AVP!F6</f>
        <v>-192.90980177650999</v>
      </c>
      <c r="G6" s="104">
        <v>2469.8362710900501</v>
      </c>
      <c r="H6" s="104">
        <v>-328.68595808801302</v>
      </c>
      <c r="I6" s="104">
        <v>11.907813680751801</v>
      </c>
      <c r="J6" s="104">
        <v>250.44131200179001</v>
      </c>
      <c r="K6" s="104">
        <v>-67.563189146046398</v>
      </c>
      <c r="L6" s="104">
        <v>474.28450754404798</v>
      </c>
      <c r="M6" s="104">
        <v>4.2168590417041297E-8</v>
      </c>
      <c r="N6" s="104">
        <v>2.3638541308906801E-8</v>
      </c>
      <c r="O6" s="104">
        <v>3.47755972442416E-8</v>
      </c>
      <c r="P6" s="104">
        <v>2.4087148836215301E-8</v>
      </c>
      <c r="Q6" s="104">
        <v>3.8383432292940997E-9</v>
      </c>
      <c r="R6" s="104">
        <v>-43.124681689568398</v>
      </c>
      <c r="S6" s="104">
        <v>-142.97646455642001</v>
      </c>
      <c r="T6" s="104">
        <v>-620.55192359233797</v>
      </c>
      <c r="U6" s="104">
        <v>310.13311440374798</v>
      </c>
      <c r="V6" s="104">
        <v>0</v>
      </c>
      <c r="W6" s="104">
        <v>0</v>
      </c>
      <c r="X6" s="104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79"/>
      <c r="BD6" s="51">
        <v>84380.01</v>
      </c>
      <c r="BF6" s="63">
        <f t="shared" si="18"/>
        <v>208404809.25294113</v>
      </c>
      <c r="BG6" s="63">
        <f t="shared" si="2"/>
        <v>-27734524.430326119</v>
      </c>
      <c r="BH6" s="63">
        <f t="shared" si="3"/>
        <v>1004781.4374599737</v>
      </c>
      <c r="BI6" s="63">
        <f t="shared" si="4"/>
        <v>21132240.411124159</v>
      </c>
      <c r="BJ6" s="63">
        <f t="shared" si="5"/>
        <v>-5700982.5757752862</v>
      </c>
      <c r="BK6" s="63">
        <f t="shared" si="6"/>
        <v>40020131.489411838</v>
      </c>
      <c r="BL6" s="63">
        <f t="shared" si="7"/>
        <v>3.5581860810758488E-3</v>
      </c>
      <c r="BM6" s="63">
        <f t="shared" si="8"/>
        <v>1.9946203520309689E-3</v>
      </c>
      <c r="BN6" s="63">
        <f t="shared" si="9"/>
        <v>2.9343652432250785E-3</v>
      </c>
      <c r="BO6" s="63">
        <f t="shared" si="10"/>
        <v>2.0324738596713353E-3</v>
      </c>
      <c r="BP6" s="63">
        <f t="shared" si="11"/>
        <v>3.2387944007126839E-4</v>
      </c>
      <c r="BQ6" s="63">
        <f t="shared" si="12"/>
        <v>-3638861.0722125983</v>
      </c>
      <c r="BR6" s="63">
        <f t="shared" si="13"/>
        <v>-12064355.509035366</v>
      </c>
      <c r="BS6" s="63">
        <f t="shared" si="14"/>
        <v>-52362177.518240713</v>
      </c>
      <c r="BT6" s="63">
        <f t="shared" si="15"/>
        <v>26169035.294719398</v>
      </c>
      <c r="BU6" s="63">
        <f t="shared" si="16"/>
        <v>0</v>
      </c>
      <c r="BV6" s="63">
        <f t="shared" si="17"/>
        <v>0</v>
      </c>
    </row>
    <row r="7" spans="1:74" ht="15" x14ac:dyDescent="0.25">
      <c r="A7" s="4" t="s">
        <v>11</v>
      </c>
      <c r="B7" s="4"/>
      <c r="C7" s="4"/>
      <c r="D7" s="62">
        <v>44593</v>
      </c>
      <c r="E7" s="78">
        <f>AVP!G7</f>
        <v>0.19669296097490765</v>
      </c>
      <c r="F7" s="63">
        <f>AVP!F7</f>
        <v>-398.39647843769012</v>
      </c>
      <c r="G7" s="104">
        <v>2473.4602859516599</v>
      </c>
      <c r="H7" s="104">
        <v>-401.391742793069</v>
      </c>
      <c r="I7" s="104">
        <v>32.352805478062898</v>
      </c>
      <c r="J7" s="104">
        <v>312.15807088727001</v>
      </c>
      <c r="K7" s="104">
        <v>-73.834497353287105</v>
      </c>
      <c r="L7" s="104">
        <v>407.44942462436501</v>
      </c>
      <c r="M7" s="104">
        <v>4.1765390879411201E-8</v>
      </c>
      <c r="N7" s="104">
        <v>2.3647194714937301E-8</v>
      </c>
      <c r="O7" s="104">
        <v>3.4416746553248597E-8</v>
      </c>
      <c r="P7" s="104">
        <v>2.43217270033122E-8</v>
      </c>
      <c r="Q7" s="104">
        <v>3.71765953640389E-9</v>
      </c>
      <c r="R7" s="104">
        <v>-2.04699146825187</v>
      </c>
      <c r="S7" s="104">
        <v>-34.694541334687898</v>
      </c>
      <c r="T7" s="104">
        <v>-591.38524836199895</v>
      </c>
      <c r="U7" s="104">
        <v>301.80291267975201</v>
      </c>
      <c r="V7" s="104">
        <v>0</v>
      </c>
      <c r="W7" s="104">
        <v>0</v>
      </c>
      <c r="X7" s="104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79"/>
      <c r="BD7" s="51">
        <v>87097.274000000005</v>
      </c>
      <c r="BF7" s="63">
        <f t="shared" si="18"/>
        <v>215431648.2536501</v>
      </c>
      <c r="BG7" s="63">
        <f t="shared" si="2"/>
        <v>-34960126.603385456</v>
      </c>
      <c r="BH7" s="63">
        <f t="shared" si="3"/>
        <v>2817841.1633915454</v>
      </c>
      <c r="BI7" s="63">
        <f t="shared" si="4"/>
        <v>27188117.031379983</v>
      </c>
      <c r="BJ7" s="63">
        <f t="shared" si="5"/>
        <v>-6430783.4466315219</v>
      </c>
      <c r="BK7" s="63">
        <f t="shared" si="6"/>
        <v>35487734.177650668</v>
      </c>
      <c r="BL7" s="63">
        <f t="shared" si="7"/>
        <v>3.6376516931411786E-3</v>
      </c>
      <c r="BM7" s="63">
        <f t="shared" si="8"/>
        <v>2.0596061974182461E-3</v>
      </c>
      <c r="BN7" s="63">
        <f t="shared" si="9"/>
        <v>2.9976048047368488E-3</v>
      </c>
      <c r="BO7" s="63">
        <f t="shared" si="10"/>
        <v>2.1183561209606816E-3</v>
      </c>
      <c r="BP7" s="63">
        <f t="shared" si="11"/>
        <v>3.2379801128088262E-4</v>
      </c>
      <c r="BQ7" s="63">
        <f t="shared" si="12"/>
        <v>-178287.37678599544</v>
      </c>
      <c r="BR7" s="63">
        <f t="shared" si="13"/>
        <v>-3021799.9729316379</v>
      </c>
      <c r="BS7" s="63">
        <f t="shared" si="14"/>
        <v>-51508043.016143076</v>
      </c>
      <c r="BT7" s="63">
        <f t="shared" si="15"/>
        <v>26286210.979666438</v>
      </c>
      <c r="BU7" s="63">
        <f t="shared" si="16"/>
        <v>0</v>
      </c>
      <c r="BV7" s="63">
        <f t="shared" si="17"/>
        <v>0</v>
      </c>
    </row>
    <row r="8" spans="1:74" ht="15" x14ac:dyDescent="0.25">
      <c r="A8" s="4" t="s">
        <v>11</v>
      </c>
      <c r="B8" s="4"/>
      <c r="C8" s="4"/>
      <c r="D8" s="62">
        <v>44621</v>
      </c>
      <c r="E8" s="78">
        <f>AVP!G8</f>
        <v>0.13090128484165131</v>
      </c>
      <c r="F8" s="63">
        <f>AVP!F8</f>
        <v>364.27811691645002</v>
      </c>
      <c r="G8" s="104">
        <v>2439.25592812996</v>
      </c>
      <c r="H8" s="104">
        <v>-78.363982402884204</v>
      </c>
      <c r="I8" s="104">
        <v>95.651762054168103</v>
      </c>
      <c r="J8" s="104">
        <v>302.29040208399499</v>
      </c>
      <c r="K8" s="104">
        <v>-68.995241173580098</v>
      </c>
      <c r="L8" s="104">
        <v>67.796035038763407</v>
      </c>
      <c r="M8" s="104">
        <v>4.05556435893264E-8</v>
      </c>
      <c r="N8" s="104">
        <v>2.2296514990478101E-8</v>
      </c>
      <c r="O8" s="104">
        <v>3.4657262711967298E-8</v>
      </c>
      <c r="P8" s="104">
        <v>2.6368880888134798E-8</v>
      </c>
      <c r="Q8" s="104">
        <v>4.9411716872120999E-9</v>
      </c>
      <c r="R8" s="104">
        <v>-9.9414146908931994E-3</v>
      </c>
      <c r="S8" s="104">
        <v>-217.057873083918</v>
      </c>
      <c r="T8" s="104">
        <v>-486.65614418378999</v>
      </c>
      <c r="U8" s="104">
        <v>364.65693790670599</v>
      </c>
      <c r="V8" s="104">
        <v>0</v>
      </c>
      <c r="W8" s="104">
        <v>0</v>
      </c>
      <c r="X8" s="104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79"/>
      <c r="BD8" s="51">
        <v>90924.407999999996</v>
      </c>
      <c r="BF8" s="63">
        <f t="shared" si="18"/>
        <v>221787901.22570714</v>
      </c>
      <c r="BG8" s="63">
        <f t="shared" si="2"/>
        <v>-7125198.7085046638</v>
      </c>
      <c r="BH8" s="63">
        <f t="shared" si="3"/>
        <v>8697079.8389320988</v>
      </c>
      <c r="BI8" s="63">
        <f t="shared" si="4"/>
        <v>27485575.85356921</v>
      </c>
      <c r="BJ8" s="63">
        <f t="shared" si="5"/>
        <v>-6273351.4585249955</v>
      </c>
      <c r="BK8" s="63">
        <f t="shared" si="6"/>
        <v>6164314.3506468199</v>
      </c>
      <c r="BL8" s="63">
        <f t="shared" si="7"/>
        <v>3.6874978844184977E-3</v>
      </c>
      <c r="BM8" s="63">
        <f t="shared" si="8"/>
        <v>2.0272974259723468E-3</v>
      </c>
      <c r="BN8" s="63">
        <f t="shared" si="9"/>
        <v>3.1511910949861008E-3</v>
      </c>
      <c r="BO8" s="63">
        <f t="shared" si="10"/>
        <v>2.3975748843761708E-3</v>
      </c>
      <c r="BP8" s="63">
        <f t="shared" si="11"/>
        <v>4.4927311048612132E-4</v>
      </c>
      <c r="BQ8" s="63">
        <f t="shared" si="12"/>
        <v>-903.91724545196712</v>
      </c>
      <c r="BR8" s="63">
        <f t="shared" si="13"/>
        <v>-19735858.611894377</v>
      </c>
      <c r="BS8" s="63">
        <f t="shared" si="14"/>
        <v>-44248921.809473746</v>
      </c>
      <c r="BT8" s="63">
        <f t="shared" si="15"/>
        <v>33156216.202259999</v>
      </c>
      <c r="BU8" s="63">
        <f t="shared" si="16"/>
        <v>0</v>
      </c>
      <c r="BV8" s="63">
        <f t="shared" si="17"/>
        <v>0</v>
      </c>
    </row>
    <row r="9" spans="1:74" ht="15" x14ac:dyDescent="0.25">
      <c r="A9" s="4" t="s">
        <v>11</v>
      </c>
      <c r="B9" s="4"/>
      <c r="C9" s="4"/>
      <c r="D9" s="62">
        <v>44652</v>
      </c>
      <c r="E9" s="78">
        <f>AVP!G9</f>
        <v>1.5193870983590835E-2</v>
      </c>
      <c r="F9" s="63">
        <f>AVP!F9</f>
        <v>-37.791168318130076</v>
      </c>
      <c r="G9" s="104">
        <v>2438.6477837436801</v>
      </c>
      <c r="H9" s="104">
        <v>-75.960646003047799</v>
      </c>
      <c r="I9" s="104">
        <v>117.774521522616</v>
      </c>
      <c r="J9" s="104">
        <v>192.711136220849</v>
      </c>
      <c r="K9" s="104">
        <v>-28.260112167529801</v>
      </c>
      <c r="L9" s="104">
        <v>10.1680742531242</v>
      </c>
      <c r="M9" s="104">
        <v>4.02457591717276E-8</v>
      </c>
      <c r="N9" s="104">
        <v>2.1978654621303799E-8</v>
      </c>
      <c r="O9" s="104">
        <v>3.4332067932189799E-8</v>
      </c>
      <c r="P9" s="104">
        <v>2.65494142177944E-8</v>
      </c>
      <c r="Q9" s="104">
        <v>5.1215194343237199E-9</v>
      </c>
      <c r="R9" s="104">
        <v>-4.73609605535704E-5</v>
      </c>
      <c r="S9" s="104">
        <v>-164.29247691211401</v>
      </c>
      <c r="T9" s="104">
        <v>-309.483374240986</v>
      </c>
      <c r="U9" s="104">
        <v>343.75030913427298</v>
      </c>
      <c r="V9" s="104">
        <v>0</v>
      </c>
      <c r="W9" s="104">
        <v>0</v>
      </c>
      <c r="X9" s="104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79"/>
      <c r="BD9" s="51">
        <v>90669.817999999999</v>
      </c>
      <c r="BF9" s="63">
        <f t="shared" si="18"/>
        <v>221111750.71814284</v>
      </c>
      <c r="BG9" s="63">
        <f t="shared" si="2"/>
        <v>-6887337.9482587716</v>
      </c>
      <c r="BH9" s="63">
        <f t="shared" si="3"/>
        <v>10678594.431492675</v>
      </c>
      <c r="BI9" s="63">
        <f t="shared" si="4"/>
        <v>17473083.647717588</v>
      </c>
      <c r="BJ9" s="63">
        <f t="shared" si="5"/>
        <v>-2562339.2268895125</v>
      </c>
      <c r="BK9" s="63">
        <f t="shared" si="6"/>
        <v>921937.4419412571</v>
      </c>
      <c r="BL9" s="63">
        <f t="shared" si="7"/>
        <v>3.6490756593723721E-3</v>
      </c>
      <c r="BM9" s="63">
        <f t="shared" si="8"/>
        <v>1.9928006143984742E-3</v>
      </c>
      <c r="BN9" s="63">
        <f t="shared" si="9"/>
        <v>3.1128823509752853E-3</v>
      </c>
      <c r="BO9" s="63">
        <f t="shared" si="10"/>
        <v>2.4072305551340305E-3</v>
      </c>
      <c r="BP9" s="63">
        <f t="shared" si="11"/>
        <v>4.6436723499359461E-4</v>
      </c>
      <c r="BQ9" s="63">
        <f t="shared" si="12"/>
        <v>-4.2942096736974076</v>
      </c>
      <c r="BR9" s="63">
        <f t="shared" si="13"/>
        <v>-14896368.980390579</v>
      </c>
      <c r="BS9" s="63">
        <f t="shared" si="14"/>
        <v>-28060801.216456089</v>
      </c>
      <c r="BT9" s="63">
        <f t="shared" si="15"/>
        <v>31167777.966648269</v>
      </c>
      <c r="BU9" s="63">
        <f t="shared" si="16"/>
        <v>0</v>
      </c>
      <c r="BV9" s="63">
        <f t="shared" si="17"/>
        <v>0</v>
      </c>
    </row>
    <row r="10" spans="1:74" ht="15" x14ac:dyDescent="0.25">
      <c r="A10" s="4" t="s">
        <v>11</v>
      </c>
      <c r="B10" s="4"/>
      <c r="C10" s="4"/>
      <c r="D10" s="62">
        <v>44682</v>
      </c>
      <c r="E10" s="78">
        <f>AVP!G10</f>
        <v>4.1514197386861183E-3</v>
      </c>
      <c r="F10" s="63">
        <f>AVP!F10</f>
        <v>13.397744077230072</v>
      </c>
      <c r="G10" s="104">
        <v>2434.8380680334699</v>
      </c>
      <c r="H10" s="104">
        <v>-36.492029941878897</v>
      </c>
      <c r="I10" s="104">
        <v>171.79208654812899</v>
      </c>
      <c r="J10" s="104">
        <v>376.43801772652199</v>
      </c>
      <c r="K10" s="104">
        <v>-54.308505318477501</v>
      </c>
      <c r="L10" s="104">
        <v>256.57738136784701</v>
      </c>
      <c r="M10" s="104">
        <v>3.9836385025967701E-8</v>
      </c>
      <c r="N10" s="104">
        <v>2.1548682655085399E-8</v>
      </c>
      <c r="O10" s="104">
        <v>3.405102227397E-8</v>
      </c>
      <c r="P10" s="104">
        <v>2.69169240604387E-8</v>
      </c>
      <c r="Q10" s="104">
        <v>5.4112786716580798E-9</v>
      </c>
      <c r="R10" s="104">
        <v>-1.1326817721787201E-6</v>
      </c>
      <c r="S10" s="104">
        <v>-141.06155501113</v>
      </c>
      <c r="T10" s="104">
        <v>-149.10749746124901</v>
      </c>
      <c r="U10" s="104">
        <v>355.19429098446102</v>
      </c>
      <c r="V10" s="104">
        <v>0</v>
      </c>
      <c r="W10" s="104">
        <v>0</v>
      </c>
      <c r="X10" s="104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79"/>
      <c r="BD10" s="51">
        <v>89706.497000000003</v>
      </c>
      <c r="BF10" s="63">
        <f t="shared" si="18"/>
        <v>218420793.84553027</v>
      </c>
      <c r="BG10" s="63">
        <f t="shared" si="2"/>
        <v>-3273572.1745050694</v>
      </c>
      <c r="BH10" s="63">
        <f t="shared" si="3"/>
        <v>15410866.296553474</v>
      </c>
      <c r="BI10" s="63">
        <f t="shared" si="4"/>
        <v>33768935.907870196</v>
      </c>
      <c r="BJ10" s="63">
        <f t="shared" si="5"/>
        <v>-4871825.7694264865</v>
      </c>
      <c r="BK10" s="63">
        <f t="shared" si="6"/>
        <v>23016658.091942623</v>
      </c>
      <c r="BL10" s="63">
        <f t="shared" si="7"/>
        <v>3.5735825538228167E-3</v>
      </c>
      <c r="BM10" s="63">
        <f t="shared" si="8"/>
        <v>1.9330568359523705E-3</v>
      </c>
      <c r="BN10" s="63">
        <f t="shared" si="9"/>
        <v>3.054597927466823E-3</v>
      </c>
      <c r="BO10" s="63">
        <f t="shared" si="10"/>
        <v>2.4146229674769722E-3</v>
      </c>
      <c r="BP10" s="63">
        <f t="shared" si="11"/>
        <v>4.8542685392525956E-4</v>
      </c>
      <c r="BQ10" s="63">
        <f t="shared" si="12"/>
        <v>-0.10160891399790503</v>
      </c>
      <c r="BR10" s="63">
        <f t="shared" si="13"/>
        <v>-12654137.961421268</v>
      </c>
      <c r="BS10" s="63">
        <f t="shared" si="14"/>
        <v>-13375911.273685042</v>
      </c>
      <c r="BT10" s="63">
        <f t="shared" si="15"/>
        <v>31863235.598614682</v>
      </c>
      <c r="BU10" s="63">
        <f t="shared" si="16"/>
        <v>0</v>
      </c>
      <c r="BV10" s="63">
        <f t="shared" si="17"/>
        <v>0</v>
      </c>
    </row>
    <row r="11" spans="1:74" ht="15" x14ac:dyDescent="0.25">
      <c r="A11" s="4" t="s">
        <v>11</v>
      </c>
      <c r="B11" s="4"/>
      <c r="C11" s="4"/>
      <c r="D11" s="62">
        <v>44713</v>
      </c>
      <c r="E11" s="78">
        <f>AVP!G11</f>
        <v>2.4908858518074412E-2</v>
      </c>
      <c r="F11" s="63">
        <f>AVP!F11</f>
        <v>92.668799977670005</v>
      </c>
      <c r="G11" s="104">
        <v>2432.4739618746098</v>
      </c>
      <c r="H11" s="104">
        <v>-30.561234463511301</v>
      </c>
      <c r="I11" s="104">
        <v>167.88312558019101</v>
      </c>
      <c r="J11" s="104">
        <v>324.65844146169502</v>
      </c>
      <c r="K11" s="104">
        <v>-127.21848470273601</v>
      </c>
      <c r="L11" s="104">
        <v>38.6756341129554</v>
      </c>
      <c r="M11" s="104">
        <v>3.9499784912816901E-8</v>
      </c>
      <c r="N11" s="104">
        <v>2.1176056663799199E-8</v>
      </c>
      <c r="O11" s="104">
        <v>3.3759913829422399E-8</v>
      </c>
      <c r="P11" s="104">
        <v>2.7183723151647801E-8</v>
      </c>
      <c r="Q11" s="104">
        <v>5.6534115094867002E-9</v>
      </c>
      <c r="R11" s="104">
        <v>-1.8397854603036799E-2</v>
      </c>
      <c r="S11" s="104">
        <v>-109.99467310062199</v>
      </c>
      <c r="T11" s="104">
        <v>-25.598204051204299</v>
      </c>
      <c r="U11" s="104">
        <v>361.55610070886399</v>
      </c>
      <c r="V11" s="104">
        <v>595.78993032942003</v>
      </c>
      <c r="W11" s="104">
        <v>0</v>
      </c>
      <c r="X11" s="104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79"/>
      <c r="BD11" s="51">
        <v>93718.948999999993</v>
      </c>
      <c r="BF11" s="63">
        <f t="shared" si="18"/>
        <v>227968903.17675447</v>
      </c>
      <c r="BG11" s="63">
        <f t="shared" si="2"/>
        <v>-2864166.774062858</v>
      </c>
      <c r="BH11" s="63">
        <f t="shared" si="3"/>
        <v>15733830.084210515</v>
      </c>
      <c r="BI11" s="63">
        <f t="shared" si="4"/>
        <v>30426647.91776808</v>
      </c>
      <c r="BJ11" s="63">
        <f t="shared" si="5"/>
        <v>-11922782.679712996</v>
      </c>
      <c r="BK11" s="63">
        <f t="shared" si="6"/>
        <v>3624639.7809747271</v>
      </c>
      <c r="BL11" s="63">
        <f t="shared" si="7"/>
        <v>3.7018783277552561E-3</v>
      </c>
      <c r="BM11" s="63">
        <f t="shared" si="8"/>
        <v>1.984597774495707E-3</v>
      </c>
      <c r="BN11" s="63">
        <f t="shared" si="9"/>
        <v>3.1639436424240322E-3</v>
      </c>
      <c r="BO11" s="63">
        <f t="shared" si="10"/>
        <v>2.5476299636793993E-3</v>
      </c>
      <c r="BP11" s="63">
        <f t="shared" si="11"/>
        <v>5.2983178493359699E-4</v>
      </c>
      <c r="BQ11" s="63">
        <f t="shared" si="12"/>
        <v>-1724.227597251421</v>
      </c>
      <c r="BR11" s="63">
        <f t="shared" si="13"/>
        <v>-10308585.158588864</v>
      </c>
      <c r="BS11" s="63">
        <f t="shared" si="14"/>
        <v>-2399036.7799664089</v>
      </c>
      <c r="BT11" s="63">
        <f t="shared" si="15"/>
        <v>33884657.762972884</v>
      </c>
      <c r="BU11" s="63">
        <f t="shared" si="16"/>
        <v>55836806.095256463</v>
      </c>
      <c r="BV11" s="63">
        <f t="shared" si="17"/>
        <v>0</v>
      </c>
    </row>
    <row r="12" spans="1:74" ht="15" x14ac:dyDescent="0.25">
      <c r="A12" s="4" t="s">
        <v>11</v>
      </c>
      <c r="B12" s="4"/>
      <c r="C12" s="4"/>
      <c r="D12" s="62">
        <v>44743</v>
      </c>
      <c r="E12" s="78">
        <f>AVP!G12</f>
        <v>4.2860436086628512E-2</v>
      </c>
      <c r="F12" s="63">
        <f>AVP!F12</f>
        <v>126.15707913438973</v>
      </c>
      <c r="G12" s="104">
        <v>2437.3292606247301</v>
      </c>
      <c r="H12" s="104">
        <v>-87.756429363583607</v>
      </c>
      <c r="I12" s="104">
        <v>182.68613822942399</v>
      </c>
      <c r="J12" s="104">
        <v>313.231405167015</v>
      </c>
      <c r="K12" s="104">
        <v>-126.24099843791301</v>
      </c>
      <c r="L12" s="104">
        <v>5.7017983083515702</v>
      </c>
      <c r="M12" s="104">
        <v>3.9339584048072402E-8</v>
      </c>
      <c r="N12" s="104">
        <v>2.1027382542598202E-8</v>
      </c>
      <c r="O12" s="104">
        <v>3.3380169447167297E-8</v>
      </c>
      <c r="P12" s="104">
        <v>2.7065250059586701E-8</v>
      </c>
      <c r="Q12" s="104">
        <v>5.6287081955942598E-9</v>
      </c>
      <c r="R12" s="104">
        <v>-100.37369613678899</v>
      </c>
      <c r="S12" s="104">
        <v>-163.509999202686</v>
      </c>
      <c r="T12" s="104">
        <v>0</v>
      </c>
      <c r="U12" s="104">
        <v>356.21444155062198</v>
      </c>
      <c r="V12" s="104">
        <v>0</v>
      </c>
      <c r="W12" s="104">
        <v>0</v>
      </c>
      <c r="X12" s="104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79"/>
      <c r="BD12" s="51">
        <v>92625.096999999994</v>
      </c>
      <c r="BF12" s="63">
        <f t="shared" si="18"/>
        <v>225757859.18630388</v>
      </c>
      <c r="BG12" s="63">
        <f t="shared" si="2"/>
        <v>-8128447.7821755791</v>
      </c>
      <c r="BH12" s="63">
        <f t="shared" si="3"/>
        <v>16921321.274055805</v>
      </c>
      <c r="BI12" s="63">
        <f t="shared" si="4"/>
        <v>29013089.287041064</v>
      </c>
      <c r="BJ12" s="63">
        <f t="shared" si="5"/>
        <v>-11693084.725688539</v>
      </c>
      <c r="BK12" s="63">
        <f t="shared" si="6"/>
        <v>528129.62138550007</v>
      </c>
      <c r="BL12" s="63">
        <f t="shared" si="7"/>
        <v>3.6438327883923588E-3</v>
      </c>
      <c r="BM12" s="63">
        <f t="shared" si="8"/>
        <v>1.9476633476642649E-3</v>
      </c>
      <c r="BN12" s="63">
        <f t="shared" si="9"/>
        <v>3.0918414329203069E-3</v>
      </c>
      <c r="BO12" s="63">
        <f t="shared" si="10"/>
        <v>2.5069214120984739E-3</v>
      </c>
      <c r="BP12" s="63">
        <f t="shared" si="11"/>
        <v>5.213596426016133E-4</v>
      </c>
      <c r="BQ12" s="63">
        <f t="shared" si="12"/>
        <v>-9297123.3409186043</v>
      </c>
      <c r="BR12" s="63">
        <f t="shared" si="13"/>
        <v>-15145129.536618713</v>
      </c>
      <c r="BS12" s="63">
        <f t="shared" si="14"/>
        <v>0</v>
      </c>
      <c r="BT12" s="63">
        <f t="shared" si="15"/>
        <v>32994397.201427191</v>
      </c>
      <c r="BU12" s="63">
        <f t="shared" si="16"/>
        <v>0</v>
      </c>
      <c r="BV12" s="63">
        <f t="shared" si="17"/>
        <v>0</v>
      </c>
    </row>
    <row r="13" spans="1:74" ht="15" x14ac:dyDescent="0.25">
      <c r="A13" s="4" t="s">
        <v>11</v>
      </c>
      <c r="B13" s="4"/>
      <c r="C13" s="4"/>
      <c r="D13" s="62">
        <v>44774</v>
      </c>
      <c r="E13" s="78">
        <f>AVP!G13</f>
        <v>2.1019759616830096E-2</v>
      </c>
      <c r="F13" s="63">
        <f>AVP!F13</f>
        <v>-60.050363320619908</v>
      </c>
      <c r="G13" s="104">
        <v>2451.2042402975299</v>
      </c>
      <c r="H13" s="104">
        <v>-224.97386534844799</v>
      </c>
      <c r="I13" s="104">
        <v>203.854898110882</v>
      </c>
      <c r="J13" s="104">
        <v>231.93651101983599</v>
      </c>
      <c r="K13" s="104">
        <v>-94.987085296939995</v>
      </c>
      <c r="L13" s="104">
        <v>333.45235581386299</v>
      </c>
      <c r="M13" s="104">
        <v>3.9434354509421802E-8</v>
      </c>
      <c r="N13" s="104">
        <v>2.1271467683529399E-8</v>
      </c>
      <c r="O13" s="104">
        <v>3.2746273455731398E-8</v>
      </c>
      <c r="P13" s="104">
        <v>2.6559693935936098E-8</v>
      </c>
      <c r="Q13" s="104">
        <v>5.2285825996215096E-9</v>
      </c>
      <c r="R13" s="104">
        <v>-96.922849601604995</v>
      </c>
      <c r="S13" s="104">
        <v>-146.27734797815901</v>
      </c>
      <c r="T13" s="104">
        <v>-73.159460374731296</v>
      </c>
      <c r="U13" s="104">
        <v>332.77596655315199</v>
      </c>
      <c r="V13" s="104">
        <v>0</v>
      </c>
      <c r="W13" s="104">
        <v>0</v>
      </c>
      <c r="X13" s="104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79"/>
      <c r="BD13" s="51">
        <v>87649.231</v>
      </c>
      <c r="BF13" s="63">
        <f t="shared" si="18"/>
        <v>214846166.68601769</v>
      </c>
      <c r="BG13" s="63">
        <f t="shared" si="2"/>
        <v>-19718786.292889014</v>
      </c>
      <c r="BH13" s="63">
        <f t="shared" si="3"/>
        <v>17867725.05500216</v>
      </c>
      <c r="BI13" s="63">
        <f t="shared" si="4"/>
        <v>20329056.83171165</v>
      </c>
      <c r="BJ13" s="63">
        <f t="shared" si="5"/>
        <v>-8325544.9812081968</v>
      </c>
      <c r="BK13" s="63">
        <f t="shared" si="6"/>
        <v>29226842.562223472</v>
      </c>
      <c r="BL13" s="63">
        <f t="shared" si="7"/>
        <v>3.4563908477322032E-3</v>
      </c>
      <c r="BM13" s="63">
        <f t="shared" si="8"/>
        <v>1.8644277847027031E-3</v>
      </c>
      <c r="BN13" s="63">
        <f t="shared" si="9"/>
        <v>2.8701856865105697E-3</v>
      </c>
      <c r="BO13" s="63">
        <f t="shared" si="10"/>
        <v>2.3279367490801621E-3</v>
      </c>
      <c r="BP13" s="63">
        <f t="shared" si="11"/>
        <v>4.5828124407680618E-4</v>
      </c>
      <c r="BQ13" s="63">
        <f t="shared" si="12"/>
        <v>-8495213.233909335</v>
      </c>
      <c r="BR13" s="63">
        <f t="shared" si="13"/>
        <v>-12821097.063005043</v>
      </c>
      <c r="BS13" s="63">
        <f t="shared" si="14"/>
        <v>-6412370.4422201701</v>
      </c>
      <c r="BT13" s="63">
        <f t="shared" si="15"/>
        <v>29167557.563665491</v>
      </c>
      <c r="BU13" s="63">
        <f t="shared" si="16"/>
        <v>0</v>
      </c>
      <c r="BV13" s="63">
        <f t="shared" si="17"/>
        <v>0</v>
      </c>
    </row>
    <row r="14" spans="1:74" ht="15" x14ac:dyDescent="0.25">
      <c r="A14" s="4" t="s">
        <v>15</v>
      </c>
      <c r="B14" s="4"/>
      <c r="C14" s="4"/>
      <c r="D14" s="62">
        <v>44805</v>
      </c>
      <c r="E14" s="78">
        <f>AVP!G14</f>
        <v>9.3341560974836892E-3</v>
      </c>
      <c r="F14" s="63">
        <f>AVP!F14</f>
        <v>34.740543557009914</v>
      </c>
      <c r="G14" s="104">
        <v>2460.6864128728198</v>
      </c>
      <c r="H14" s="104">
        <v>-317.94019748739601</v>
      </c>
      <c r="I14" s="104">
        <v>299.56651194791402</v>
      </c>
      <c r="J14" s="104">
        <v>205.47780704591599</v>
      </c>
      <c r="K14" s="104">
        <v>-63.919810952933197</v>
      </c>
      <c r="L14" s="104">
        <v>662.02960404701196</v>
      </c>
      <c r="M14" s="104">
        <v>3.94436776975133E-8</v>
      </c>
      <c r="N14" s="104">
        <v>2.1297926193206402E-8</v>
      </c>
      <c r="O14" s="104">
        <v>3.2219928011873698E-8</v>
      </c>
      <c r="P14" s="104">
        <v>2.62017744417875E-8</v>
      </c>
      <c r="Q14" s="104">
        <v>5.0379466521884202E-9</v>
      </c>
      <c r="R14" s="104">
        <v>-94.288367027261302</v>
      </c>
      <c r="S14" s="104">
        <v>-105.65639395117699</v>
      </c>
      <c r="T14" s="104">
        <v>-188.25154883198601</v>
      </c>
      <c r="U14" s="104">
        <v>317.58317132708999</v>
      </c>
      <c r="V14" s="104">
        <v>0</v>
      </c>
      <c r="W14" s="104">
        <v>511.84526732878902</v>
      </c>
      <c r="X14" s="104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79"/>
      <c r="BD14" s="51">
        <v>85537.832999999999</v>
      </c>
      <c r="BF14" s="63">
        <f t="shared" si="18"/>
        <v>210481783.44968432</v>
      </c>
      <c r="BG14" s="63">
        <f t="shared" si="2"/>
        <v>-27195915.516663898</v>
      </c>
      <c r="BH14" s="63">
        <f t="shared" si="3"/>
        <v>25624270.271393172</v>
      </c>
      <c r="BI14" s="63">
        <f t="shared" si="4"/>
        <v>17576126.344299786</v>
      </c>
      <c r="BJ14" s="63">
        <f t="shared" si="5"/>
        <v>-5467562.1146835703</v>
      </c>
      <c r="BK14" s="63">
        <f t="shared" si="6"/>
        <v>56628577.712029435</v>
      </c>
      <c r="BL14" s="63">
        <f t="shared" si="7"/>
        <v>3.3739267157957172E-3</v>
      </c>
      <c r="BM14" s="63">
        <f t="shared" si="8"/>
        <v>1.8217784539608149E-3</v>
      </c>
      <c r="BN14" s="63">
        <f t="shared" si="9"/>
        <v>2.7560228215516742E-3</v>
      </c>
      <c r="BO14" s="63">
        <f t="shared" si="10"/>
        <v>2.2412430065052872E-3</v>
      </c>
      <c r="BP14" s="63">
        <f t="shared" si="11"/>
        <v>4.3093503939780215E-4</v>
      </c>
      <c r="BQ14" s="63">
        <f t="shared" si="12"/>
        <v>-8065222.5926205833</v>
      </c>
      <c r="BR14" s="63">
        <f t="shared" si="13"/>
        <v>-9037618.9811779875</v>
      </c>
      <c r="BS14" s="63">
        <f t="shared" si="14"/>
        <v>-16102629.545981765</v>
      </c>
      <c r="BT14" s="63">
        <f t="shared" si="15"/>
        <v>27165376.272587012</v>
      </c>
      <c r="BU14" s="63">
        <f t="shared" si="16"/>
        <v>0</v>
      </c>
      <c r="BV14" s="63">
        <f t="shared" si="17"/>
        <v>43782134.99861031</v>
      </c>
    </row>
    <row r="15" spans="1:74" ht="15" x14ac:dyDescent="0.25">
      <c r="A15" s="4" t="s">
        <v>15</v>
      </c>
      <c r="B15" s="4"/>
      <c r="C15" s="4"/>
      <c r="D15" s="62">
        <v>44835</v>
      </c>
      <c r="E15" s="78">
        <f>AVP!G15</f>
        <v>6.8121809456255747E-2</v>
      </c>
      <c r="F15" s="63">
        <f>AVP!F15</f>
        <v>-181.17022473614998</v>
      </c>
      <c r="G15" s="104">
        <v>2472.3609766958798</v>
      </c>
      <c r="H15" s="104">
        <v>-466.43517805387</v>
      </c>
      <c r="I15" s="104">
        <v>211.14792202271599</v>
      </c>
      <c r="J15" s="104">
        <v>342.23036202494899</v>
      </c>
      <c r="K15" s="104">
        <v>0</v>
      </c>
      <c r="L15" s="104">
        <v>597.276485517845</v>
      </c>
      <c r="M15" s="104">
        <v>3.9477777591955999E-8</v>
      </c>
      <c r="N15" s="104">
        <v>2.1528569691942699E-8</v>
      </c>
      <c r="O15" s="104">
        <v>3.1510766450494799E-8</v>
      </c>
      <c r="P15" s="104">
        <v>2.5842889594420901E-8</v>
      </c>
      <c r="Q15" s="104">
        <v>4.7269014422470602E-9</v>
      </c>
      <c r="R15" s="104">
        <v>-92.104001965594804</v>
      </c>
      <c r="S15" s="104">
        <v>-64.038139478891694</v>
      </c>
      <c r="T15" s="104">
        <v>-319.480251448388</v>
      </c>
      <c r="U15" s="104">
        <v>159.71604929841899</v>
      </c>
      <c r="V15" s="104">
        <v>0</v>
      </c>
      <c r="W15" s="104">
        <v>0</v>
      </c>
      <c r="X15" s="104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79"/>
      <c r="BD15" s="51">
        <v>87763.933000000005</v>
      </c>
      <c r="BF15" s="63">
        <f t="shared" si="18"/>
        <v>216984123.11055177</v>
      </c>
      <c r="BG15" s="63">
        <f t="shared" si="2"/>
        <v>-40936185.715562917</v>
      </c>
      <c r="BH15" s="63">
        <f t="shared" si="3"/>
        <v>18531172.081490871</v>
      </c>
      <c r="BI15" s="63">
        <f t="shared" si="4"/>
        <v>30035482.563323367</v>
      </c>
      <c r="BJ15" s="63">
        <f t="shared" si="5"/>
        <v>0</v>
      </c>
      <c r="BK15" s="63">
        <f t="shared" si="6"/>
        <v>52419333.457463622</v>
      </c>
      <c r="BL15" s="63">
        <f t="shared" si="7"/>
        <v>3.464725027569328E-3</v>
      </c>
      <c r="BM15" s="63">
        <f t="shared" si="8"/>
        <v>1.8894319480294898E-3</v>
      </c>
      <c r="BN15" s="63">
        <f t="shared" si="9"/>
        <v>2.7655087955398734E-3</v>
      </c>
      <c r="BO15" s="63">
        <f t="shared" si="10"/>
        <v>2.2680736308911533E-3</v>
      </c>
      <c r="BP15" s="63">
        <f t="shared" si="11"/>
        <v>4.1485146147497438E-4</v>
      </c>
      <c r="BQ15" s="63">
        <f t="shared" si="12"/>
        <v>-8083409.4575403314</v>
      </c>
      <c r="BR15" s="63">
        <f t="shared" si="13"/>
        <v>-5620238.982670106</v>
      </c>
      <c r="BS15" s="63">
        <f t="shared" si="14"/>
        <v>-28038843.38293948</v>
      </c>
      <c r="BT15" s="63">
        <f t="shared" si="15"/>
        <v>14017308.649651142</v>
      </c>
      <c r="BU15" s="63">
        <f t="shared" si="16"/>
        <v>0</v>
      </c>
      <c r="BV15" s="63">
        <f t="shared" si="17"/>
        <v>0</v>
      </c>
    </row>
    <row r="16" spans="1:74" ht="15" x14ac:dyDescent="0.25">
      <c r="A16" s="4" t="s">
        <v>15</v>
      </c>
      <c r="B16" s="4"/>
      <c r="C16" s="4"/>
      <c r="D16" s="62">
        <v>44866</v>
      </c>
      <c r="E16" s="78">
        <f>AVP!G16</f>
        <v>8.3735474300969975E-2</v>
      </c>
      <c r="F16" s="63">
        <f>AVP!F16</f>
        <v>-180.00079003443989</v>
      </c>
      <c r="G16" s="104">
        <v>2471.2078990211999</v>
      </c>
      <c r="H16" s="104">
        <v>-499.551505965773</v>
      </c>
      <c r="I16" s="104">
        <v>236.94617779081301</v>
      </c>
      <c r="J16" s="104">
        <v>311.50690136100701</v>
      </c>
      <c r="K16" s="104">
        <v>-22.012528943617099</v>
      </c>
      <c r="L16" s="104">
        <v>349.14119855130701</v>
      </c>
      <c r="M16" s="104">
        <v>3.93450088795054E-8</v>
      </c>
      <c r="N16" s="104">
        <v>2.0953867689635701E-8</v>
      </c>
      <c r="O16" s="104">
        <v>3.1251207064748101E-8</v>
      </c>
      <c r="P16" s="104">
        <v>2.5686463361454E-8</v>
      </c>
      <c r="Q16" s="104">
        <v>5.1473633720427103E-9</v>
      </c>
      <c r="R16" s="104">
        <v>-93.806405888224702</v>
      </c>
      <c r="S16" s="104">
        <v>-120.993342568646</v>
      </c>
      <c r="T16" s="104">
        <v>-461.401930142217</v>
      </c>
      <c r="U16" s="104">
        <v>158.60032669621299</v>
      </c>
      <c r="V16" s="104">
        <v>0</v>
      </c>
      <c r="W16" s="104">
        <v>0</v>
      </c>
      <c r="X16" s="104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79"/>
      <c r="BD16" s="51">
        <v>94009.815000000002</v>
      </c>
      <c r="BF16" s="63">
        <f t="shared" si="18"/>
        <v>232317797.41352168</v>
      </c>
      <c r="BG16" s="63">
        <f t="shared" si="2"/>
        <v>-46962744.658813715</v>
      </c>
      <c r="BH16" s="63">
        <f t="shared" si="3"/>
        <v>22275266.339071441</v>
      </c>
      <c r="BI16" s="63">
        <f t="shared" si="4"/>
        <v>29284706.168171518</v>
      </c>
      <c r="BJ16" s="63">
        <f t="shared" si="5"/>
        <v>-2069393.7736715889</v>
      </c>
      <c r="BK16" s="63">
        <f t="shared" si="6"/>
        <v>32822699.484686643</v>
      </c>
      <c r="BL16" s="63">
        <f t="shared" si="7"/>
        <v>3.69881700593566E-3</v>
      </c>
      <c r="BM16" s="63">
        <f t="shared" si="8"/>
        <v>1.9698692250371295E-3</v>
      </c>
      <c r="BN16" s="63">
        <f t="shared" si="9"/>
        <v>2.9379201946836621E-3</v>
      </c>
      <c r="BO16" s="63">
        <f t="shared" si="10"/>
        <v>2.4147796686145688E-3</v>
      </c>
      <c r="BP16" s="63">
        <f t="shared" si="11"/>
        <v>4.8390267834351138E-4</v>
      </c>
      <c r="BQ16" s="63">
        <f t="shared" si="12"/>
        <v>-8818722.8633669149</v>
      </c>
      <c r="BR16" s="63">
        <f t="shared" si="13"/>
        <v>-11374561.751110036</v>
      </c>
      <c r="BS16" s="63">
        <f t="shared" si="14"/>
        <v>-43376310.093312748</v>
      </c>
      <c r="BT16" s="63">
        <f t="shared" si="15"/>
        <v>14909987.371650545</v>
      </c>
      <c r="BU16" s="63">
        <f t="shared" si="16"/>
        <v>0</v>
      </c>
      <c r="BV16" s="63">
        <f t="shared" si="17"/>
        <v>0</v>
      </c>
    </row>
    <row r="17" spans="1:74" ht="15" x14ac:dyDescent="0.25">
      <c r="A17" s="4" t="s">
        <v>15</v>
      </c>
      <c r="B17" s="4"/>
      <c r="C17" s="4"/>
      <c r="D17" s="62">
        <v>44896</v>
      </c>
      <c r="E17" s="78">
        <f>AVP!G17</f>
        <v>0.16653930178166598</v>
      </c>
      <c r="F17" s="63">
        <f>AVP!F17</f>
        <v>417.48072170628029</v>
      </c>
      <c r="G17" s="104">
        <v>2458.2113251400001</v>
      </c>
      <c r="H17" s="104">
        <v>-353.24144449561402</v>
      </c>
      <c r="I17" s="104">
        <v>289.02988379941701</v>
      </c>
      <c r="J17" s="104">
        <v>227.984828786592</v>
      </c>
      <c r="K17" s="104">
        <v>-61.709806370060498</v>
      </c>
      <c r="L17" s="104">
        <v>55.053713496998803</v>
      </c>
      <c r="M17" s="104">
        <v>3.9018266009146901E-8</v>
      </c>
      <c r="N17" s="104">
        <v>1.9661458477461299E-8</v>
      </c>
      <c r="O17" s="104">
        <v>3.1429200372974601E-8</v>
      </c>
      <c r="P17" s="104">
        <v>2.5714094173927302E-8</v>
      </c>
      <c r="Q17" s="104">
        <v>6.1680180514741204E-9</v>
      </c>
      <c r="R17" s="104">
        <v>-99.738952120837098</v>
      </c>
      <c r="S17" s="104">
        <v>-34.913355036038297</v>
      </c>
      <c r="T17" s="104">
        <v>-561.41478064556804</v>
      </c>
      <c r="U17" s="104">
        <v>170.05786561683399</v>
      </c>
      <c r="V17" s="104">
        <v>0</v>
      </c>
      <c r="W17" s="104">
        <v>0</v>
      </c>
      <c r="X17" s="104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79"/>
      <c r="BD17" s="51">
        <v>96824.574999999997</v>
      </c>
      <c r="BF17" s="63">
        <f t="shared" si="18"/>
        <v>238015266.81686732</v>
      </c>
      <c r="BG17" s="63">
        <f t="shared" si="2"/>
        <v>-34202452.735673919</v>
      </c>
      <c r="BH17" s="63">
        <f t="shared" si="3"/>
        <v>27985195.661177937</v>
      </c>
      <c r="BI17" s="63">
        <f t="shared" si="4"/>
        <v>22074534.153709535</v>
      </c>
      <c r="BJ17" s="63">
        <f t="shared" si="5"/>
        <v>-5975025.7751134001</v>
      </c>
      <c r="BK17" s="63">
        <f t="shared" si="6"/>
        <v>5330552.4115186725</v>
      </c>
      <c r="BL17" s="63">
        <f t="shared" si="7"/>
        <v>3.7779270235725948E-3</v>
      </c>
      <c r="BM17" s="63">
        <f t="shared" si="8"/>
        <v>1.9037123609603373E-3</v>
      </c>
      <c r="BN17" s="63">
        <f t="shared" si="9"/>
        <v>3.0431189687031069E-3</v>
      </c>
      <c r="BO17" s="63">
        <f t="shared" si="10"/>
        <v>2.4897562399004871E-3</v>
      </c>
      <c r="BP17" s="63">
        <f t="shared" si="11"/>
        <v>5.9721572642630985E-4</v>
      </c>
      <c r="BQ17" s="63">
        <f t="shared" si="12"/>
        <v>-9657181.6500454005</v>
      </c>
      <c r="BR17" s="63">
        <f t="shared" si="13"/>
        <v>-3380470.7631885177</v>
      </c>
      <c r="BS17" s="63">
        <f t="shared" si="14"/>
        <v>-54358747.534725353</v>
      </c>
      <c r="BT17" s="63">
        <f t="shared" si="15"/>
        <v>16465780.563757064</v>
      </c>
      <c r="BU17" s="63">
        <f t="shared" si="16"/>
        <v>0</v>
      </c>
      <c r="BV17" s="63">
        <f t="shared" si="17"/>
        <v>0</v>
      </c>
    </row>
    <row r="18" spans="1:74" ht="15" x14ac:dyDescent="0.25">
      <c r="A18" s="4" t="s">
        <v>15</v>
      </c>
      <c r="B18" s="4"/>
      <c r="C18" s="4"/>
      <c r="D18" s="62">
        <v>44927</v>
      </c>
      <c r="E18" s="78">
        <f>AVP!G18</f>
        <v>7.545703500319019E-2</v>
      </c>
      <c r="F18" s="63">
        <f>AVP!F18</f>
        <v>-133.76095043835016</v>
      </c>
      <c r="G18" s="104">
        <v>2471.9961400464899</v>
      </c>
      <c r="H18" s="104">
        <v>-447.04364718777902</v>
      </c>
      <c r="I18" s="104">
        <v>252.65434101437299</v>
      </c>
      <c r="J18" s="104">
        <v>131.59948035981199</v>
      </c>
      <c r="K18" s="104">
        <v>-87.944065963865299</v>
      </c>
      <c r="L18" s="104">
        <v>411.01457947990599</v>
      </c>
      <c r="M18" s="104">
        <v>3.9326645488606497E-8</v>
      </c>
      <c r="N18" s="104">
        <v>1.9688279762770699E-8</v>
      </c>
      <c r="O18" s="104">
        <v>3.0587930258092699E-8</v>
      </c>
      <c r="P18" s="104">
        <v>2.48285795562441E-8</v>
      </c>
      <c r="Q18" s="104">
        <v>6.1889775180182696E-9</v>
      </c>
      <c r="R18" s="104">
        <v>-87.688070781506198</v>
      </c>
      <c r="S18" s="104">
        <v>-100.212885569986</v>
      </c>
      <c r="T18" s="104">
        <v>-637.93792107972104</v>
      </c>
      <c r="U18" s="104">
        <v>0</v>
      </c>
      <c r="V18" s="104">
        <v>0</v>
      </c>
      <c r="W18" s="104">
        <v>0</v>
      </c>
      <c r="X18" s="104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79"/>
      <c r="BD18" s="51">
        <v>90518.111000000004</v>
      </c>
      <c r="BF18" s="63">
        <f t="shared" si="18"/>
        <v>223760420.99629974</v>
      </c>
      <c r="BG18" s="63">
        <f t="shared" si="2"/>
        <v>-40465546.477988221</v>
      </c>
      <c r="BH18" s="63">
        <f t="shared" si="3"/>
        <v>22869793.684570868</v>
      </c>
      <c r="BI18" s="63">
        <f t="shared" si="4"/>
        <v>11912136.370751783</v>
      </c>
      <c r="BJ18" s="63">
        <f t="shared" si="5"/>
        <v>-7960530.7247084817</v>
      </c>
      <c r="BK18" s="63">
        <f t="shared" si="6"/>
        <v>37204263.327980451</v>
      </c>
      <c r="BL18" s="63">
        <f t="shared" si="7"/>
        <v>3.5597736615953324E-3</v>
      </c>
      <c r="BM18" s="63">
        <f t="shared" si="8"/>
        <v>1.782145892965532E-3</v>
      </c>
      <c r="BN18" s="63">
        <f t="shared" si="9"/>
        <v>2.7687616663622937E-3</v>
      </c>
      <c r="BO18" s="63">
        <f t="shared" si="10"/>
        <v>2.2474361202444344E-3</v>
      </c>
      <c r="BP18" s="63">
        <f t="shared" si="11"/>
        <v>5.6021455395248226E-4</v>
      </c>
      <c r="BQ18" s="63">
        <f t="shared" si="12"/>
        <v>-7937358.524376235</v>
      </c>
      <c r="BR18" s="63">
        <f t="shared" si="13"/>
        <v>-9071081.0996542908</v>
      </c>
      <c r="BS18" s="63">
        <f t="shared" si="14"/>
        <v>-57744935.551403433</v>
      </c>
      <c r="BT18" s="63">
        <f t="shared" si="15"/>
        <v>0</v>
      </c>
      <c r="BU18" s="63">
        <f t="shared" si="16"/>
        <v>0</v>
      </c>
      <c r="BV18" s="63">
        <f t="shared" si="17"/>
        <v>0</v>
      </c>
    </row>
    <row r="19" spans="1:74" ht="15" x14ac:dyDescent="0.25">
      <c r="A19" s="4" t="s">
        <v>15</v>
      </c>
      <c r="B19" s="4"/>
      <c r="C19" s="4"/>
      <c r="D19" s="62">
        <v>44958</v>
      </c>
      <c r="E19" s="78">
        <f>AVP!G19</f>
        <v>0.17924356985811252</v>
      </c>
      <c r="F19" s="63">
        <f>AVP!F19</f>
        <v>-250.86213063061996</v>
      </c>
      <c r="G19" s="104">
        <v>2477.0791160833601</v>
      </c>
      <c r="H19" s="104">
        <v>-540.98838023562098</v>
      </c>
      <c r="I19" s="104">
        <v>182.509454300149</v>
      </c>
      <c r="J19" s="104">
        <v>181.884943044333</v>
      </c>
      <c r="K19" s="104">
        <v>-45.090108154914098</v>
      </c>
      <c r="L19" s="104">
        <v>61.176079455693198</v>
      </c>
      <c r="M19" s="104">
        <v>3.9407231691735598E-8</v>
      </c>
      <c r="N19" s="104">
        <v>1.9298008225624399E-8</v>
      </c>
      <c r="O19" s="104">
        <v>3.0039915083626E-8</v>
      </c>
      <c r="P19" s="104">
        <v>2.4240870981588499E-8</v>
      </c>
      <c r="Q19" s="104">
        <v>6.5441676004013201E-9</v>
      </c>
      <c r="R19" s="104">
        <v>-21.6368522167657</v>
      </c>
      <c r="S19" s="104">
        <v>-33.168675152964603</v>
      </c>
      <c r="T19" s="104">
        <v>-611.34344661218495</v>
      </c>
      <c r="U19" s="104">
        <v>0</v>
      </c>
      <c r="V19" s="104">
        <v>0</v>
      </c>
      <c r="W19" s="104">
        <v>0</v>
      </c>
      <c r="X19" s="104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79"/>
      <c r="BD19" s="51">
        <v>96822.546000000002</v>
      </c>
      <c r="BF19" s="63">
        <f t="shared" si="18"/>
        <v>239837106.66262048</v>
      </c>
      <c r="BG19" s="63">
        <f t="shared" si="2"/>
        <v>-52379872.330828905</v>
      </c>
      <c r="BH19" s="63">
        <f t="shared" si="3"/>
        <v>17671030.034411076</v>
      </c>
      <c r="BI19" s="63">
        <f t="shared" si="4"/>
        <v>17610563.264617313</v>
      </c>
      <c r="BJ19" s="63">
        <f t="shared" si="5"/>
        <v>-4365739.0709741451</v>
      </c>
      <c r="BK19" s="63">
        <f t="shared" si="6"/>
        <v>5923223.7671985095</v>
      </c>
      <c r="BL19" s="63">
        <f t="shared" si="7"/>
        <v>3.815508503205728E-3</v>
      </c>
      <c r="BM19" s="63">
        <f t="shared" si="8"/>
        <v>1.8684822891338968E-3</v>
      </c>
      <c r="BN19" s="63">
        <f t="shared" si="9"/>
        <v>2.9085410600204723E-3</v>
      </c>
      <c r="BO19" s="63">
        <f t="shared" si="10"/>
        <v>2.3470628456949178E-3</v>
      </c>
      <c r="BP19" s="63">
        <f t="shared" si="11"/>
        <v>6.3362296852156647E-4</v>
      </c>
      <c r="BQ19" s="63">
        <f t="shared" si="12"/>
        <v>-2094935.119052999</v>
      </c>
      <c r="BR19" s="63">
        <f t="shared" si="13"/>
        <v>-3211475.5757569722</v>
      </c>
      <c r="BS19" s="63">
        <f t="shared" si="14"/>
        <v>-59191828.981406823</v>
      </c>
      <c r="BT19" s="63">
        <f t="shared" si="15"/>
        <v>0</v>
      </c>
      <c r="BU19" s="63">
        <f t="shared" si="16"/>
        <v>0</v>
      </c>
      <c r="BV19" s="63">
        <f t="shared" si="17"/>
        <v>0</v>
      </c>
    </row>
    <row r="20" spans="1:74" ht="15" x14ac:dyDescent="0.25">
      <c r="A20" s="4" t="s">
        <v>15</v>
      </c>
      <c r="B20" s="4"/>
      <c r="C20" s="4"/>
      <c r="D20" s="62">
        <v>44986</v>
      </c>
      <c r="E20" s="78">
        <f>AVP!G20</f>
        <v>8.7422606815709514E-2</v>
      </c>
      <c r="F20" s="63">
        <f>AVP!F20</f>
        <v>214.71438089233015</v>
      </c>
      <c r="G20" s="104">
        <v>2467.5094900091899</v>
      </c>
      <c r="H20" s="104">
        <v>-360.60004968716402</v>
      </c>
      <c r="I20" s="104">
        <v>269.28417126602699</v>
      </c>
      <c r="J20" s="104">
        <v>170.598481657771</v>
      </c>
      <c r="K20" s="104">
        <v>-56.976202950966801</v>
      </c>
      <c r="L20" s="104">
        <v>367.58439448425702</v>
      </c>
      <c r="M20" s="104">
        <v>3.9227482540527199E-8</v>
      </c>
      <c r="N20" s="104">
        <v>1.8066884288510101E-8</v>
      </c>
      <c r="O20" s="104">
        <v>3.0133462321461601E-8</v>
      </c>
      <c r="P20" s="104">
        <v>2.3776206444981599E-8</v>
      </c>
      <c r="Q20" s="104">
        <v>7.6186900264243003E-9</v>
      </c>
      <c r="R20" s="104">
        <v>-0.28940425867929098</v>
      </c>
      <c r="S20" s="104">
        <v>-90.116159391881098</v>
      </c>
      <c r="T20" s="104">
        <v>-525.65810213970497</v>
      </c>
      <c r="U20" s="104">
        <v>0</v>
      </c>
      <c r="V20" s="104">
        <v>0</v>
      </c>
      <c r="W20" s="104">
        <v>0</v>
      </c>
      <c r="X20" s="104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79"/>
      <c r="BD20" s="51">
        <v>91977.659</v>
      </c>
      <c r="BF20" s="63">
        <f t="shared" si="18"/>
        <v>226955746.45132917</v>
      </c>
      <c r="BG20" s="63">
        <f t="shared" si="2"/>
        <v>-33167148.405509029</v>
      </c>
      <c r="BH20" s="63">
        <f t="shared" si="3"/>
        <v>24768127.67880423</v>
      </c>
      <c r="BI20" s="63">
        <f t="shared" si="4"/>
        <v>15691248.971836217</v>
      </c>
      <c r="BJ20" s="63">
        <f t="shared" si="5"/>
        <v>-5240537.7661388181</v>
      </c>
      <c r="BK20" s="63">
        <f t="shared" si="6"/>
        <v>33809552.089594476</v>
      </c>
      <c r="BL20" s="63">
        <f t="shared" si="7"/>
        <v>3.6080520125410646E-3</v>
      </c>
      <c r="BM20" s="63">
        <f t="shared" si="8"/>
        <v>1.6617497222810396E-3</v>
      </c>
      <c r="BN20" s="63">
        <f t="shared" si="9"/>
        <v>2.7716053218927433E-3</v>
      </c>
      <c r="BO20" s="63">
        <f t="shared" si="10"/>
        <v>2.1868798087101198E-3</v>
      </c>
      <c r="BP20" s="63">
        <f t="shared" si="11"/>
        <v>7.0074927327715532E-4</v>
      </c>
      <c r="BQ20" s="63">
        <f t="shared" si="12"/>
        <v>-26618.726217951615</v>
      </c>
      <c r="BR20" s="63">
        <f t="shared" si="13"/>
        <v>-8288673.3789360868</v>
      </c>
      <c r="BS20" s="63">
        <f t="shared" si="14"/>
        <v>-48348801.669192955</v>
      </c>
      <c r="BT20" s="63">
        <f t="shared" si="15"/>
        <v>0</v>
      </c>
      <c r="BU20" s="63">
        <f t="shared" si="16"/>
        <v>0</v>
      </c>
      <c r="BV20" s="63">
        <f t="shared" si="17"/>
        <v>0</v>
      </c>
    </row>
    <row r="21" spans="1:74" ht="15" x14ac:dyDescent="0.25">
      <c r="A21" s="4" t="s">
        <v>15</v>
      </c>
      <c r="B21" s="4"/>
      <c r="C21" s="4"/>
      <c r="D21" s="62">
        <v>45017</v>
      </c>
      <c r="E21" s="78">
        <f>AVP!G21</f>
        <v>2.7604954336156829E-2</v>
      </c>
      <c r="F21" s="63">
        <f>AVP!F21</f>
        <v>58.863590008430037</v>
      </c>
      <c r="G21" s="104">
        <v>2470.79341779691</v>
      </c>
      <c r="H21" s="104">
        <v>-447.029324436384</v>
      </c>
      <c r="I21" s="104">
        <v>301.85373247903601</v>
      </c>
      <c r="J21" s="104">
        <v>130.95720263969099</v>
      </c>
      <c r="K21" s="104">
        <v>-61.7903845442654</v>
      </c>
      <c r="L21" s="104">
        <v>54.929539634890801</v>
      </c>
      <c r="M21" s="104">
        <v>3.9185682092361997E-8</v>
      </c>
      <c r="N21" s="104">
        <v>1.7682826303260001E-8</v>
      </c>
      <c r="O21" s="104">
        <v>2.9640654373618801E-8</v>
      </c>
      <c r="P21" s="104">
        <v>2.3335715052290599E-8</v>
      </c>
      <c r="Q21" s="104">
        <v>7.9751765078284806E-9</v>
      </c>
      <c r="R21" s="104">
        <v>-1.02823768435465E-3</v>
      </c>
      <c r="S21" s="104">
        <v>-32.766887501535997</v>
      </c>
      <c r="T21" s="104">
        <v>-343.45385795690601</v>
      </c>
      <c r="U21" s="104">
        <v>0</v>
      </c>
      <c r="V21" s="104">
        <v>0</v>
      </c>
      <c r="W21" s="104">
        <v>0</v>
      </c>
      <c r="X21" s="104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79"/>
      <c r="BD21" s="51">
        <v>100548.38</v>
      </c>
      <c r="BF21" s="63">
        <f t="shared" si="18"/>
        <v>248434275.47414249</v>
      </c>
      <c r="BG21" s="63">
        <f t="shared" si="2"/>
        <v>-44948074.384572826</v>
      </c>
      <c r="BH21" s="63">
        <f t="shared" si="3"/>
        <v>30350903.797720455</v>
      </c>
      <c r="BI21" s="63">
        <f t="shared" si="4"/>
        <v>13167534.574752653</v>
      </c>
      <c r="BJ21" s="63">
        <f t="shared" si="5"/>
        <v>-6212923.0655029248</v>
      </c>
      <c r="BK21" s="63">
        <f t="shared" si="6"/>
        <v>5523076.2244340619</v>
      </c>
      <c r="BL21" s="63">
        <f t="shared" si="7"/>
        <v>3.9400568535820097E-3</v>
      </c>
      <c r="BM21" s="63">
        <f t="shared" si="8"/>
        <v>1.777979538614182E-3</v>
      </c>
      <c r="BN21" s="63">
        <f t="shared" si="9"/>
        <v>2.9803197794072852E-3</v>
      </c>
      <c r="BO21" s="63">
        <f t="shared" si="10"/>
        <v>2.346368344649435E-3</v>
      </c>
      <c r="BP21" s="63">
        <f t="shared" si="11"/>
        <v>8.0189107807621107E-4</v>
      </c>
      <c r="BQ21" s="63">
        <f t="shared" si="12"/>
        <v>-103.38763341681141</v>
      </c>
      <c r="BR21" s="63">
        <f t="shared" si="13"/>
        <v>-3294657.4559216923</v>
      </c>
      <c r="BS21" s="63">
        <f t="shared" si="14"/>
        <v>-34533729.022317007</v>
      </c>
      <c r="BT21" s="63">
        <f t="shared" si="15"/>
        <v>0</v>
      </c>
      <c r="BU21" s="63">
        <f t="shared" si="16"/>
        <v>0</v>
      </c>
      <c r="BV21" s="63">
        <f t="shared" si="17"/>
        <v>0</v>
      </c>
    </row>
    <row r="22" spans="1:74" ht="15" x14ac:dyDescent="0.25">
      <c r="A22" s="4" t="s">
        <v>15</v>
      </c>
      <c r="B22" s="4"/>
      <c r="C22" s="4"/>
      <c r="D22" s="62">
        <v>45047</v>
      </c>
      <c r="E22" s="78">
        <f>AVP!G22</f>
        <v>0.10315111999051638</v>
      </c>
      <c r="F22" s="63">
        <f>AVP!F22</f>
        <v>281.6016292140298</v>
      </c>
      <c r="G22" s="104">
        <v>2477.2815097868001</v>
      </c>
      <c r="H22" s="104">
        <v>-452.530988768979</v>
      </c>
      <c r="I22" s="104">
        <v>305.553731984026</v>
      </c>
      <c r="J22" s="104">
        <v>68.717993587248202</v>
      </c>
      <c r="K22" s="104">
        <v>-50.622440806343299</v>
      </c>
      <c r="L22" s="104">
        <v>319.944571013043</v>
      </c>
      <c r="M22" s="104">
        <v>3.9197159151640998E-8</v>
      </c>
      <c r="N22" s="104">
        <v>1.7443190530789799E-8</v>
      </c>
      <c r="O22" s="104">
        <v>2.9011059651732799E-8</v>
      </c>
      <c r="P22" s="104">
        <v>2.2857842507030201E-8</v>
      </c>
      <c r="Q22" s="104">
        <v>8.1988581631469305E-9</v>
      </c>
      <c r="R22" s="104">
        <v>-4.7167483977273196E-3</v>
      </c>
      <c r="S22" s="104">
        <v>-40.386887029930897</v>
      </c>
      <c r="T22" s="104">
        <v>-179.563402348209</v>
      </c>
      <c r="U22" s="104">
        <v>0</v>
      </c>
      <c r="V22" s="104">
        <v>0</v>
      </c>
      <c r="W22" s="104">
        <v>0</v>
      </c>
      <c r="X22" s="104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79"/>
      <c r="BD22" s="51">
        <v>92943.709000000003</v>
      </c>
      <c r="BF22" s="63">
        <f t="shared" si="18"/>
        <v>230247731.75670502</v>
      </c>
      <c r="BG22" s="63">
        <f t="shared" si="2"/>
        <v>-42059908.533626251</v>
      </c>
      <c r="BH22" s="63">
        <f t="shared" si="3"/>
        <v>28399297.149387307</v>
      </c>
      <c r="BI22" s="63">
        <f t="shared" si="4"/>
        <v>6386905.1990370629</v>
      </c>
      <c r="BJ22" s="63">
        <f t="shared" si="5"/>
        <v>-4705037.4071744969</v>
      </c>
      <c r="BK22" s="63">
        <f t="shared" si="6"/>
        <v>29736835.104366105</v>
      </c>
      <c r="BL22" s="63">
        <f t="shared" si="7"/>
        <v>3.643129353816808E-3</v>
      </c>
      <c r="BM22" s="63">
        <f t="shared" si="8"/>
        <v>1.6212348247252827E-3</v>
      </c>
      <c r="BN22" s="63">
        <f t="shared" si="9"/>
        <v>2.6963954860522946E-3</v>
      </c>
      <c r="BO22" s="63">
        <f t="shared" si="10"/>
        <v>2.1244926623412456E-3</v>
      </c>
      <c r="BP22" s="63">
        <f t="shared" si="11"/>
        <v>7.6203228724780285E-4</v>
      </c>
      <c r="BQ22" s="63">
        <f t="shared" si="12"/>
        <v>-438.39209050458425</v>
      </c>
      <c r="BR22" s="63">
        <f t="shared" si="13"/>
        <v>-3753707.0755257718</v>
      </c>
      <c r="BS22" s="63">
        <f t="shared" si="14"/>
        <v>-16689288.614901854</v>
      </c>
      <c r="BT22" s="63">
        <f t="shared" si="15"/>
        <v>0</v>
      </c>
      <c r="BU22" s="63">
        <f t="shared" si="16"/>
        <v>0</v>
      </c>
      <c r="BV22" s="63">
        <f t="shared" si="17"/>
        <v>0</v>
      </c>
    </row>
    <row r="23" spans="1:74" ht="15" x14ac:dyDescent="0.25">
      <c r="A23" s="4" t="s">
        <v>15</v>
      </c>
      <c r="B23" s="4" t="s">
        <v>79</v>
      </c>
      <c r="C23" s="4">
        <v>2023</v>
      </c>
      <c r="D23" s="62">
        <v>45078</v>
      </c>
      <c r="E23" s="78">
        <f>AVP!G23</f>
        <v>3.5653820848174318E-2</v>
      </c>
      <c r="F23" s="63">
        <f>AVP!F23</f>
        <v>-137.10744549425044</v>
      </c>
      <c r="G23" s="104">
        <v>2498.53462608989</v>
      </c>
      <c r="H23" s="104">
        <v>-679.46175418232201</v>
      </c>
      <c r="I23" s="104">
        <v>284.52754807890398</v>
      </c>
      <c r="J23" s="104">
        <v>93.771502286812407</v>
      </c>
      <c r="K23" s="104">
        <v>-99.087500142096602</v>
      </c>
      <c r="L23" s="104">
        <v>410.609164554583</v>
      </c>
      <c r="M23" s="104">
        <v>388.39791937088199</v>
      </c>
      <c r="N23" s="104">
        <v>30.6544768856003</v>
      </c>
      <c r="O23" s="104">
        <v>261.27739505869698</v>
      </c>
      <c r="P23" s="104">
        <v>224.130800982072</v>
      </c>
      <c r="Q23" s="104">
        <v>73.835672318537803</v>
      </c>
      <c r="R23" s="104">
        <v>-91.053202243804606</v>
      </c>
      <c r="S23" s="104">
        <v>55.313237421001297</v>
      </c>
      <c r="T23" s="104">
        <v>-53.9986515295328</v>
      </c>
      <c r="U23" s="104">
        <v>0</v>
      </c>
      <c r="V23" s="104">
        <v>585.17521054501799</v>
      </c>
      <c r="W23" s="104">
        <v>0</v>
      </c>
      <c r="X23" s="104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79"/>
      <c r="BD23" s="51">
        <v>90919.335000000006</v>
      </c>
      <c r="BF23" s="63">
        <f t="shared" si="18"/>
        <v>227165106.67856646</v>
      </c>
      <c r="BG23" s="63">
        <f t="shared" si="2"/>
        <v>-61776210.848190188</v>
      </c>
      <c r="BH23" s="63">
        <f t="shared" si="3"/>
        <v>25869055.460514478</v>
      </c>
      <c r="BI23" s="63">
        <f t="shared" si="4"/>
        <v>8525642.6298679635</v>
      </c>
      <c r="BJ23" s="63">
        <f t="shared" si="5"/>
        <v>-9008969.6197318286</v>
      </c>
      <c r="BK23" s="63">
        <f t="shared" si="6"/>
        <v>37332312.186208263</v>
      </c>
      <c r="BL23" s="63">
        <f t="shared" si="7"/>
        <v>35312880.544584215</v>
      </c>
      <c r="BM23" s="63">
        <f t="shared" si="8"/>
        <v>2787084.6532116504</v>
      </c>
      <c r="BN23" s="63">
        <f t="shared" si="9"/>
        <v>23755167.009269018</v>
      </c>
      <c r="BO23" s="63">
        <f t="shared" si="10"/>
        <v>20377823.378307335</v>
      </c>
      <c r="BP23" s="63">
        <f t="shared" si="11"/>
        <v>6713090.2264793655</v>
      </c>
      <c r="BQ23" s="63">
        <f t="shared" si="12"/>
        <v>-8278496.5976272235</v>
      </c>
      <c r="BR23" s="63">
        <f t="shared" si="13"/>
        <v>5029042.7630145531</v>
      </c>
      <c r="BS23" s="63">
        <f t="shared" si="14"/>
        <v>-4909521.4879618557</v>
      </c>
      <c r="BT23" s="63">
        <f t="shared" si="15"/>
        <v>0</v>
      </c>
      <c r="BU23" s="63">
        <f t="shared" si="16"/>
        <v>53203741.001238026</v>
      </c>
      <c r="BV23" s="63">
        <f t="shared" si="17"/>
        <v>0</v>
      </c>
    </row>
    <row r="24" spans="1:74" ht="15" x14ac:dyDescent="0.25">
      <c r="A24" s="4" t="s">
        <v>15</v>
      </c>
      <c r="B24" s="4" t="s">
        <v>79</v>
      </c>
      <c r="C24" s="4">
        <v>2023</v>
      </c>
      <c r="D24" s="62">
        <v>45108</v>
      </c>
      <c r="E24" s="78">
        <f>AVP!G24</f>
        <v>9.3820137996425149E-2</v>
      </c>
      <c r="F24" s="63">
        <f>AVP!F24</f>
        <v>-294.89329988718964</v>
      </c>
      <c r="G24" s="104">
        <v>2512.4215074825502</v>
      </c>
      <c r="H24" s="104">
        <v>-813.04055006017597</v>
      </c>
      <c r="I24" s="104">
        <v>295.73713970177801</v>
      </c>
      <c r="J24" s="104">
        <v>99.307273021311602</v>
      </c>
      <c r="K24" s="104">
        <v>-122.373964760161</v>
      </c>
      <c r="L24" s="104">
        <v>463.00458132479702</v>
      </c>
      <c r="M24" s="104">
        <v>396.74059646403299</v>
      </c>
      <c r="N24" s="104">
        <v>174.83294440917601</v>
      </c>
      <c r="O24" s="104">
        <v>271.09594003145298</v>
      </c>
      <c r="P24" s="104">
        <v>218.48178681111901</v>
      </c>
      <c r="Q24" s="104">
        <v>74.603108228397105</v>
      </c>
      <c r="R24" s="104">
        <v>-89.735572318366593</v>
      </c>
      <c r="S24" s="104">
        <v>-15.500809382488599</v>
      </c>
      <c r="T24" s="104">
        <v>-27.503681066232499</v>
      </c>
      <c r="U24" s="104">
        <v>0</v>
      </c>
      <c r="V24" s="104">
        <v>0</v>
      </c>
      <c r="W24" s="104">
        <v>0</v>
      </c>
      <c r="X24" s="104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79"/>
      <c r="BD24" s="51">
        <v>89381.705000000002</v>
      </c>
      <c r="BF24" s="63">
        <f t="shared" si="18"/>
        <v>224564518.01746058</v>
      </c>
      <c r="BG24" s="63">
        <f t="shared" si="2"/>
        <v>-72670950.59851639</v>
      </c>
      <c r="BH24" s="63">
        <f t="shared" si="3"/>
        <v>26433489.778368112</v>
      </c>
      <c r="BI24" s="63">
        <f t="shared" si="4"/>
        <v>8876253.3815453332</v>
      </c>
      <c r="BJ24" s="63">
        <f t="shared" si="5"/>
        <v>-10937993.617873106</v>
      </c>
      <c r="BK24" s="63">
        <f t="shared" si="6"/>
        <v>41384138.901621521</v>
      </c>
      <c r="BL24" s="63">
        <f t="shared" si="7"/>
        <v>35461350.95467224</v>
      </c>
      <c r="BM24" s="63">
        <f t="shared" si="8"/>
        <v>15626866.66146237</v>
      </c>
      <c r="BN24" s="63">
        <f t="shared" si="9"/>
        <v>24231017.33858902</v>
      </c>
      <c r="BO24" s="63">
        <f t="shared" si="10"/>
        <v>19528274.616624329</v>
      </c>
      <c r="BP24" s="63">
        <f t="shared" si="11"/>
        <v>6668153.0117536625</v>
      </c>
      <c r="BQ24" s="63">
        <f t="shared" si="12"/>
        <v>-8020718.4529664088</v>
      </c>
      <c r="BR24" s="63">
        <f t="shared" si="13"/>
        <v>-1385488.7714868281</v>
      </c>
      <c r="BS24" s="63">
        <f t="shared" si="14"/>
        <v>-2458325.9074760787</v>
      </c>
      <c r="BT24" s="63">
        <f t="shared" si="15"/>
        <v>0</v>
      </c>
      <c r="BU24" s="63">
        <f t="shared" si="16"/>
        <v>0</v>
      </c>
      <c r="BV24" s="63">
        <f t="shared" si="17"/>
        <v>0</v>
      </c>
    </row>
    <row r="25" spans="1:74" ht="15" x14ac:dyDescent="0.25">
      <c r="A25" s="4" t="s">
        <v>15</v>
      </c>
      <c r="B25" s="4" t="s">
        <v>79</v>
      </c>
      <c r="C25" s="4">
        <v>2023</v>
      </c>
      <c r="D25" s="62">
        <v>45139</v>
      </c>
      <c r="E25" s="78">
        <f>AVP!G25</f>
        <v>7.0709761253403655E-2</v>
      </c>
      <c r="F25" s="63">
        <f>AVP!F25</f>
        <v>-195.64160588970981</v>
      </c>
      <c r="G25" s="104">
        <v>2510.2356959373401</v>
      </c>
      <c r="H25" s="104">
        <v>-827.93500130736004</v>
      </c>
      <c r="I25" s="104">
        <v>293.57267970148098</v>
      </c>
      <c r="J25" s="104">
        <v>0</v>
      </c>
      <c r="K25" s="104">
        <v>-239.634713689721</v>
      </c>
      <c r="L25" s="104">
        <v>319.59722845016</v>
      </c>
      <c r="M25" s="104">
        <v>394.76450336512403</v>
      </c>
      <c r="N25" s="104">
        <v>152.22997286211699</v>
      </c>
      <c r="O25" s="104">
        <v>269.101116075297</v>
      </c>
      <c r="P25" s="104">
        <v>215.84954306063801</v>
      </c>
      <c r="Q25" s="104">
        <v>81.693020599560001</v>
      </c>
      <c r="R25" s="104">
        <v>-90.556002675633806</v>
      </c>
      <c r="S25" s="104">
        <v>-15.259075471110201</v>
      </c>
      <c r="T25" s="104">
        <v>-101.19136101818199</v>
      </c>
      <c r="U25" s="104">
        <v>0</v>
      </c>
      <c r="V25" s="104">
        <v>0</v>
      </c>
      <c r="W25" s="104">
        <v>0</v>
      </c>
      <c r="X25" s="104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79"/>
      <c r="BD25" s="51">
        <v>93783.698999999993</v>
      </c>
      <c r="BF25" s="63">
        <f t="shared" si="18"/>
        <v>235419188.92684302</v>
      </c>
      <c r="BG25" s="63">
        <f t="shared" si="2"/>
        <v>-77646806.954174057</v>
      </c>
      <c r="BH25" s="63">
        <f t="shared" si="3"/>
        <v>27532331.827747099</v>
      </c>
      <c r="BI25" s="63">
        <f t="shared" si="4"/>
        <v>0</v>
      </c>
      <c r="BJ25" s="63">
        <f t="shared" si="5"/>
        <v>-22473829.858627971</v>
      </c>
      <c r="BK25" s="63">
        <f t="shared" si="6"/>
        <v>29973010.274204042</v>
      </c>
      <c r="BL25" s="63">
        <f t="shared" si="7"/>
        <v>37022475.359479278</v>
      </c>
      <c r="BM25" s="63">
        <f t="shared" si="8"/>
        <v>14276689.953678947</v>
      </c>
      <c r="BN25" s="63">
        <f t="shared" si="9"/>
        <v>25237298.070569713</v>
      </c>
      <c r="BO25" s="63">
        <f t="shared" si="10"/>
        <v>20243168.575686414</v>
      </c>
      <c r="BP25" s="63">
        <f t="shared" si="11"/>
        <v>7661473.654309934</v>
      </c>
      <c r="BQ25" s="63">
        <f t="shared" si="12"/>
        <v>-8492676.8975748345</v>
      </c>
      <c r="BR25" s="63">
        <f t="shared" si="13"/>
        <v>-1431052.5410008822</v>
      </c>
      <c r="BS25" s="63">
        <f t="shared" si="14"/>
        <v>-9490100.1431295127</v>
      </c>
      <c r="BT25" s="63">
        <f t="shared" si="15"/>
        <v>0</v>
      </c>
      <c r="BU25" s="63">
        <f t="shared" si="16"/>
        <v>0</v>
      </c>
      <c r="BV25" s="63">
        <f t="shared" si="17"/>
        <v>0</v>
      </c>
    </row>
    <row r="26" spans="1:74" ht="15" x14ac:dyDescent="0.25">
      <c r="A26" s="4" t="s">
        <v>17</v>
      </c>
      <c r="B26" s="4" t="s">
        <v>79</v>
      </c>
      <c r="C26" s="4">
        <v>2023</v>
      </c>
      <c r="D26" s="62">
        <v>45170</v>
      </c>
      <c r="E26" s="78">
        <f>AVP!G26</f>
        <v>9.5316655785984954E-3</v>
      </c>
      <c r="F26" s="63">
        <f>AVP!F26</f>
        <v>-32.209404323200033</v>
      </c>
      <c r="G26" s="104">
        <v>2497.7847955812099</v>
      </c>
      <c r="H26" s="104">
        <v>-657.94595532474</v>
      </c>
      <c r="I26" s="104">
        <v>331.19340119348902</v>
      </c>
      <c r="J26" s="104">
        <v>71.937966147810599</v>
      </c>
      <c r="K26" s="104">
        <v>-165.74096552559001</v>
      </c>
      <c r="L26" s="104">
        <v>264.166567809377</v>
      </c>
      <c r="M26" s="104">
        <v>388.26951255332</v>
      </c>
      <c r="N26" s="104">
        <v>25.145589633063999</v>
      </c>
      <c r="O26" s="104">
        <v>221.077224234927</v>
      </c>
      <c r="P26" s="104">
        <v>213.148189629218</v>
      </c>
      <c r="Q26" s="104">
        <v>93.950801717283497</v>
      </c>
      <c r="R26" s="104">
        <v>-93.834403964887798</v>
      </c>
      <c r="S26" s="104">
        <v>-81.357618799406495</v>
      </c>
      <c r="T26" s="104">
        <v>-216.32014838507999</v>
      </c>
      <c r="U26" s="104">
        <v>0</v>
      </c>
      <c r="V26" s="104">
        <v>0</v>
      </c>
      <c r="W26" s="104">
        <v>519.93444782320296</v>
      </c>
      <c r="X26" s="104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79"/>
      <c r="BD26" s="51">
        <v>93036.894</v>
      </c>
      <c r="BF26" s="63">
        <f t="shared" si="18"/>
        <v>232386139.26130068</v>
      </c>
      <c r="BG26" s="63">
        <f t="shared" si="2"/>
        <v>-61213248.103276573</v>
      </c>
      <c r="BH26" s="63">
        <f t="shared" si="3"/>
        <v>30813205.36033811</v>
      </c>
      <c r="BI26" s="63">
        <f t="shared" si="4"/>
        <v>6692884.931069443</v>
      </c>
      <c r="BJ26" s="63">
        <f t="shared" si="5"/>
        <v>-15420024.641061973</v>
      </c>
      <c r="BK26" s="63">
        <f t="shared" si="6"/>
        <v>24577236.967624821</v>
      </c>
      <c r="BL26" s="63">
        <f t="shared" si="7"/>
        <v>36123389.482854903</v>
      </c>
      <c r="BM26" s="63">
        <f t="shared" si="8"/>
        <v>2339467.5572588742</v>
      </c>
      <c r="BN26" s="63">
        <f t="shared" si="9"/>
        <v>20568338.276959136</v>
      </c>
      <c r="BO26" s="63">
        <f t="shared" si="10"/>
        <v>19830645.524825454</v>
      </c>
      <c r="BP26" s="63">
        <f t="shared" si="11"/>
        <v>8740890.7805859223</v>
      </c>
      <c r="BQ26" s="63">
        <f t="shared" si="12"/>
        <v>-8730061.4952344466</v>
      </c>
      <c r="BR26" s="63">
        <f t="shared" si="13"/>
        <v>-7569260.156332789</v>
      </c>
      <c r="BS26" s="63">
        <f t="shared" si="14"/>
        <v>-20125754.71536696</v>
      </c>
      <c r="BT26" s="63">
        <f t="shared" si="15"/>
        <v>0</v>
      </c>
      <c r="BU26" s="63">
        <f t="shared" si="16"/>
        <v>0</v>
      </c>
      <c r="BV26" s="63">
        <f t="shared" si="17"/>
        <v>48373086.109075867</v>
      </c>
    </row>
    <row r="27" spans="1:74" ht="15" x14ac:dyDescent="0.25">
      <c r="A27" s="4" t="s">
        <v>17</v>
      </c>
      <c r="B27" s="4" t="s">
        <v>79</v>
      </c>
      <c r="C27" s="4">
        <v>2023</v>
      </c>
      <c r="D27" s="62">
        <v>45200</v>
      </c>
      <c r="E27" s="78">
        <f>AVP!G27</f>
        <v>8.8521303739470857E-4</v>
      </c>
      <c r="F27" s="63">
        <f>AVP!F27</f>
        <v>-2.2200222356300401</v>
      </c>
      <c r="G27" s="104">
        <v>2483.68660311861</v>
      </c>
      <c r="H27" s="104">
        <v>-483.23577672146598</v>
      </c>
      <c r="I27" s="104">
        <v>288.00571674528697</v>
      </c>
      <c r="J27" s="104">
        <v>229.78127096198801</v>
      </c>
      <c r="K27" s="104">
        <v>-248.43222241137599</v>
      </c>
      <c r="L27" s="104">
        <v>42.0106835990386</v>
      </c>
      <c r="M27" s="104">
        <v>348.10023965119098</v>
      </c>
      <c r="N27" s="104">
        <v>0.21286900655129801</v>
      </c>
      <c r="O27" s="104">
        <v>31.454487606494201</v>
      </c>
      <c r="P27" s="104">
        <v>191.53098148541599</v>
      </c>
      <c r="Q27" s="104">
        <v>107.096806097978</v>
      </c>
      <c r="R27" s="104">
        <v>-98.676792829646303</v>
      </c>
      <c r="S27" s="104">
        <v>-37.033358385957797</v>
      </c>
      <c r="T27" s="104">
        <v>-344.38548568847301</v>
      </c>
      <c r="U27" s="104">
        <v>0</v>
      </c>
      <c r="V27" s="104">
        <v>0</v>
      </c>
      <c r="W27" s="104">
        <v>0</v>
      </c>
      <c r="X27" s="104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79"/>
      <c r="BD27" s="51">
        <v>93810.544999999998</v>
      </c>
      <c r="BF27" s="63">
        <f t="shared" si="18"/>
        <v>232995993.84775549</v>
      </c>
      <c r="BG27" s="63">
        <f t="shared" si="2"/>
        <v>-45332611.577739038</v>
      </c>
      <c r="BH27" s="63">
        <f t="shared" si="3"/>
        <v>27017973.250990998</v>
      </c>
      <c r="BI27" s="63">
        <f t="shared" si="4"/>
        <v>21555906.259736769</v>
      </c>
      <c r="BJ27" s="63">
        <f t="shared" si="5"/>
        <v>-23305562.179972395</v>
      </c>
      <c r="BK27" s="63">
        <f>$BD27*L27</f>
        <v>3941045.1242483724</v>
      </c>
      <c r="BL27" s="63">
        <f t="shared" si="7"/>
        <v>32655473.196308836</v>
      </c>
      <c r="BM27" s="63">
        <f t="shared" si="8"/>
        <v>19969.357518185836</v>
      </c>
      <c r="BN27" s="63">
        <f t="shared" si="9"/>
        <v>2950762.6250609667</v>
      </c>
      <c r="BO27" s="63">
        <f t="shared" si="10"/>
        <v>17967625.757531784</v>
      </c>
      <c r="BP27" s="63">
        <f t="shared" si="11"/>
        <v>10046809.747810639</v>
      </c>
      <c r="BQ27" s="63">
        <f t="shared" si="12"/>
        <v>-9256923.7142012119</v>
      </c>
      <c r="BR27" s="63">
        <f t="shared" si="13"/>
        <v>-3474119.533367021</v>
      </c>
      <c r="BS27" s="63">
        <f t="shared" si="14"/>
        <v>-32306990.102525353</v>
      </c>
      <c r="BT27" s="63">
        <f t="shared" si="15"/>
        <v>0</v>
      </c>
      <c r="BU27" s="63">
        <f t="shared" si="16"/>
        <v>0</v>
      </c>
      <c r="BV27" s="63">
        <f t="shared" si="17"/>
        <v>0</v>
      </c>
    </row>
    <row r="28" spans="1:74" ht="15" x14ac:dyDescent="0.25">
      <c r="A28" s="4" t="s">
        <v>17</v>
      </c>
      <c r="B28" s="4"/>
      <c r="C28" s="4">
        <v>2023</v>
      </c>
      <c r="D28" s="62">
        <v>45231</v>
      </c>
      <c r="E28" s="78">
        <f>AVP!G28</f>
        <v>1.8570585068890557E-2</v>
      </c>
      <c r="F28" s="63">
        <f>AVP!F28</f>
        <v>41.297601346730062</v>
      </c>
      <c r="G28" s="104">
        <v>2469.48822164179</v>
      </c>
      <c r="H28" s="104">
        <v>-317.09604294337697</v>
      </c>
      <c r="I28" s="104">
        <v>303.691982201884</v>
      </c>
      <c r="J28" s="104">
        <v>201.45044440773901</v>
      </c>
      <c r="K28" s="104">
        <v>-233.327274974082</v>
      </c>
      <c r="L28" s="104">
        <v>6.6611923463177103</v>
      </c>
      <c r="M28" s="104">
        <v>192.64356170201</v>
      </c>
      <c r="N28" s="104">
        <v>6.6468973558466901E-4</v>
      </c>
      <c r="O28" s="104">
        <v>0.23669972583827001</v>
      </c>
      <c r="P28" s="104">
        <v>121.229388094203</v>
      </c>
      <c r="Q28" s="104">
        <v>118.429788079072</v>
      </c>
      <c r="R28" s="104">
        <v>-102.51484398638399</v>
      </c>
      <c r="S28" s="104">
        <v>-93.037843024464294</v>
      </c>
      <c r="T28" s="104">
        <v>-485.335539307011</v>
      </c>
      <c r="U28" s="104">
        <v>0</v>
      </c>
      <c r="V28" s="104">
        <v>0</v>
      </c>
      <c r="W28" s="104">
        <v>0</v>
      </c>
      <c r="X28" s="104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79"/>
      <c r="BD28" s="51">
        <v>96699.350999999995</v>
      </c>
      <c r="BF28" s="63">
        <f t="shared" si="18"/>
        <v>238797908.33490524</v>
      </c>
      <c r="BG28" s="63">
        <f t="shared" si="2"/>
        <v>-30662981.557292681</v>
      </c>
      <c r="BH28" s="63">
        <f t="shared" si="3"/>
        <v>29366817.582825731</v>
      </c>
      <c r="BI28" s="63">
        <f t="shared" si="4"/>
        <v>19480127.232889943</v>
      </c>
      <c r="BJ28" s="63">
        <f t="shared" si="5"/>
        <v>-22562596.060592271</v>
      </c>
      <c r="BK28" s="63">
        <f t="shared" si="6"/>
        <v>644132.97677508974</v>
      </c>
      <c r="BL28" s="63">
        <f t="shared" si="7"/>
        <v>18628507.390912823</v>
      </c>
      <c r="BM28" s="63">
        <f t="shared" si="8"/>
        <v>64.275066047399093</v>
      </c>
      <c r="BN28" s="63">
        <f t="shared" si="9"/>
        <v>22888.709870438641</v>
      </c>
      <c r="BO28" s="63">
        <f t="shared" si="10"/>
        <v>11722803.150836557</v>
      </c>
      <c r="BP28" s="63">
        <f t="shared" si="11"/>
        <v>11452083.646313798</v>
      </c>
      <c r="BQ28" s="63">
        <f t="shared" si="12"/>
        <v>-9913118.8813495841</v>
      </c>
      <c r="BR28" s="63">
        <f t="shared" si="13"/>
        <v>-8996699.038905574</v>
      </c>
      <c r="BS28" s="63">
        <f t="shared" si="14"/>
        <v>-46931631.668222949</v>
      </c>
      <c r="BT28" s="63">
        <f t="shared" si="15"/>
        <v>0</v>
      </c>
      <c r="BU28" s="63">
        <f t="shared" si="16"/>
        <v>0</v>
      </c>
      <c r="BV28" s="63">
        <f t="shared" si="17"/>
        <v>0</v>
      </c>
    </row>
    <row r="29" spans="1:74" ht="15" x14ac:dyDescent="0.25">
      <c r="A29" s="4" t="s">
        <v>17</v>
      </c>
      <c r="B29" s="4"/>
      <c r="C29" s="4">
        <v>2023</v>
      </c>
      <c r="D29" s="62">
        <v>45261</v>
      </c>
      <c r="E29" s="78">
        <f>AVP!G29</f>
        <v>0.14122528123508832</v>
      </c>
      <c r="F29" s="63">
        <f>AVP!F29</f>
        <v>414.6992823794003</v>
      </c>
      <c r="G29" s="104">
        <v>2457.5901297362502</v>
      </c>
      <c r="H29" s="104">
        <v>-143.34457745758399</v>
      </c>
      <c r="I29" s="104">
        <v>358.70943668212698</v>
      </c>
      <c r="J29" s="104">
        <v>206.317504320235</v>
      </c>
      <c r="K29" s="104">
        <v>-232.892109872551</v>
      </c>
      <c r="L29" s="104">
        <v>306.153482876373</v>
      </c>
      <c r="M29" s="104">
        <v>36.542491429094603</v>
      </c>
      <c r="N29" s="104">
        <v>7.0487086294815101E-6</v>
      </c>
      <c r="O29" s="104">
        <v>8.0167268586186797E-4</v>
      </c>
      <c r="P29" s="104">
        <v>37.819119666646102</v>
      </c>
      <c r="Q29" s="104">
        <v>111.21873632912001</v>
      </c>
      <c r="R29" s="104">
        <v>-93.874296285411106</v>
      </c>
      <c r="S29" s="104">
        <v>65.0437038090474</v>
      </c>
      <c r="T29" s="104">
        <v>-587.54571233414697</v>
      </c>
      <c r="U29" s="104">
        <v>0</v>
      </c>
      <c r="V29" s="104">
        <v>0</v>
      </c>
      <c r="W29" s="104">
        <v>0</v>
      </c>
      <c r="X29" s="104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79"/>
      <c r="BD29" s="51">
        <v>91848.106</v>
      </c>
      <c r="BF29" s="63">
        <f t="shared" si="18"/>
        <v>225724998.74056888</v>
      </c>
      <c r="BG29" s="63">
        <f t="shared" si="2"/>
        <v>-13165927.944849385</v>
      </c>
      <c r="BH29" s="63">
        <f t="shared" si="3"/>
        <v>32946782.363580287</v>
      </c>
      <c r="BI29" s="63">
        <f t="shared" si="4"/>
        <v>18949872.006460402</v>
      </c>
      <c r="BJ29" s="63">
        <f t="shared" si="5"/>
        <v>-21390699.194137711</v>
      </c>
      <c r="BK29" s="63">
        <f t="shared" si="6"/>
        <v>28119617.547498293</v>
      </c>
      <c r="BL29" s="63">
        <f t="shared" si="7"/>
        <v>3356358.6262835725</v>
      </c>
      <c r="BM29" s="63">
        <f t="shared" si="8"/>
        <v>0.64741053736373244</v>
      </c>
      <c r="BN29" s="63">
        <f t="shared" si="9"/>
        <v>73.632117828345557</v>
      </c>
      <c r="BO29" s="63">
        <f t="shared" si="10"/>
        <v>3473614.5119687957</v>
      </c>
      <c r="BP29" s="63">
        <f t="shared" si="11"/>
        <v>10215230.283543065</v>
      </c>
      <c r="BQ29" s="63">
        <f t="shared" si="12"/>
        <v>-8622176.3158978447</v>
      </c>
      <c r="BR29" s="63">
        <f t="shared" si="13"/>
        <v>5974141.0020859893</v>
      </c>
      <c r="BS29" s="63">
        <f t="shared" si="14"/>
        <v>-53964960.866312236</v>
      </c>
      <c r="BT29" s="63">
        <f t="shared" si="15"/>
        <v>0</v>
      </c>
      <c r="BU29" s="63">
        <f t="shared" si="16"/>
        <v>0</v>
      </c>
      <c r="BV29" s="63">
        <f t="shared" si="17"/>
        <v>0</v>
      </c>
    </row>
    <row r="30" spans="1:74" ht="15" x14ac:dyDescent="0.25">
      <c r="A30" s="4" t="s">
        <v>17</v>
      </c>
      <c r="B30" s="4"/>
      <c r="C30" s="4">
        <v>2023</v>
      </c>
      <c r="D30" s="62">
        <v>45292</v>
      </c>
      <c r="E30" s="78">
        <f>AVP!G30</f>
        <v>0.11969612525678371</v>
      </c>
      <c r="F30" s="63">
        <f>AVP!F30</f>
        <v>-197.52745343987999</v>
      </c>
      <c r="G30" s="104">
        <v>2466.5158422189402</v>
      </c>
      <c r="H30" s="104">
        <v>-262.80847112744402</v>
      </c>
      <c r="I30" s="104">
        <v>366.80436144379701</v>
      </c>
      <c r="J30" s="104">
        <v>173.30839346633499</v>
      </c>
      <c r="K30" s="104">
        <v>-182.00251681227201</v>
      </c>
      <c r="L30" s="104">
        <v>44.718572563408102</v>
      </c>
      <c r="M30" s="104">
        <v>2.0851824161127199</v>
      </c>
      <c r="N30" s="104">
        <v>4.2544307313385302E-7</v>
      </c>
      <c r="O30" s="104">
        <v>9.8430010823080904E-6</v>
      </c>
      <c r="P30" s="104">
        <v>4.8345856668257099</v>
      </c>
      <c r="Q30" s="104">
        <v>64.572100665719901</v>
      </c>
      <c r="R30" s="104">
        <v>-86.148306537805396</v>
      </c>
      <c r="S30" s="104">
        <v>-83.308111275834804</v>
      </c>
      <c r="T30" s="104">
        <v>-660.80318951635002</v>
      </c>
      <c r="U30" s="104">
        <v>0</v>
      </c>
      <c r="V30" s="104">
        <v>0</v>
      </c>
      <c r="W30" s="104">
        <v>0</v>
      </c>
      <c r="X30" s="104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79"/>
      <c r="BD30" s="51">
        <v>95254.808000000005</v>
      </c>
      <c r="BF30" s="63">
        <f t="shared" si="18"/>
        <v>234947492.97952345</v>
      </c>
      <c r="BG30" s="63">
        <f t="shared" si="2"/>
        <v>-25033770.458018225</v>
      </c>
      <c r="BH30" s="63">
        <f t="shared" si="3"/>
        <v>34939879.022891492</v>
      </c>
      <c r="BI30" s="63">
        <f t="shared" si="4"/>
        <v>16508457.744424194</v>
      </c>
      <c r="BJ30" s="63">
        <f t="shared" si="5"/>
        <v>-17336614.794469744</v>
      </c>
      <c r="BK30" s="63">
        <f t="shared" si="6"/>
        <v>4259659.043561507</v>
      </c>
      <c r="BL30" s="63">
        <f t="shared" si="7"/>
        <v>198623.65069179324</v>
      </c>
      <c r="BM30" s="63">
        <f t="shared" si="8"/>
        <v>4.052549824629513E-2</v>
      </c>
      <c r="BN30" s="63">
        <f t="shared" si="9"/>
        <v>0.93759317823904942</v>
      </c>
      <c r="BO30" s="63">
        <f t="shared" si="10"/>
        <v>460517.52945303498</v>
      </c>
      <c r="BP30" s="63">
        <f t="shared" si="11"/>
        <v>6150803.0510698212</v>
      </c>
      <c r="BQ30" s="63">
        <f t="shared" si="12"/>
        <v>-8206040.3987837983</v>
      </c>
      <c r="BR30" s="63">
        <f t="shared" si="13"/>
        <v>-7935498.1444222797</v>
      </c>
      <c r="BS30" s="63">
        <f t="shared" si="14"/>
        <v>-62944680.943167537</v>
      </c>
      <c r="BT30" s="63">
        <f t="shared" si="15"/>
        <v>0</v>
      </c>
      <c r="BU30" s="63">
        <f t="shared" si="16"/>
        <v>0</v>
      </c>
      <c r="BV30" s="63">
        <f t="shared" si="17"/>
        <v>0</v>
      </c>
    </row>
    <row r="31" spans="1:74" ht="15" x14ac:dyDescent="0.25">
      <c r="A31" s="4" t="s">
        <v>17</v>
      </c>
      <c r="B31" s="4"/>
      <c r="C31" s="4">
        <v>2023</v>
      </c>
      <c r="D31" s="62">
        <v>45323</v>
      </c>
      <c r="E31" s="78">
        <f>AVP!G31</f>
        <v>0.15898315155827816</v>
      </c>
      <c r="F31" s="63">
        <f>AVP!F31</f>
        <v>-239.73196609994011</v>
      </c>
      <c r="G31" s="104">
        <v>2465.5533682650498</v>
      </c>
      <c r="H31" s="104">
        <v>-265.43209460512099</v>
      </c>
      <c r="I31" s="104">
        <v>300.38690820072298</v>
      </c>
      <c r="J31" s="104">
        <v>178.09440065982699</v>
      </c>
      <c r="K31" s="104">
        <v>-176.09808035031301</v>
      </c>
      <c r="L31" s="104">
        <v>6.7279409156897403</v>
      </c>
      <c r="M31" s="104">
        <v>5.9535282174131697E-2</v>
      </c>
      <c r="N31" s="104">
        <v>8.6703063046607296E-8</v>
      </c>
      <c r="O31" s="104">
        <v>6.38990609819129E-7</v>
      </c>
      <c r="P31" s="104">
        <v>0.31827314896863601</v>
      </c>
      <c r="Q31" s="104">
        <v>18.434886275297899</v>
      </c>
      <c r="R31" s="104">
        <v>-80.3610855136873</v>
      </c>
      <c r="S31" s="104">
        <v>-73.196175260649099</v>
      </c>
      <c r="T31" s="104">
        <v>-626.84791164371597</v>
      </c>
      <c r="U31" s="104">
        <v>0</v>
      </c>
      <c r="V31" s="104">
        <v>0</v>
      </c>
      <c r="W31" s="104">
        <v>0</v>
      </c>
      <c r="X31" s="104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79"/>
      <c r="BD31" s="51">
        <v>97401.97</v>
      </c>
      <c r="BF31" s="63">
        <f t="shared" si="18"/>
        <v>240149755.20915133</v>
      </c>
      <c r="BG31" s="63">
        <f t="shared" si="2"/>
        <v>-25853608.915765159</v>
      </c>
      <c r="BH31" s="63">
        <f t="shared" si="3"/>
        <v>29258276.620959576</v>
      </c>
      <c r="BI31" s="63">
        <f t="shared" si="4"/>
        <v>17346745.47023645</v>
      </c>
      <c r="BJ31" s="63">
        <f t="shared" si="5"/>
        <v>-17152299.939338777</v>
      </c>
      <c r="BK31" s="63">
        <f t="shared" si="6"/>
        <v>655314.69923178467</v>
      </c>
      <c r="BL31" s="63">
        <f t="shared" si="7"/>
        <v>5798.85376826631</v>
      </c>
      <c r="BM31" s="63">
        <f t="shared" si="8"/>
        <v>8.4450491457737521E-3</v>
      </c>
      <c r="BN31" s="63">
        <f t="shared" si="9"/>
        <v>6.2238944207884506E-2</v>
      </c>
      <c r="BO31" s="63">
        <f t="shared" si="10"/>
        <v>31000.431707648615</v>
      </c>
      <c r="BP31" s="63">
        <f t="shared" si="11"/>
        <v>1795594.2399399776</v>
      </c>
      <c r="BQ31" s="63">
        <f t="shared" si="12"/>
        <v>-7827328.0403716052</v>
      </c>
      <c r="BR31" s="63">
        <f t="shared" si="13"/>
        <v>-7129451.6668524854</v>
      </c>
      <c r="BS31" s="63">
        <f t="shared" si="14"/>
        <v>-61056221.484483875</v>
      </c>
      <c r="BT31" s="63">
        <f t="shared" si="15"/>
        <v>0</v>
      </c>
      <c r="BU31" s="63">
        <f t="shared" si="16"/>
        <v>0</v>
      </c>
      <c r="BV31" s="63">
        <f t="shared" si="17"/>
        <v>0</v>
      </c>
    </row>
    <row r="32" spans="1:74" ht="15" x14ac:dyDescent="0.25">
      <c r="A32" s="4" t="s">
        <v>17</v>
      </c>
      <c r="B32" s="4"/>
      <c r="C32" s="4">
        <v>2023</v>
      </c>
      <c r="D32" s="62">
        <v>45352</v>
      </c>
      <c r="E32" s="78">
        <f>AVP!G32</f>
        <v>0.12059510061939842</v>
      </c>
      <c r="F32" s="63">
        <f>AVP!F32</f>
        <v>343.81180806188013</v>
      </c>
      <c r="G32" s="104">
        <v>2452.5354376427199</v>
      </c>
      <c r="H32" s="104">
        <v>-88.889636187854094</v>
      </c>
      <c r="I32" s="104">
        <v>335.72503050319</v>
      </c>
      <c r="J32" s="104">
        <v>330.40259876023401</v>
      </c>
      <c r="K32" s="104">
        <v>-203.49607249680199</v>
      </c>
      <c r="L32" s="104">
        <v>349.29426512808402</v>
      </c>
      <c r="M32" s="104">
        <v>1.7366023251907301E-3</v>
      </c>
      <c r="N32" s="104">
        <v>3.6148983428288498E-8</v>
      </c>
      <c r="O32" s="104">
        <v>1.3983778089518E-7</v>
      </c>
      <c r="P32" s="104">
        <v>1.6276671463457699E-2</v>
      </c>
      <c r="Q32" s="104">
        <v>2.2716044445947601</v>
      </c>
      <c r="R32" s="104">
        <v>-90.405011456826998</v>
      </c>
      <c r="S32" s="104">
        <v>-46.660466823147303</v>
      </c>
      <c r="T32" s="104">
        <v>-533.64757102585702</v>
      </c>
      <c r="U32" s="104">
        <v>0</v>
      </c>
      <c r="V32" s="104">
        <v>0</v>
      </c>
      <c r="W32" s="104">
        <v>0</v>
      </c>
      <c r="X32" s="104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79"/>
      <c r="BD32" s="51">
        <v>91043.974000000002</v>
      </c>
      <c r="BF32" s="63">
        <f t="shared" si="18"/>
        <v>223288572.61882243</v>
      </c>
      <c r="BG32" s="63">
        <f t="shared" si="2"/>
        <v>-8092865.7259564474</v>
      </c>
      <c r="BH32" s="63">
        <f t="shared" si="3"/>
        <v>30565740.948281638</v>
      </c>
      <c r="BI32" s="63">
        <f t="shared" si="4"/>
        <v>30081165.611059178</v>
      </c>
      <c r="BJ32" s="63">
        <f t="shared" si="5"/>
        <v>-18527091.133500956</v>
      </c>
      <c r="BK32" s="63">
        <f t="shared" si="6"/>
        <v>31801137.992670391</v>
      </c>
      <c r="BL32" s="63">
        <f t="shared" si="7"/>
        <v>158.10717694300439</v>
      </c>
      <c r="BM32" s="63">
        <f t="shared" si="8"/>
        <v>3.2911471073715291E-3</v>
      </c>
      <c r="BN32" s="63">
        <f t="shared" si="9"/>
        <v>1.2731387288038465E-2</v>
      </c>
      <c r="BO32" s="63">
        <f t="shared" si="10"/>
        <v>1481.8928535255848</v>
      </c>
      <c r="BP32" s="63">
        <f t="shared" si="11"/>
        <v>206815.8959919698</v>
      </c>
      <c r="BQ32" s="63">
        <f t="shared" si="12"/>
        <v>-8230831.5125450594</v>
      </c>
      <c r="BR32" s="63">
        <f t="shared" si="13"/>
        <v>-4248154.3282744857</v>
      </c>
      <c r="BS32" s="63">
        <f t="shared" si="14"/>
        <v>-48585395.581641279</v>
      </c>
      <c r="BT32" s="63">
        <f t="shared" si="15"/>
        <v>0</v>
      </c>
      <c r="BU32" s="63">
        <f t="shared" si="16"/>
        <v>0</v>
      </c>
      <c r="BV32" s="63">
        <f t="shared" si="17"/>
        <v>0</v>
      </c>
    </row>
    <row r="33" spans="1:74" ht="15" x14ac:dyDescent="0.25">
      <c r="A33" s="4" t="s">
        <v>17</v>
      </c>
      <c r="B33" s="4" t="s">
        <v>80</v>
      </c>
      <c r="C33" s="4">
        <v>2024</v>
      </c>
      <c r="D33" s="62">
        <v>45383</v>
      </c>
      <c r="E33" s="78">
        <f>AVP!G33</f>
        <v>5.4921556800891558E-2</v>
      </c>
      <c r="F33" s="63">
        <f>AVP!F33</f>
        <v>-133.52369616918031</v>
      </c>
      <c r="G33" s="104">
        <v>2457.0878180916602</v>
      </c>
      <c r="H33" s="104">
        <v>-175.31488988627399</v>
      </c>
      <c r="I33" s="104">
        <v>403.41197520011099</v>
      </c>
      <c r="J33" s="104">
        <v>337.21027567275399</v>
      </c>
      <c r="K33" s="104">
        <v>-217.045436649208</v>
      </c>
      <c r="L33" s="104">
        <v>51.634840987148003</v>
      </c>
      <c r="M33" s="104">
        <v>212.74300391450899</v>
      </c>
      <c r="N33" s="104">
        <v>2.38804353829178E-8</v>
      </c>
      <c r="O33" s="104">
        <v>6.2159987236946404E-8</v>
      </c>
      <c r="P33" s="104">
        <v>9.01187994543759E-4</v>
      </c>
      <c r="Q33" s="104">
        <v>0.141573700723961</v>
      </c>
      <c r="R33" s="104">
        <v>-92.347599301026605</v>
      </c>
      <c r="S33" s="104">
        <v>-65.287895086453901</v>
      </c>
      <c r="T33" s="104">
        <v>-347.53987174880501</v>
      </c>
      <c r="U33" s="104">
        <v>0</v>
      </c>
      <c r="V33" s="104">
        <v>0</v>
      </c>
      <c r="W33" s="104">
        <v>0</v>
      </c>
      <c r="X33" s="104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79"/>
      <c r="BD33" s="51">
        <v>98408.434999999998</v>
      </c>
      <c r="BF33" s="63">
        <f t="shared" si="18"/>
        <v>241798166.83596495</v>
      </c>
      <c r="BG33" s="63">
        <f t="shared" si="2"/>
        <v>-17252463.945905551</v>
      </c>
      <c r="BH33" s="63">
        <f t="shared" si="3"/>
        <v>39699141.139701732</v>
      </c>
      <c r="BI33" s="63">
        <f t="shared" si="4"/>
        <v>33184335.494874291</v>
      </c>
      <c r="BJ33" s="63">
        <f t="shared" si="5"/>
        <v>-21359101.744540203</v>
      </c>
      <c r="BK33" s="63">
        <f t="shared" si="6"/>
        <v>5081303.8930190904</v>
      </c>
      <c r="BL33" s="63">
        <f t="shared" si="7"/>
        <v>20935706.072425704</v>
      </c>
      <c r="BM33" s="63">
        <f t="shared" si="8"/>
        <v>2.3500362731515663E-3</v>
      </c>
      <c r="BN33" s="63">
        <f t="shared" si="9"/>
        <v>6.1170670636078693E-3</v>
      </c>
      <c r="BO33" s="63">
        <f t="shared" si="10"/>
        <v>88.684500183839859</v>
      </c>
      <c r="BP33" s="63">
        <f t="shared" si="11"/>
        <v>13932.046325403369</v>
      </c>
      <c r="BQ33" s="63">
        <f t="shared" si="12"/>
        <v>-9087782.7232211214</v>
      </c>
      <c r="BR33" s="63">
        <f t="shared" si="13"/>
        <v>-6424879.5799021181</v>
      </c>
      <c r="BS33" s="63">
        <f t="shared" si="14"/>
        <v>-34200854.87890061</v>
      </c>
      <c r="BT33" s="63">
        <f t="shared" si="15"/>
        <v>0</v>
      </c>
      <c r="BU33" s="63">
        <f t="shared" si="16"/>
        <v>0</v>
      </c>
      <c r="BV33" s="63">
        <f t="shared" si="17"/>
        <v>0</v>
      </c>
    </row>
    <row r="34" spans="1:74" ht="15" x14ac:dyDescent="0.25">
      <c r="A34" s="4" t="s">
        <v>17</v>
      </c>
      <c r="B34" s="4" t="s">
        <v>80</v>
      </c>
      <c r="C34" s="4">
        <v>2024</v>
      </c>
      <c r="D34" s="62">
        <v>45413</v>
      </c>
      <c r="E34" s="78">
        <f>AVP!G34</f>
        <v>8.003598197365288E-3</v>
      </c>
      <c r="F34" s="63">
        <f>AVP!F34</f>
        <v>24.560617777460266</v>
      </c>
      <c r="G34" s="104">
        <v>2455.11850472179</v>
      </c>
      <c r="H34" s="104">
        <v>-147.25453137249201</v>
      </c>
      <c r="I34" s="104">
        <v>423.44366459656698</v>
      </c>
      <c r="J34" s="104">
        <v>313.68342176070303</v>
      </c>
      <c r="K34" s="104">
        <v>-217.808484309112</v>
      </c>
      <c r="L34" s="104">
        <v>7.7925402001459503</v>
      </c>
      <c r="M34" s="104">
        <v>375.13119066206002</v>
      </c>
      <c r="N34" s="104">
        <v>73.117875237566594</v>
      </c>
      <c r="O34" s="104">
        <v>4.1061125009236202E-8</v>
      </c>
      <c r="P34" s="104">
        <v>7.2052681274695397E-5</v>
      </c>
      <c r="Q34" s="104">
        <v>77.838028976607603</v>
      </c>
      <c r="R34" s="104">
        <v>-106.26174433060601</v>
      </c>
      <c r="S34" s="104">
        <v>-32.568115905575198</v>
      </c>
      <c r="T34" s="104">
        <v>-178.09604010885701</v>
      </c>
      <c r="U34" s="104">
        <v>0</v>
      </c>
      <c r="V34" s="104">
        <v>0</v>
      </c>
      <c r="W34" s="104">
        <v>0</v>
      </c>
      <c r="X34" s="104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79"/>
      <c r="BD34" s="51">
        <v>97880.884000000005</v>
      </c>
      <c r="BF34" s="63">
        <f t="shared" si="18"/>
        <v>240309169.56692699</v>
      </c>
      <c r="BG34" s="63">
        <f t="shared" si="2"/>
        <v>-14413403.703745252</v>
      </c>
      <c r="BH34" s="63">
        <f t="shared" si="3"/>
        <v>41447040.214911483</v>
      </c>
      <c r="BI34" s="63">
        <f t="shared" si="4"/>
        <v>30703610.618082449</v>
      </c>
      <c r="BJ34" s="63">
        <f t="shared" si="5"/>
        <v>-21319286.986876015</v>
      </c>
      <c r="BK34" s="63">
        <f t="shared" si="6"/>
        <v>762740.72339582257</v>
      </c>
      <c r="BL34" s="63">
        <f t="shared" si="7"/>
        <v>36718172.557974979</v>
      </c>
      <c r="BM34" s="63">
        <f t="shared" si="8"/>
        <v>7156842.2644547289</v>
      </c>
      <c r="BN34" s="63">
        <f t="shared" si="9"/>
        <v>4.0190992139385482E-3</v>
      </c>
      <c r="BO34" s="63">
        <f t="shared" si="10"/>
        <v>7.0525801377374329</v>
      </c>
      <c r="BP34" s="63">
        <f t="shared" si="11"/>
        <v>7618855.0850479677</v>
      </c>
      <c r="BQ34" s="63">
        <f t="shared" si="12"/>
        <v>-10400993.470461706</v>
      </c>
      <c r="BR34" s="63">
        <f t="shared" si="13"/>
        <v>-3187795.9750521611</v>
      </c>
      <c r="BS34" s="63">
        <f t="shared" si="14"/>
        <v>-17432197.842754383</v>
      </c>
      <c r="BT34" s="63">
        <f t="shared" si="15"/>
        <v>0</v>
      </c>
      <c r="BU34" s="63">
        <f t="shared" si="16"/>
        <v>0</v>
      </c>
      <c r="BV34" s="63">
        <f t="shared" si="17"/>
        <v>0</v>
      </c>
    </row>
    <row r="35" spans="1:74" ht="15" x14ac:dyDescent="0.25">
      <c r="A35" s="4" t="s">
        <v>17</v>
      </c>
      <c r="B35" s="4" t="s">
        <v>80</v>
      </c>
      <c r="C35" s="4">
        <v>2024</v>
      </c>
      <c r="D35" s="62">
        <v>45444</v>
      </c>
      <c r="E35" s="78">
        <f>AVP!G35</f>
        <v>9.9044476497342892E-3</v>
      </c>
      <c r="F35" s="63">
        <f>AVP!F35</f>
        <v>40.21859439337004</v>
      </c>
      <c r="G35" s="104">
        <v>2454.26857519334</v>
      </c>
      <c r="H35" s="104">
        <v>-130.51414396189199</v>
      </c>
      <c r="I35" s="104">
        <v>386.586137692134</v>
      </c>
      <c r="J35" s="104">
        <v>533.49589036273096</v>
      </c>
      <c r="K35" s="104">
        <v>-243.65024226372401</v>
      </c>
      <c r="L35" s="104">
        <v>1.1687170522916599</v>
      </c>
      <c r="M35" s="104">
        <v>375.12122710099499</v>
      </c>
      <c r="N35" s="104">
        <v>77.457519627112504</v>
      </c>
      <c r="O35" s="104">
        <v>3.3269419757360001E-8</v>
      </c>
      <c r="P35" s="104">
        <v>9.09734398667923E-6</v>
      </c>
      <c r="Q35" s="104">
        <v>122.29203945467199</v>
      </c>
      <c r="R35" s="104">
        <v>-108.227233225175</v>
      </c>
      <c r="S35" s="104">
        <v>11.048369661647801</v>
      </c>
      <c r="T35" s="104">
        <v>-47.776533112861799</v>
      </c>
      <c r="U35" s="104">
        <v>0</v>
      </c>
      <c r="V35" s="104">
        <v>589.17107289474802</v>
      </c>
      <c r="W35" s="104">
        <v>0</v>
      </c>
      <c r="X35" s="104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79"/>
      <c r="BD35" s="51">
        <v>96640.305999999997</v>
      </c>
      <c r="BF35" s="63">
        <f t="shared" si="18"/>
        <v>237181266.11286837</v>
      </c>
      <c r="BG35" s="63">
        <f t="shared" si="2"/>
        <v>-12612926.809805294</v>
      </c>
      <c r="BH35" s="63">
        <f t="shared" si="3"/>
        <v>37359802.641925961</v>
      </c>
      <c r="BI35" s="63">
        <f t="shared" si="4"/>
        <v>51557206.09439677</v>
      </c>
      <c r="BJ35" s="63">
        <f t="shared" si="5"/>
        <v>-23546433.969340421</v>
      </c>
      <c r="BK35" s="63">
        <f t="shared" si="6"/>
        <v>112945.17356088401</v>
      </c>
      <c r="BL35" s="63">
        <f t="shared" si="7"/>
        <v>36251830.174135648</v>
      </c>
      <c r="BM35" s="63">
        <f t="shared" si="8"/>
        <v>7485518.3987651579</v>
      </c>
      <c r="BN35" s="63">
        <f t="shared" si="9"/>
        <v>3.2151669057937163E-3</v>
      </c>
      <c r="BO35" s="63">
        <f t="shared" si="10"/>
        <v>0.87917010665994066</v>
      </c>
      <c r="BP35" s="63">
        <f t="shared" si="11"/>
        <v>11818340.114263574</v>
      </c>
      <c r="BQ35" s="63">
        <f t="shared" si="12"/>
        <v>-10459112.936414279</v>
      </c>
      <c r="BR35" s="63">
        <f t="shared" si="13"/>
        <v>1067717.8249027599</v>
      </c>
      <c r="BS35" s="63">
        <f t="shared" si="14"/>
        <v>-4617138.7796460968</v>
      </c>
      <c r="BT35" s="63">
        <f t="shared" si="15"/>
        <v>0</v>
      </c>
      <c r="BU35" s="63">
        <f t="shared" si="16"/>
        <v>56937672.770896755</v>
      </c>
      <c r="BV35" s="63">
        <f t="shared" si="17"/>
        <v>0</v>
      </c>
    </row>
    <row r="36" spans="1:74" ht="15" x14ac:dyDescent="0.25">
      <c r="A36" s="4" t="s">
        <v>17</v>
      </c>
      <c r="B36" s="4" t="s">
        <v>80</v>
      </c>
      <c r="C36" s="4">
        <v>2024</v>
      </c>
      <c r="D36" s="62">
        <v>45474</v>
      </c>
      <c r="E36" s="78">
        <f>AVP!G36</f>
        <v>4.748228840440287E-2</v>
      </c>
      <c r="F36" s="63">
        <f>AVP!F36</f>
        <v>-161.9331690337799</v>
      </c>
      <c r="G36" s="104">
        <v>2455.2399639138298</v>
      </c>
      <c r="H36" s="104">
        <v>-140.13615638069001</v>
      </c>
      <c r="I36" s="104">
        <v>416.27710568162001</v>
      </c>
      <c r="J36" s="104">
        <v>765.13329704554906</v>
      </c>
      <c r="K36" s="104">
        <v>-256.99128425429001</v>
      </c>
      <c r="L36" s="104">
        <v>0.171249167988687</v>
      </c>
      <c r="M36" s="104">
        <v>375.54080359073203</v>
      </c>
      <c r="N36" s="104">
        <v>48.559182793547699</v>
      </c>
      <c r="O36" s="104">
        <v>2.9937239654026199E-8</v>
      </c>
      <c r="P36" s="104">
        <v>1.8031147807861601E-6</v>
      </c>
      <c r="Q36" s="104">
        <v>126.615893164665</v>
      </c>
      <c r="R36" s="104">
        <v>-108.048909678697</v>
      </c>
      <c r="S36" s="104">
        <v>-91.078062948153502</v>
      </c>
      <c r="T36" s="104">
        <v>-18.958914895375699</v>
      </c>
      <c r="U36" s="104">
        <v>0</v>
      </c>
      <c r="V36" s="104">
        <v>0</v>
      </c>
      <c r="W36" s="104">
        <v>0</v>
      </c>
      <c r="X36" s="104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79"/>
      <c r="BD36" s="51">
        <v>96091.604999999996</v>
      </c>
      <c r="BF36" s="63">
        <f t="shared" si="18"/>
        <v>235927948.79262197</v>
      </c>
      <c r="BG36" s="63">
        <f t="shared" si="2"/>
        <v>-13465908.185151493</v>
      </c>
      <c r="BH36" s="63">
        <f t="shared" si="3"/>
        <v>40000735.209701486</v>
      </c>
      <c r="BI36" s="63">
        <f t="shared" si="4"/>
        <v>73522886.552048564</v>
      </c>
      <c r="BJ36" s="63">
        <f t="shared" si="5"/>
        <v>-24694704.975005955</v>
      </c>
      <c r="BK36" s="63">
        <f t="shared" si="6"/>
        <v>16455.607406947554</v>
      </c>
      <c r="BL36" s="63">
        <f t="shared" si="7"/>
        <v>36086318.560023203</v>
      </c>
      <c r="BM36" s="63">
        <f t="shared" si="8"/>
        <v>4666129.8121203817</v>
      </c>
      <c r="BN36" s="63">
        <f t="shared" si="9"/>
        <v>2.8767174076250218E-3</v>
      </c>
      <c r="BO36" s="63">
        <f t="shared" si="10"/>
        <v>0.17326419328496528</v>
      </c>
      <c r="BP36" s="63">
        <f t="shared" si="11"/>
        <v>12166724.392701188</v>
      </c>
      <c r="BQ36" s="63">
        <f t="shared" si="12"/>
        <v>-10382593.149526028</v>
      </c>
      <c r="BR36" s="63">
        <f t="shared" si="13"/>
        <v>-8751837.248979101</v>
      </c>
      <c r="BS36" s="63">
        <f t="shared" si="14"/>
        <v>-1821792.5613550579</v>
      </c>
      <c r="BT36" s="63">
        <f t="shared" si="15"/>
        <v>0</v>
      </c>
      <c r="BU36" s="63">
        <f t="shared" si="16"/>
        <v>0</v>
      </c>
      <c r="BV36" s="63">
        <f t="shared" si="17"/>
        <v>0</v>
      </c>
    </row>
    <row r="37" spans="1:74" ht="15" x14ac:dyDescent="0.25">
      <c r="A37" s="4" t="s">
        <v>17</v>
      </c>
      <c r="B37" s="4" t="s">
        <v>80</v>
      </c>
      <c r="C37" s="4">
        <v>2024</v>
      </c>
      <c r="D37" s="62">
        <v>45505</v>
      </c>
      <c r="E37" s="78">
        <f>AVP!G37</f>
        <v>1.1142575762232633E-2</v>
      </c>
      <c r="F37" s="63">
        <f>AVP!F37</f>
        <v>40.509614163900096</v>
      </c>
      <c r="G37" s="104">
        <v>2449.2532812344598</v>
      </c>
      <c r="H37" s="104">
        <v>-57.595195320710403</v>
      </c>
      <c r="I37" s="104">
        <v>393.39531333997502</v>
      </c>
      <c r="J37" s="104">
        <v>690.28390048590995</v>
      </c>
      <c r="K37" s="104">
        <v>-155.06137917958</v>
      </c>
      <c r="L37" s="104">
        <v>2.2772859271656301E-2</v>
      </c>
      <c r="M37" s="104">
        <v>375.47227683081798</v>
      </c>
      <c r="N37" s="104">
        <v>0.88250619127672603</v>
      </c>
      <c r="O37" s="104">
        <v>2.8395308367751E-8</v>
      </c>
      <c r="P37" s="104">
        <v>5.3154179915373195E-7</v>
      </c>
      <c r="Q37" s="104">
        <v>129.339304908945</v>
      </c>
      <c r="R37" s="104">
        <v>-109.856322588056</v>
      </c>
      <c r="S37" s="104">
        <v>-31.445418378758099</v>
      </c>
      <c r="T37" s="104">
        <v>-89.630655107386403</v>
      </c>
      <c r="U37" s="104">
        <v>0</v>
      </c>
      <c r="V37" s="104">
        <v>0</v>
      </c>
      <c r="W37" s="104">
        <v>0</v>
      </c>
      <c r="X37" s="104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79"/>
      <c r="BD37" s="51">
        <v>95584.520999999993</v>
      </c>
      <c r="BF37" s="63">
        <f t="shared" si="18"/>
        <v>234110701.6944741</v>
      </c>
      <c r="BG37" s="63">
        <f t="shared" si="2"/>
        <v>-5505209.1566315452</v>
      </c>
      <c r="BH37" s="63">
        <f t="shared" si="3"/>
        <v>37602502.589246422</v>
      </c>
      <c r="BI37" s="63">
        <f t="shared" si="4"/>
        <v>65980455.981957369</v>
      </c>
      <c r="BJ37" s="63">
        <f t="shared" si="5"/>
        <v>-14821467.654479526</v>
      </c>
      <c r="BK37" s="63">
        <f t="shared" si="6"/>
        <v>2176.7328452816764</v>
      </c>
      <c r="BL37" s="63">
        <f t="shared" si="7"/>
        <v>35889337.729653135</v>
      </c>
      <c r="BM37" s="63">
        <f t="shared" si="8"/>
        <v>84353.931572720234</v>
      </c>
      <c r="BN37" s="63">
        <f t="shared" si="9"/>
        <v>2.7141519489787711E-3</v>
      </c>
      <c r="BO37" s="63">
        <f t="shared" si="10"/>
        <v>5.0807168263587672E-2</v>
      </c>
      <c r="BP37" s="63">
        <f t="shared" si="11"/>
        <v>12362835.506194456</v>
      </c>
      <c r="BQ37" s="63">
        <f t="shared" si="12"/>
        <v>-10500563.973400813</v>
      </c>
      <c r="BR37" s="63">
        <f t="shared" si="13"/>
        <v>-3005695.2533781892</v>
      </c>
      <c r="BS37" s="63">
        <f t="shared" si="14"/>
        <v>-8567303.235355733</v>
      </c>
      <c r="BT37" s="63">
        <f t="shared" si="15"/>
        <v>0</v>
      </c>
      <c r="BU37" s="63">
        <f t="shared" si="16"/>
        <v>0</v>
      </c>
      <c r="BV37" s="63">
        <f t="shared" si="17"/>
        <v>0</v>
      </c>
    </row>
    <row r="38" spans="1:74" ht="15" x14ac:dyDescent="0.25">
      <c r="A38" s="4" t="s">
        <v>20</v>
      </c>
      <c r="B38" s="4" t="s">
        <v>80</v>
      </c>
      <c r="C38" s="4">
        <v>2024</v>
      </c>
      <c r="D38" s="62">
        <v>45536</v>
      </c>
      <c r="E38" s="78">
        <f>AVP!G38</f>
        <v>2.4494454001798817E-2</v>
      </c>
      <c r="F38" s="63">
        <f>AVP!F38</f>
        <v>103.13840555411025</v>
      </c>
      <c r="G38" s="104">
        <v>2444.9632479841798</v>
      </c>
      <c r="H38" s="104">
        <v>0</v>
      </c>
      <c r="I38" s="104">
        <v>436.14917391957198</v>
      </c>
      <c r="J38" s="104">
        <v>640.40914462724504</v>
      </c>
      <c r="K38" s="104">
        <v>-95.872774659964307</v>
      </c>
      <c r="L38" s="104">
        <v>0</v>
      </c>
      <c r="M38" s="104">
        <v>375.349620736394</v>
      </c>
      <c r="N38" s="104">
        <v>2.8087807422585002E-3</v>
      </c>
      <c r="O38" s="104">
        <v>2.76416882247753E-8</v>
      </c>
      <c r="P38" s="104">
        <v>2.1569365164505699E-7</v>
      </c>
      <c r="Q38" s="104">
        <v>115.599841631545</v>
      </c>
      <c r="R38" s="104">
        <v>-111.096400755093</v>
      </c>
      <c r="S38" s="104">
        <v>-10.765847170696</v>
      </c>
      <c r="T38" s="104">
        <v>-203.37505178749001</v>
      </c>
      <c r="U38" s="104">
        <v>0</v>
      </c>
      <c r="V38" s="104">
        <v>0</v>
      </c>
      <c r="W38" s="104">
        <v>516.18183089612103</v>
      </c>
      <c r="X38" s="104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79"/>
      <c r="BD38" s="51">
        <v>95547.008000000002</v>
      </c>
      <c r="BF38" s="63">
        <f t="shared" si="18"/>
        <v>233608923.01485041</v>
      </c>
      <c r="BG38" s="63">
        <f t="shared" si="2"/>
        <v>0</v>
      </c>
      <c r="BH38" s="63">
        <f t="shared" si="3"/>
        <v>41672748.609686732</v>
      </c>
      <c r="BI38" s="63">
        <f t="shared" si="4"/>
        <v>61189177.664972544</v>
      </c>
      <c r="BJ38" s="63">
        <f t="shared" si="5"/>
        <v>-9160356.7674178071</v>
      </c>
      <c r="BK38" s="63">
        <f t="shared" si="6"/>
        <v>0</v>
      </c>
      <c r="BL38" s="63">
        <f t="shared" si="7"/>
        <v>35863533.215297207</v>
      </c>
      <c r="BM38" s="63">
        <f t="shared" si="8"/>
        <v>268.37059605081885</v>
      </c>
      <c r="BN38" s="63">
        <f t="shared" si="9"/>
        <v>2.6410806059461115E-3</v>
      </c>
      <c r="BO38" s="63">
        <f t="shared" si="10"/>
        <v>2.0608883059279475E-2</v>
      </c>
      <c r="BP38" s="63">
        <f t="shared" si="11"/>
        <v>11045218.993167963</v>
      </c>
      <c r="BQ38" s="63">
        <f t="shared" si="12"/>
        <v>-10614928.691718077</v>
      </c>
      <c r="BR38" s="63">
        <f t="shared" si="13"/>
        <v>-1028644.4857452682</v>
      </c>
      <c r="BS38" s="63">
        <f t="shared" si="14"/>
        <v>-19431877.700139724</v>
      </c>
      <c r="BT38" s="63">
        <f t="shared" si="15"/>
        <v>0</v>
      </c>
      <c r="BU38" s="63">
        <f t="shared" si="16"/>
        <v>0</v>
      </c>
      <c r="BV38" s="63">
        <f t="shared" si="17"/>
        <v>49319629.526086323</v>
      </c>
    </row>
    <row r="39" spans="1:74" x14ac:dyDescent="0.2">
      <c r="Y39" s="2"/>
    </row>
    <row r="40" spans="1:74" ht="15" x14ac:dyDescent="0.25">
      <c r="A40" s="4" t="s">
        <v>32</v>
      </c>
      <c r="B40" s="4"/>
      <c r="C40" s="4"/>
      <c r="D40" s="77">
        <f>COUNT($G$2:$G$38)</f>
        <v>37</v>
      </c>
      <c r="G40" s="77">
        <f>SUM(G2:G37)</f>
        <v>88765.075171080287</v>
      </c>
      <c r="H40" s="77">
        <f t="shared" ref="H40:W40" si="19">SUM(H2:H37)</f>
        <v>-11484.703142161365</v>
      </c>
      <c r="I40" s="77">
        <f t="shared" si="19"/>
        <v>8556.7858286021201</v>
      </c>
      <c r="J40" s="77">
        <f t="shared" si="19"/>
        <v>9366.0520085198077</v>
      </c>
      <c r="K40" s="77">
        <f t="shared" si="19"/>
        <v>-4392.7023547627095</v>
      </c>
      <c r="L40" s="77">
        <f t="shared" si="19"/>
        <v>8683.6670884838823</v>
      </c>
      <c r="M40" s="77">
        <f t="shared" si="19"/>
        <v>3861.6137817869162</v>
      </c>
      <c r="N40" s="77">
        <f t="shared" si="19"/>
        <v>583.09360940324666</v>
      </c>
      <c r="O40" s="77">
        <f t="shared" si="19"/>
        <v>1054.2436759116429</v>
      </c>
      <c r="P40" s="77">
        <f t="shared" si="19"/>
        <v>1227.3599304119482</v>
      </c>
      <c r="Q40" s="77">
        <f t="shared" si="19"/>
        <v>1202.3333650743557</v>
      </c>
      <c r="R40" s="77">
        <f t="shared" si="19"/>
        <v>-2484.2790930388537</v>
      </c>
      <c r="S40" s="77">
        <f t="shared" si="19"/>
        <v>-2721.4789083072314</v>
      </c>
      <c r="T40" s="77">
        <f t="shared" si="19"/>
        <v>-11897.194603874672</v>
      </c>
      <c r="U40" s="77">
        <f t="shared" si="19"/>
        <v>5102.9571705697563</v>
      </c>
      <c r="V40" s="77">
        <f t="shared" si="19"/>
        <v>1770.136213769186</v>
      </c>
      <c r="W40" s="77">
        <f t="shared" si="19"/>
        <v>1550.3151443353549</v>
      </c>
      <c r="X40" s="104"/>
      <c r="Y40" s="104"/>
      <c r="AY40" s="2"/>
      <c r="AZ40" s="2"/>
      <c r="BA40" s="2"/>
      <c r="BB40" s="2"/>
      <c r="BD40" s="77">
        <f t="shared" ref="BD40" si="20">SUM(BD2:BD37)</f>
        <v>3314070.7</v>
      </c>
      <c r="BF40" s="77">
        <f t="shared" ref="BF40:BV40" si="21">SUM(BF2:BF37)</f>
        <v>8170996975.953968</v>
      </c>
      <c r="BG40" s="77">
        <f t="shared" si="21"/>
        <v>-1053807971.3128221</v>
      </c>
      <c r="BH40" s="77">
        <f t="shared" si="21"/>
        <v>802165794.86228251</v>
      </c>
      <c r="BI40" s="77">
        <f t="shared" si="21"/>
        <v>865800077.69149089</v>
      </c>
      <c r="BJ40" s="77">
        <f t="shared" si="21"/>
        <v>-410148271.69714272</v>
      </c>
      <c r="BK40" s="77">
        <f t="shared" si="21"/>
        <v>767996757.20767879</v>
      </c>
      <c r="BL40" s="77">
        <f t="shared" si="21"/>
        <v>364646381.337704</v>
      </c>
      <c r="BM40" s="77">
        <f t="shared" si="21"/>
        <v>54442987.607309029</v>
      </c>
      <c r="BN40" s="77">
        <f t="shared" si="21"/>
        <v>96765546.756077692</v>
      </c>
      <c r="BO40" s="77">
        <f t="shared" si="21"/>
        <v>113637052.25737265</v>
      </c>
      <c r="BP40" s="77">
        <f t="shared" si="21"/>
        <v>113631631.69265263</v>
      </c>
      <c r="BQ40" s="77">
        <f t="shared" si="21"/>
        <v>-229403670.3881458</v>
      </c>
      <c r="BR40" s="77">
        <f t="shared" si="21"/>
        <v>-246869581.53561842</v>
      </c>
      <c r="BS40" s="77">
        <f t="shared" si="21"/>
        <v>-1096551751.7186565</v>
      </c>
      <c r="BT40" s="77">
        <f t="shared" si="21"/>
        <v>451217254.73366725</v>
      </c>
      <c r="BU40" s="77">
        <f t="shared" si="21"/>
        <v>165978219.86739126</v>
      </c>
      <c r="BV40" s="77">
        <f t="shared" si="21"/>
        <v>134195859.0410552</v>
      </c>
    </row>
    <row r="41" spans="1:74" ht="15" x14ac:dyDescent="0.25">
      <c r="A41" s="4" t="s">
        <v>11</v>
      </c>
      <c r="B41" s="4"/>
      <c r="C41" s="4"/>
      <c r="D41" s="77">
        <f>COUNTIF($A$2:$A$38,A41)</f>
        <v>12</v>
      </c>
      <c r="G41" s="77">
        <f>SUM(G2:G13)</f>
        <v>29452.634512758203</v>
      </c>
      <c r="H41" s="77">
        <f t="shared" ref="H41:W41" si="22">SUM(H2:H13)</f>
        <v>-2409.3376490032847</v>
      </c>
      <c r="I41" s="77">
        <f t="shared" si="22"/>
        <v>1026.7715010345821</v>
      </c>
      <c r="J41" s="77">
        <f t="shared" si="22"/>
        <v>3370.9158686525466</v>
      </c>
      <c r="K41" s="77">
        <f t="shared" si="22"/>
        <v>-948.99475838486524</v>
      </c>
      <c r="L41" s="77">
        <f t="shared" si="22"/>
        <v>3531.783122968257</v>
      </c>
      <c r="M41" s="77">
        <f t="shared" si="22"/>
        <v>4.9790663143293373E-7</v>
      </c>
      <c r="N41" s="77">
        <f t="shared" si="22"/>
        <v>2.7099363745687012E-7</v>
      </c>
      <c r="O41" s="77">
        <f t="shared" si="22"/>
        <v>4.1377384210075308E-7</v>
      </c>
      <c r="P41" s="77">
        <f t="shared" si="22"/>
        <v>3.0021750364808441E-7</v>
      </c>
      <c r="Q41" s="77">
        <f t="shared" si="22"/>
        <v>5.5575131898152271E-8</v>
      </c>
      <c r="R41" s="77">
        <f t="shared" si="22"/>
        <v>-552.81996685788795</v>
      </c>
      <c r="S41" s="77">
        <f t="shared" si="22"/>
        <v>-1564.898542775878</v>
      </c>
      <c r="T41" s="77">
        <f t="shared" si="22"/>
        <v>-3749.1080961819202</v>
      </c>
      <c r="U41" s="77">
        <f t="shared" si="22"/>
        <v>4296.9997576311998</v>
      </c>
      <c r="V41" s="77">
        <f t="shared" si="22"/>
        <v>595.78993032942003</v>
      </c>
      <c r="W41" s="77">
        <f t="shared" si="22"/>
        <v>518.53542918336302</v>
      </c>
      <c r="X41" s="104"/>
      <c r="Y41" s="104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D41" s="77">
        <f t="shared" ref="BD41" si="23">SUM(BD2:BD13)</f>
        <v>1059338.0009999999</v>
      </c>
      <c r="BF41" s="77">
        <f t="shared" ref="BF41:BV41" si="24">SUM(BF2:BF13)</f>
        <v>2599195796.2044916</v>
      </c>
      <c r="BG41" s="77">
        <f t="shared" si="24"/>
        <v>-206791228.06856519</v>
      </c>
      <c r="BH41" s="77">
        <f t="shared" si="24"/>
        <v>92837964.152270615</v>
      </c>
      <c r="BI41" s="77">
        <f t="shared" si="24"/>
        <v>299095290.07234269</v>
      </c>
      <c r="BJ41" s="77">
        <f t="shared" si="24"/>
        <v>-84294845.629626364</v>
      </c>
      <c r="BK41" s="77">
        <f t="shared" si="24"/>
        <v>299935415.78453481</v>
      </c>
      <c r="BL41" s="77">
        <f t="shared" si="24"/>
        <v>4.3876610446878822E-2</v>
      </c>
      <c r="BM41" s="77">
        <f t="shared" si="24"/>
        <v>2.3881321939505817E-2</v>
      </c>
      <c r="BN41" s="77">
        <f t="shared" si="24"/>
        <v>3.6507686499492376E-2</v>
      </c>
      <c r="BO41" s="77">
        <f t="shared" si="24"/>
        <v>2.658988063039415E-2</v>
      </c>
      <c r="BP41" s="77">
        <f t="shared" si="24"/>
        <v>4.936476534796925E-3</v>
      </c>
      <c r="BQ41" s="77">
        <f t="shared" si="24"/>
        <v>-48310261.115625516</v>
      </c>
      <c r="BR41" s="77">
        <f t="shared" si="24"/>
        <v>-138368065.82372648</v>
      </c>
      <c r="BS41" s="77">
        <f t="shared" si="24"/>
        <v>-328753767.12417555</v>
      </c>
      <c r="BT41" s="77">
        <f t="shared" si="24"/>
        <v>378658801.8760215</v>
      </c>
      <c r="BU41" s="77">
        <f t="shared" si="24"/>
        <v>55836806.095256463</v>
      </c>
      <c r="BV41" s="77">
        <f t="shared" si="24"/>
        <v>42040637.933369033</v>
      </c>
    </row>
    <row r="42" spans="1:74" ht="15" x14ac:dyDescent="0.25">
      <c r="A42" s="4" t="s">
        <v>15</v>
      </c>
      <c r="B42" s="4"/>
      <c r="C42" s="4"/>
      <c r="D42" s="77">
        <f>COUNTIF($A$2:$A$38,A42)</f>
        <v>12</v>
      </c>
      <c r="G42" s="77">
        <f>SUM(G14:G25)</f>
        <v>29748.318116962429</v>
      </c>
      <c r="H42" s="77">
        <f t="shared" ref="H42:W42" si="25">SUM(H14:H25)</f>
        <v>-6205.798021868437</v>
      </c>
      <c r="I42" s="77">
        <f t="shared" si="25"/>
        <v>3222.3832940866337</v>
      </c>
      <c r="J42" s="77">
        <f t="shared" si="25"/>
        <v>1964.036775815443</v>
      </c>
      <c r="K42" s="77">
        <f t="shared" si="25"/>
        <v>-911.16152727894439</v>
      </c>
      <c r="L42" s="77">
        <f t="shared" si="25"/>
        <v>4071.3611400104924</v>
      </c>
      <c r="M42" s="77">
        <f t="shared" si="25"/>
        <v>1179.9030195536679</v>
      </c>
      <c r="N42" s="77">
        <f t="shared" si="25"/>
        <v>357.71739433251435</v>
      </c>
      <c r="O42" s="77">
        <f t="shared" si="25"/>
        <v>801.47445144127107</v>
      </c>
      <c r="P42" s="77">
        <f t="shared" si="25"/>
        <v>658.46213107631343</v>
      </c>
      <c r="Q42" s="77">
        <f t="shared" si="25"/>
        <v>230.13180120410101</v>
      </c>
      <c r="R42" s="77">
        <f t="shared" si="25"/>
        <v>-760.90257648275633</v>
      </c>
      <c r="S42" s="77">
        <f t="shared" si="25"/>
        <v>-597.69937311364913</v>
      </c>
      <c r="T42" s="77">
        <f t="shared" si="25"/>
        <v>-4011.1989348188317</v>
      </c>
      <c r="U42" s="77">
        <f t="shared" si="25"/>
        <v>805.95741293855588</v>
      </c>
      <c r="V42" s="77">
        <f t="shared" si="25"/>
        <v>585.17521054501799</v>
      </c>
      <c r="W42" s="77">
        <f t="shared" si="25"/>
        <v>511.84526732878902</v>
      </c>
      <c r="X42" s="104"/>
      <c r="Y42" s="104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D42" s="77">
        <f t="shared" ref="BD42" si="26">SUM(BD14:BD25)</f>
        <v>1111031.2999999998</v>
      </c>
      <c r="BF42" s="77">
        <f t="shared" ref="BF42:BV42" si="27">SUM(BF14:BF25)</f>
        <v>2754183065.7545924</v>
      </c>
      <c r="BG42" s="77">
        <f t="shared" si="27"/>
        <v>-574411817.16012037</v>
      </c>
      <c r="BH42" s="77">
        <f t="shared" si="27"/>
        <v>298309933.76465702</v>
      </c>
      <c r="BI42" s="77">
        <f t="shared" si="27"/>
        <v>181141133.62191254</v>
      </c>
      <c r="BJ42" s="77">
        <f t="shared" si="27"/>
        <v>-84417542.794200331</v>
      </c>
      <c r="BK42" s="77">
        <f t="shared" si="27"/>
        <v>368087574.94130576</v>
      </c>
      <c r="BL42" s="77">
        <f t="shared" si="27"/>
        <v>107796706.89161766</v>
      </c>
      <c r="BM42" s="77">
        <f t="shared" si="27"/>
        <v>32690641.284649353</v>
      </c>
      <c r="BN42" s="77">
        <f t="shared" si="27"/>
        <v>73223482.444055945</v>
      </c>
      <c r="BO42" s="77">
        <f t="shared" si="27"/>
        <v>60149266.591284171</v>
      </c>
      <c r="BP42" s="77">
        <f t="shared" si="27"/>
        <v>21042716.897928379</v>
      </c>
      <c r="BQ42" s="77">
        <f t="shared" si="27"/>
        <v>-69475882.661112815</v>
      </c>
      <c r="BR42" s="77">
        <f t="shared" si="27"/>
        <v>-54819983.61341463</v>
      </c>
      <c r="BS42" s="77">
        <f t="shared" si="27"/>
        <v>-375243061.93474883</v>
      </c>
      <c r="BT42" s="77">
        <f t="shared" si="27"/>
        <v>72558452.857645765</v>
      </c>
      <c r="BU42" s="77">
        <f t="shared" si="27"/>
        <v>53203741.001238026</v>
      </c>
      <c r="BV42" s="77">
        <f t="shared" si="27"/>
        <v>43782134.99861031</v>
      </c>
    </row>
    <row r="43" spans="1:74" ht="15" x14ac:dyDescent="0.25">
      <c r="A43" s="4" t="s">
        <v>17</v>
      </c>
      <c r="B43" s="4"/>
      <c r="C43" s="4"/>
      <c r="D43" s="77">
        <f>COUNTIF($A$2:$A$38,A43)</f>
        <v>12</v>
      </c>
      <c r="G43" s="77">
        <f>SUM(G26:G37)</f>
        <v>29564.122541359648</v>
      </c>
      <c r="H43" s="77">
        <f t="shared" ref="H43:W43" si="28">SUM(H26:H37)</f>
        <v>-2869.5674712896448</v>
      </c>
      <c r="I43" s="77">
        <f t="shared" si="28"/>
        <v>4307.6310334809041</v>
      </c>
      <c r="J43" s="77">
        <f t="shared" si="28"/>
        <v>4031.0993640518163</v>
      </c>
      <c r="K43" s="77">
        <f t="shared" si="28"/>
        <v>-2532.5460690988998</v>
      </c>
      <c r="L43" s="77">
        <f t="shared" si="28"/>
        <v>1080.5228255051343</v>
      </c>
      <c r="M43" s="77">
        <f t="shared" si="28"/>
        <v>2681.7107617353417</v>
      </c>
      <c r="N43" s="77">
        <f t="shared" si="28"/>
        <v>225.37621479973859</v>
      </c>
      <c r="O43" s="77">
        <f t="shared" si="28"/>
        <v>252.76922405659792</v>
      </c>
      <c r="P43" s="77">
        <f t="shared" si="28"/>
        <v>568.89779903541717</v>
      </c>
      <c r="Q43" s="77">
        <f t="shared" si="28"/>
        <v>972.20156381467962</v>
      </c>
      <c r="R43" s="77">
        <f t="shared" si="28"/>
        <v>-1170.5565496982097</v>
      </c>
      <c r="S43" s="77">
        <f t="shared" si="28"/>
        <v>-558.88099241770522</v>
      </c>
      <c r="T43" s="77">
        <f t="shared" si="28"/>
        <v>-4136.8875728739195</v>
      </c>
      <c r="U43" s="77">
        <f t="shared" si="28"/>
        <v>0</v>
      </c>
      <c r="V43" s="77">
        <f t="shared" si="28"/>
        <v>589.17107289474802</v>
      </c>
      <c r="W43" s="77">
        <f t="shared" si="28"/>
        <v>519.93444782320296</v>
      </c>
      <c r="X43" s="104"/>
      <c r="Y43" s="104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D43" s="77">
        <f t="shared" ref="BD43" si="29">SUM(BD26:BD37)</f>
        <v>1143701.399</v>
      </c>
      <c r="BF43" s="77">
        <f t="shared" ref="BF43:BV43" si="30">SUM(BF26:BF37)</f>
        <v>2817618113.994884</v>
      </c>
      <c r="BG43" s="77">
        <f t="shared" si="30"/>
        <v>-272604926.08413661</v>
      </c>
      <c r="BH43" s="77">
        <f t="shared" si="30"/>
        <v>411017896.94535494</v>
      </c>
      <c r="BI43" s="77">
        <f t="shared" si="30"/>
        <v>385563653.99723583</v>
      </c>
      <c r="BJ43" s="77">
        <f t="shared" si="30"/>
        <v>-241435883.27331597</v>
      </c>
      <c r="BK43" s="77">
        <f t="shared" si="30"/>
        <v>99973766.481838286</v>
      </c>
      <c r="BL43" s="77">
        <f t="shared" si="30"/>
        <v>256849674.40220982</v>
      </c>
      <c r="BM43" s="77">
        <f t="shared" si="30"/>
        <v>21752346.298778366</v>
      </c>
      <c r="BN43" s="77">
        <f t="shared" si="30"/>
        <v>23542064.275514085</v>
      </c>
      <c r="BO43" s="77">
        <f t="shared" si="30"/>
        <v>53487785.639498591</v>
      </c>
      <c r="BP43" s="77">
        <f t="shared" si="30"/>
        <v>92588914.789787784</v>
      </c>
      <c r="BQ43" s="77">
        <f t="shared" si="30"/>
        <v>-111617526.6114075</v>
      </c>
      <c r="BR43" s="77">
        <f t="shared" si="30"/>
        <v>-53681532.098477453</v>
      </c>
      <c r="BS43" s="77">
        <f t="shared" si="30"/>
        <v>-392554922.65973198</v>
      </c>
      <c r="BT43" s="77">
        <f t="shared" si="30"/>
        <v>0</v>
      </c>
      <c r="BU43" s="77">
        <f t="shared" si="30"/>
        <v>56937672.770896755</v>
      </c>
      <c r="BV43" s="77">
        <f t="shared" si="30"/>
        <v>48373086.109075867</v>
      </c>
    </row>
    <row r="45" spans="1:74" ht="45" x14ac:dyDescent="0.2">
      <c r="G45" s="55" t="s">
        <v>4</v>
      </c>
      <c r="H45" s="55" t="s">
        <v>36</v>
      </c>
      <c r="I45" s="55" t="s">
        <v>39</v>
      </c>
      <c r="J45" s="55" t="s">
        <v>41</v>
      </c>
      <c r="K45" s="55" t="s">
        <v>44</v>
      </c>
      <c r="L45" s="55" t="s">
        <v>48</v>
      </c>
      <c r="M45" s="55" t="s">
        <v>50</v>
      </c>
      <c r="N45" s="55" t="s">
        <v>54</v>
      </c>
      <c r="O45" s="55" t="s">
        <v>56</v>
      </c>
      <c r="P45" s="55" t="s">
        <v>58</v>
      </c>
      <c r="Q45" s="55" t="s">
        <v>61</v>
      </c>
      <c r="R45" s="55" t="s">
        <v>63</v>
      </c>
      <c r="S45" s="55" t="s">
        <v>67</v>
      </c>
      <c r="T45" s="55" t="s">
        <v>70</v>
      </c>
      <c r="U45" s="55" t="s">
        <v>71</v>
      </c>
      <c r="V45" s="55" t="s">
        <v>72</v>
      </c>
      <c r="W45" s="55" t="s">
        <v>73</v>
      </c>
      <c r="BF45" s="12" t="str">
        <f t="shared" ref="BF45" si="31">G45</f>
        <v>Base</v>
      </c>
      <c r="BG45" s="12" t="str">
        <f t="shared" ref="BG45" si="32">H45</f>
        <v>Twinings_Price</v>
      </c>
      <c r="BH45" s="12" t="str">
        <f t="shared" ref="BH45" si="33">I45</f>
        <v>Competitor_Price</v>
      </c>
      <c r="BI45" s="12" t="str">
        <f t="shared" ref="BI45" si="34">J45</f>
        <v>Twinings_WD</v>
      </c>
      <c r="BJ45" s="12" t="str">
        <f t="shared" ref="BJ45" si="35">K45</f>
        <v>Competitor_WD</v>
      </c>
      <c r="BK45" s="12" t="str">
        <f t="shared" ref="BK45" si="36">L45</f>
        <v>Discounts_5%_Min</v>
      </c>
      <c r="BL45" s="12" t="str">
        <f t="shared" ref="BL45" si="37">M45</f>
        <v>YouTube_FB_Impressions</v>
      </c>
      <c r="BM45" s="12" t="str">
        <f t="shared" ref="BM45" si="38">N45</f>
        <v>Google_Search_Clicks</v>
      </c>
      <c r="BN45" s="12" t="str">
        <f t="shared" ref="BN45" si="39">O45</f>
        <v>Display_Impressions</v>
      </c>
      <c r="BO45" s="12" t="str">
        <f t="shared" ref="BO45" si="40">P45</f>
        <v>OOH_Screen_GRPs</v>
      </c>
      <c r="BP45" s="12" t="str">
        <f t="shared" ref="BP45" si="41">Q45</f>
        <v>OOH_Retail_GRPs</v>
      </c>
      <c r="BQ45" s="12" t="str">
        <f t="shared" ref="BQ45" si="42">R45</f>
        <v>Competitor_GRPs</v>
      </c>
      <c r="BR45" s="12" t="str">
        <f t="shared" ref="BR45" si="43">S45</f>
        <v>Inflation</v>
      </c>
      <c r="BS45" s="12" t="str">
        <f t="shared" ref="BS45" si="44">T45</f>
        <v>Temperature</v>
      </c>
      <c r="BT45" s="12" t="str">
        <f t="shared" ref="BT45" si="45">U45</f>
        <v>Covid_Index</v>
      </c>
      <c r="BU45" s="12" t="str">
        <f t="shared" ref="BU45" si="46">V45</f>
        <v>Winter_Solstice</v>
      </c>
      <c r="BV45" s="12" t="str">
        <f t="shared" ref="BV45" si="47">W45</f>
        <v>Independence_Month</v>
      </c>
    </row>
    <row r="46" spans="1:74" x14ac:dyDescent="0.2">
      <c r="F46" s="4" t="s">
        <v>79</v>
      </c>
      <c r="G46" s="1">
        <f>SUMIFS(G$2:G$38,$B$2:$B$38,$F46)</f>
        <v>12502.6632282096</v>
      </c>
      <c r="H46" s="1">
        <f t="shared" ref="H46:W47" si="48">SUMIFS(H$2:H$38,$B$2:$B$38,$F46)</f>
        <v>-3461.6190375960641</v>
      </c>
      <c r="I46" s="1">
        <f t="shared" si="48"/>
        <v>1493.0364854209388</v>
      </c>
      <c r="J46" s="1">
        <f t="shared" si="48"/>
        <v>494.79801241792262</v>
      </c>
      <c r="K46" s="1">
        <f t="shared" si="48"/>
        <v>-875.2693665289446</v>
      </c>
      <c r="L46" s="1">
        <f t="shared" si="48"/>
        <v>1499.3882257379557</v>
      </c>
      <c r="M46" s="1">
        <f t="shared" si="48"/>
        <v>1916.2727714045502</v>
      </c>
      <c r="N46" s="1">
        <f t="shared" si="48"/>
        <v>383.07585279650857</v>
      </c>
      <c r="O46" s="1">
        <f t="shared" si="48"/>
        <v>1054.0061630068683</v>
      </c>
      <c r="P46" s="1">
        <f t="shared" si="48"/>
        <v>1063.141301968463</v>
      </c>
      <c r="Q46" s="1">
        <f t="shared" si="48"/>
        <v>431.17940896175645</v>
      </c>
      <c r="R46" s="1">
        <f t="shared" si="48"/>
        <v>-463.85597403233908</v>
      </c>
      <c r="S46" s="1">
        <f t="shared" si="48"/>
        <v>-93.837624617961794</v>
      </c>
      <c r="T46" s="1">
        <f t="shared" si="48"/>
        <v>-743.39932768750032</v>
      </c>
      <c r="U46" s="1">
        <f t="shared" si="48"/>
        <v>0</v>
      </c>
      <c r="V46" s="1">
        <f t="shared" si="48"/>
        <v>585.17521054501799</v>
      </c>
      <c r="W46" s="1">
        <f t="shared" si="48"/>
        <v>519.93444782320296</v>
      </c>
      <c r="BF46" s="177">
        <f>SUMIFS(BF$2:BF$38,$B$2:$B$38,$F46)</f>
        <v>1152530946.7319262</v>
      </c>
      <c r="BG46" s="177">
        <f t="shared" ref="BG46:BV47" si="49">SUMIFS(BG$2:BG$38,$B$2:$B$38,$F46)</f>
        <v>-318639828.08189625</v>
      </c>
      <c r="BH46" s="177">
        <f t="shared" si="49"/>
        <v>137666055.67795879</v>
      </c>
      <c r="BI46" s="177">
        <f t="shared" si="49"/>
        <v>45650687.202219509</v>
      </c>
      <c r="BJ46" s="177">
        <f t="shared" si="49"/>
        <v>-81146379.917267278</v>
      </c>
      <c r="BK46" s="177">
        <f t="shared" si="49"/>
        <v>137207743.45390704</v>
      </c>
      <c r="BL46" s="177">
        <f t="shared" si="49"/>
        <v>176575569.53789949</v>
      </c>
      <c r="BM46" s="177">
        <f t="shared" si="49"/>
        <v>35050078.183130033</v>
      </c>
      <c r="BN46" s="177">
        <f t="shared" si="49"/>
        <v>96742583.320447847</v>
      </c>
      <c r="BO46" s="177">
        <f t="shared" si="49"/>
        <v>97947537.852975309</v>
      </c>
      <c r="BP46" s="177">
        <f t="shared" si="49"/>
        <v>39830417.42093952</v>
      </c>
      <c r="BQ46" s="177">
        <f t="shared" si="49"/>
        <v>-42778877.157604128</v>
      </c>
      <c r="BR46" s="177">
        <f t="shared" si="49"/>
        <v>-8830878.2391729672</v>
      </c>
      <c r="BS46" s="177">
        <f t="shared" si="49"/>
        <v>-69290692.356459767</v>
      </c>
      <c r="BT46" s="177">
        <f t="shared" si="49"/>
        <v>0</v>
      </c>
      <c r="BU46" s="177">
        <f t="shared" si="49"/>
        <v>53203741.001238026</v>
      </c>
      <c r="BV46" s="177">
        <f t="shared" si="49"/>
        <v>48373086.109075867</v>
      </c>
    </row>
    <row r="47" spans="1:74" x14ac:dyDescent="0.2">
      <c r="F47" s="4" t="s">
        <v>80</v>
      </c>
      <c r="G47" s="1">
        <f>SUMIFS(G$2:G$38,$B$2:$B$38,$F47)</f>
        <v>14715.93139113926</v>
      </c>
      <c r="H47" s="1">
        <f t="shared" si="48"/>
        <v>-650.8149169220585</v>
      </c>
      <c r="I47" s="1">
        <f t="shared" si="48"/>
        <v>2459.2633704299792</v>
      </c>
      <c r="J47" s="1">
        <f t="shared" si="48"/>
        <v>3280.2159299548921</v>
      </c>
      <c r="K47" s="1">
        <f t="shared" si="48"/>
        <v>-1186.4296013158785</v>
      </c>
      <c r="L47" s="1">
        <f t="shared" si="48"/>
        <v>60.790120266845953</v>
      </c>
      <c r="M47" s="1">
        <f t="shared" si="48"/>
        <v>2089.3581228355083</v>
      </c>
      <c r="N47" s="1">
        <f t="shared" si="48"/>
        <v>200.01989265412621</v>
      </c>
      <c r="O47" s="1">
        <f t="shared" si="48"/>
        <v>2.2246476825009509E-7</v>
      </c>
      <c r="P47" s="1">
        <f t="shared" si="48"/>
        <v>9.8488837003671845E-4</v>
      </c>
      <c r="Q47" s="1">
        <f t="shared" si="48"/>
        <v>571.8266818371585</v>
      </c>
      <c r="R47" s="1">
        <f t="shared" si="48"/>
        <v>-635.83820987865363</v>
      </c>
      <c r="S47" s="1">
        <f t="shared" si="48"/>
        <v>-220.09696982798889</v>
      </c>
      <c r="T47" s="1">
        <f t="shared" si="48"/>
        <v>-885.37706676077573</v>
      </c>
      <c r="U47" s="1">
        <f t="shared" si="48"/>
        <v>0</v>
      </c>
      <c r="V47" s="1">
        <f t="shared" si="48"/>
        <v>589.17107289474802</v>
      </c>
      <c r="W47" s="1">
        <f t="shared" si="48"/>
        <v>516.18183089612103</v>
      </c>
      <c r="BF47" s="177">
        <f>SUMIFS(BF$2:BF$38,$B$2:$B$38,$F47)</f>
        <v>1422936176.0177066</v>
      </c>
      <c r="BG47" s="177">
        <f t="shared" si="49"/>
        <v>-63249911.80123914</v>
      </c>
      <c r="BH47" s="177">
        <f t="shared" si="49"/>
        <v>237781970.40517381</v>
      </c>
      <c r="BI47" s="177">
        <f t="shared" si="49"/>
        <v>316137672.40633202</v>
      </c>
      <c r="BJ47" s="177">
        <f t="shared" si="49"/>
        <v>-114901352.09765993</v>
      </c>
      <c r="BK47" s="177">
        <f t="shared" si="49"/>
        <v>5975622.1302280258</v>
      </c>
      <c r="BL47" s="177">
        <f>SUMIFS(BL$2:BL$38,$B$2:$B$38,$F47)</f>
        <v>201744898.30950987</v>
      </c>
      <c r="BM47" s="177">
        <f t="shared" si="49"/>
        <v>19393112.779859077</v>
      </c>
      <c r="BN47" s="177">
        <f t="shared" si="49"/>
        <v>2.1583283145890038E-2</v>
      </c>
      <c r="BO47" s="177">
        <f>SUMIFS(BO$2:BO$38,$B$2:$B$38,$F47)</f>
        <v>96.860930672845072</v>
      </c>
      <c r="BP47" s="177">
        <f t="shared" si="49"/>
        <v>55025906.137700558</v>
      </c>
      <c r="BQ47" s="177">
        <f t="shared" si="49"/>
        <v>-61445974.944742031</v>
      </c>
      <c r="BR47" s="177">
        <f t="shared" si="49"/>
        <v>-21331134.71815408</v>
      </c>
      <c r="BS47" s="177">
        <f t="shared" si="49"/>
        <v>-86071164.9981516</v>
      </c>
      <c r="BT47" s="177">
        <f t="shared" si="49"/>
        <v>0</v>
      </c>
      <c r="BU47" s="177">
        <f t="shared" si="49"/>
        <v>56937672.770896755</v>
      </c>
      <c r="BV47" s="177">
        <f t="shared" si="49"/>
        <v>49319629.526086323</v>
      </c>
    </row>
    <row r="49" spans="6:74" x14ac:dyDescent="0.2">
      <c r="F49" s="1">
        <v>2023</v>
      </c>
      <c r="G49" s="1">
        <f>SUMIFS(G$2:G$38,$C$2:$C$38,$F49)</f>
        <v>24814.346227714352</v>
      </c>
      <c r="H49" s="1">
        <f t="shared" ref="H49:W50" si="50">SUMIFS(H$2:H$38,$C$2:$C$38,$F49)</f>
        <v>-4539.1898599174447</v>
      </c>
      <c r="I49" s="1">
        <f t="shared" si="50"/>
        <v>3158.3542044526598</v>
      </c>
      <c r="J49" s="1">
        <f t="shared" si="50"/>
        <v>1584.3713540322926</v>
      </c>
      <c r="K49" s="1">
        <f t="shared" si="50"/>
        <v>-1903.0854210349646</v>
      </c>
      <c r="L49" s="1">
        <f t="shared" si="50"/>
        <v>2212.943679567828</v>
      </c>
      <c r="M49" s="1">
        <f t="shared" si="50"/>
        <v>2147.6052788362672</v>
      </c>
      <c r="N49" s="1">
        <f t="shared" si="50"/>
        <v>383.07652508324793</v>
      </c>
      <c r="O49" s="1">
        <f t="shared" si="50"/>
        <v>1054.2436750272218</v>
      </c>
      <c r="P49" s="1">
        <f t="shared" si="50"/>
        <v>1227.35894521657</v>
      </c>
      <c r="Q49" s="1">
        <f t="shared" si="50"/>
        <v>746.10652475556105</v>
      </c>
      <c r="R49" s="1">
        <f t="shared" si="50"/>
        <v>-917.15951781245383</v>
      </c>
      <c r="S49" s="1">
        <f t="shared" si="50"/>
        <v>-324.99651719300994</v>
      </c>
      <c r="T49" s="1">
        <f t="shared" si="50"/>
        <v>-3637.5792515145813</v>
      </c>
      <c r="U49" s="1">
        <f t="shared" si="50"/>
        <v>0</v>
      </c>
      <c r="V49" s="1">
        <f t="shared" si="50"/>
        <v>585.17521054501799</v>
      </c>
      <c r="W49" s="1">
        <f t="shared" si="50"/>
        <v>519.93444782320296</v>
      </c>
      <c r="BE49" s="1">
        <v>2023</v>
      </c>
      <c r="BF49" s="1">
        <f>SUMIFS(BF$2:BF$38,$C$2:$C$38,$F49)</f>
        <v>2315439674.6148973</v>
      </c>
      <c r="BG49" s="1">
        <f t="shared" ref="BG49:BV50" si="51">SUMIFS(BG$2:BG$38,$C$2:$C$38,$F49)</f>
        <v>-421448982.68377817</v>
      </c>
      <c r="BH49" s="1">
        <f t="shared" si="51"/>
        <v>294743552.21649748</v>
      </c>
      <c r="BI49" s="1">
        <f t="shared" si="51"/>
        <v>148017055.26728967</v>
      </c>
      <c r="BJ49" s="1">
        <f t="shared" si="51"/>
        <v>-178115681.03930676</v>
      </c>
      <c r="BK49" s="1">
        <f t="shared" si="51"/>
        <v>202687605.71364409</v>
      </c>
      <c r="BL49" s="1">
        <f t="shared" si="51"/>
        <v>198765016.16673291</v>
      </c>
      <c r="BM49" s="1">
        <f t="shared" si="51"/>
        <v>35050143.157868303</v>
      </c>
      <c r="BN49" s="1">
        <f t="shared" si="51"/>
        <v>96765546.674999624</v>
      </c>
      <c r="BO49" s="1">
        <f t="shared" si="51"/>
        <v>113636955.36979488</v>
      </c>
      <c r="BP49" s="1">
        <f t="shared" si="51"/>
        <v>69650944.537798151</v>
      </c>
      <c r="BQ49" s="1">
        <f t="shared" si="51"/>
        <v>-85578372.306552038</v>
      </c>
      <c r="BR49" s="1">
        <f t="shared" si="51"/>
        <v>-31166540.415541802</v>
      </c>
      <c r="BS49" s="1">
        <f t="shared" si="51"/>
        <v>-342773582.90028763</v>
      </c>
      <c r="BT49" s="1">
        <f t="shared" si="51"/>
        <v>0</v>
      </c>
      <c r="BU49" s="1">
        <f t="shared" si="51"/>
        <v>53203741.001238026</v>
      </c>
      <c r="BV49" s="1">
        <f t="shared" si="51"/>
        <v>48373086.109075867</v>
      </c>
    </row>
    <row r="50" spans="6:74" x14ac:dyDescent="0.2">
      <c r="F50" s="1">
        <v>2024</v>
      </c>
      <c r="G50" s="1">
        <f>SUMIFS(G$2:G$38,$C$2:$C$38,$F50)</f>
        <v>14715.93139113926</v>
      </c>
      <c r="H50" s="1">
        <f>SUMIFS(H$2:H$38,$C$2:$C$38,$F50)</f>
        <v>-650.8149169220585</v>
      </c>
      <c r="I50" s="1">
        <f t="shared" si="50"/>
        <v>2459.2633704299792</v>
      </c>
      <c r="J50" s="1">
        <f t="shared" si="50"/>
        <v>3280.2159299548921</v>
      </c>
      <c r="K50" s="1">
        <f t="shared" si="50"/>
        <v>-1186.4296013158785</v>
      </c>
      <c r="L50" s="1">
        <f t="shared" si="50"/>
        <v>60.790120266845953</v>
      </c>
      <c r="M50" s="1">
        <f t="shared" si="50"/>
        <v>2089.3581228355083</v>
      </c>
      <c r="N50" s="1">
        <f t="shared" si="50"/>
        <v>200.01989265412621</v>
      </c>
      <c r="O50" s="1">
        <f t="shared" si="50"/>
        <v>2.2246476825009509E-7</v>
      </c>
      <c r="P50" s="1">
        <f t="shared" si="50"/>
        <v>9.8488837003671845E-4</v>
      </c>
      <c r="Q50" s="1">
        <f t="shared" si="50"/>
        <v>571.8266818371585</v>
      </c>
      <c r="R50" s="1">
        <f t="shared" si="50"/>
        <v>-635.83820987865363</v>
      </c>
      <c r="S50" s="1">
        <f t="shared" si="50"/>
        <v>-220.09696982798889</v>
      </c>
      <c r="T50" s="1">
        <f t="shared" si="50"/>
        <v>-885.37706676077573</v>
      </c>
      <c r="U50" s="1">
        <f t="shared" si="50"/>
        <v>0</v>
      </c>
      <c r="V50" s="1">
        <f t="shared" si="50"/>
        <v>589.17107289474802</v>
      </c>
      <c r="W50" s="1">
        <f t="shared" si="50"/>
        <v>516.18183089612103</v>
      </c>
      <c r="BE50" s="1">
        <v>2024</v>
      </c>
      <c r="BF50" s="1">
        <f>SUMIFS(BF$2:BF$38,$C$2:$C$38,$F50)</f>
        <v>1422936176.0177066</v>
      </c>
      <c r="BG50" s="1">
        <f>SUMIFS(BG$2:BG$38,$C$2:$C$38,$F50)</f>
        <v>-63249911.80123914</v>
      </c>
      <c r="BH50" s="1">
        <f t="shared" si="51"/>
        <v>237781970.40517381</v>
      </c>
      <c r="BI50" s="1">
        <f t="shared" si="51"/>
        <v>316137672.40633202</v>
      </c>
      <c r="BJ50" s="1">
        <f t="shared" si="51"/>
        <v>-114901352.09765993</v>
      </c>
      <c r="BK50" s="1">
        <f t="shared" si="51"/>
        <v>5975622.1302280258</v>
      </c>
      <c r="BL50" s="1">
        <f t="shared" si="51"/>
        <v>201744898.30950987</v>
      </c>
      <c r="BM50" s="1">
        <f t="shared" si="51"/>
        <v>19393112.779859077</v>
      </c>
      <c r="BN50" s="1">
        <f t="shared" si="51"/>
        <v>2.1583283145890038E-2</v>
      </c>
      <c r="BO50" s="1">
        <f t="shared" si="51"/>
        <v>96.860930672845072</v>
      </c>
      <c r="BP50" s="1">
        <f t="shared" si="51"/>
        <v>55025906.137700558</v>
      </c>
      <c r="BQ50" s="1">
        <f t="shared" si="51"/>
        <v>-61445974.944742031</v>
      </c>
      <c r="BR50" s="1">
        <f t="shared" si="51"/>
        <v>-21331134.71815408</v>
      </c>
      <c r="BS50" s="1">
        <f t="shared" si="51"/>
        <v>-86071164.9981516</v>
      </c>
      <c r="BT50" s="1">
        <f t="shared" si="51"/>
        <v>0</v>
      </c>
      <c r="BU50" s="1">
        <f t="shared" si="51"/>
        <v>56937672.770896755</v>
      </c>
      <c r="BV50" s="1">
        <f t="shared" si="51"/>
        <v>49319629.526086323</v>
      </c>
    </row>
    <row r="54" spans="6:74" x14ac:dyDescent="0.2">
      <c r="BJ54" s="1" t="s">
        <v>81</v>
      </c>
      <c r="BK54" s="177">
        <f>SUM(BL49:BP49)</f>
        <v>513868605.9071939</v>
      </c>
    </row>
    <row r="55" spans="6:74" ht="14.25" x14ac:dyDescent="0.2">
      <c r="L55" s="1" t="s">
        <v>82</v>
      </c>
      <c r="M55" s="1">
        <f>SUM(M49:Q49)</f>
        <v>5558.3909489188673</v>
      </c>
      <c r="N55" s="1">
        <v>5558.3909489188673</v>
      </c>
      <c r="BJ55" s="1" t="s">
        <v>83</v>
      </c>
      <c r="BK55" s="210">
        <f>BL55-BM55</f>
        <v>139563974</v>
      </c>
      <c r="BL55" s="177">
        <v>167673039</v>
      </c>
      <c r="BM55" s="209">
        <v>28109065</v>
      </c>
    </row>
    <row r="56" spans="6:74" ht="15" x14ac:dyDescent="0.25">
      <c r="L56" s="1" t="s">
        <v>84</v>
      </c>
      <c r="M56" s="2">
        <f>SUM(G42:W42)</f>
        <v>31650.005581732617</v>
      </c>
      <c r="N56">
        <v>28422</v>
      </c>
      <c r="BJ56" s="1" t="s">
        <v>25</v>
      </c>
      <c r="BK56" s="208">
        <f>BK54/BK55</f>
        <v>3.6819573932968828</v>
      </c>
    </row>
    <row r="57" spans="6:74" x14ac:dyDescent="0.2">
      <c r="M57" s="133">
        <f>M55/M56</f>
        <v>0.17562053613434414</v>
      </c>
      <c r="N57" s="133">
        <f>N55/N56</f>
        <v>0.19556649598616802</v>
      </c>
    </row>
    <row r="60" spans="6:74" x14ac:dyDescent="0.2">
      <c r="M60" s="156">
        <v>5558.3909489188673</v>
      </c>
      <c r="N60" s="133">
        <f>M60*N61/M61</f>
        <v>8.4601562222751031E-2</v>
      </c>
    </row>
    <row r="61" spans="6:74" ht="15" x14ac:dyDescent="0.25">
      <c r="M61" s="1">
        <v>4848</v>
      </c>
      <c r="N61" s="118">
        <v>7.3789047482468423E-2</v>
      </c>
      <c r="O61" s="97">
        <f>N60-N61</f>
        <v>1.0812514740282608E-2</v>
      </c>
    </row>
  </sheetData>
  <conditionalFormatting sqref="A1:D1 F1 Z1:AX1">
    <cfRule type="duplicateValues" dxfId="30" priority="16"/>
  </conditionalFormatting>
  <conditionalFormatting sqref="E2:E38">
    <cfRule type="cellIs" dxfId="29" priority="11" operator="greaterThan">
      <formula>0.1</formula>
    </cfRule>
  </conditionalFormatting>
  <conditionalFormatting sqref="L1">
    <cfRule type="duplicateValues" dxfId="28" priority="7"/>
  </conditionalFormatting>
  <conditionalFormatting sqref="L45">
    <cfRule type="duplicateValues" dxfId="27" priority="2"/>
  </conditionalFormatting>
  <conditionalFormatting sqref="M1">
    <cfRule type="duplicateValues" dxfId="26" priority="8"/>
  </conditionalFormatting>
  <conditionalFormatting sqref="M45">
    <cfRule type="duplicateValues" dxfId="25" priority="3"/>
  </conditionalFormatting>
  <conditionalFormatting sqref="N1">
    <cfRule type="duplicateValues" dxfId="24" priority="9"/>
  </conditionalFormatting>
  <conditionalFormatting sqref="N45">
    <cfRule type="duplicateValues" dxfId="23" priority="4"/>
  </conditionalFormatting>
  <conditionalFormatting sqref="O1:V1">
    <cfRule type="duplicateValues" dxfId="22" priority="6"/>
  </conditionalFormatting>
  <conditionalFormatting sqref="O45:V45">
    <cfRule type="duplicateValues" dxfId="21" priority="1"/>
  </conditionalFormatting>
  <conditionalFormatting sqref="W1">
    <cfRule type="duplicateValues" dxfId="20" priority="10"/>
  </conditionalFormatting>
  <conditionalFormatting sqref="W45">
    <cfRule type="duplicateValues" dxfId="19" priority="5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94D52-4C2F-4CC9-87C2-EF20D5CF77EC}">
  <sheetPr codeName="Sheet4"/>
  <dimension ref="A1:K22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H21" sqref="H21:H22"/>
    </sheetView>
  </sheetViews>
  <sheetFormatPr defaultColWidth="8.7109375" defaultRowHeight="12.75" x14ac:dyDescent="0.2"/>
  <cols>
    <col min="1" max="1" width="25.85546875" style="1" bestFit="1" customWidth="1"/>
    <col min="2" max="16384" width="8.7109375" style="1"/>
  </cols>
  <sheetData>
    <row r="1" spans="1:11" x14ac:dyDescent="0.2">
      <c r="A1" s="1" t="s">
        <v>85</v>
      </c>
      <c r="B1" s="1">
        <v>1</v>
      </c>
      <c r="C1" s="1">
        <v>2</v>
      </c>
      <c r="D1" s="1">
        <v>3</v>
      </c>
      <c r="E1" s="1">
        <v>4</v>
      </c>
    </row>
    <row r="2" spans="1:11" x14ac:dyDescent="0.2">
      <c r="B2" s="96">
        <v>45695</v>
      </c>
      <c r="C2" s="96">
        <v>45698</v>
      </c>
      <c r="D2" s="96">
        <v>45700</v>
      </c>
      <c r="E2" s="96">
        <v>45702</v>
      </c>
      <c r="F2" s="3" t="s">
        <v>35</v>
      </c>
      <c r="K2" s="96"/>
    </row>
    <row r="3" spans="1:11" x14ac:dyDescent="0.2">
      <c r="A3" s="3" t="s">
        <v>4</v>
      </c>
      <c r="B3" s="35">
        <v>0.9608503139393485</v>
      </c>
      <c r="C3" s="35">
        <v>0.86567842619824409</v>
      </c>
      <c r="D3" s="35">
        <v>0.92532530766694499</v>
      </c>
      <c r="E3" s="35">
        <f>'Model Result'!I3</f>
        <v>0.89894805771569597</v>
      </c>
      <c r="F3" s="97">
        <f>E3-D3</f>
        <v>-2.6377249951249016E-2</v>
      </c>
      <c r="K3" s="35"/>
    </row>
    <row r="4" spans="1:11" x14ac:dyDescent="0.2">
      <c r="A4" s="3" t="s">
        <v>86</v>
      </c>
      <c r="B4" s="35">
        <v>-0.11532086478376179</v>
      </c>
      <c r="C4" s="35">
        <v>-8.2742586949474756E-2</v>
      </c>
      <c r="D4" s="35">
        <v>-0.15527881827636134</v>
      </c>
      <c r="E4" s="35">
        <f>'Model Result'!I4</f>
        <v>-0.11630871221805626</v>
      </c>
      <c r="F4" s="97">
        <f t="shared" ref="F4:F16" si="0">E4-D4</f>
        <v>3.8970106058305073E-2</v>
      </c>
      <c r="K4" s="35"/>
    </row>
    <row r="5" spans="1:11" x14ac:dyDescent="0.2">
      <c r="A5" s="3" t="s">
        <v>87</v>
      </c>
      <c r="B5" s="35">
        <v>0.11754513413081596</v>
      </c>
      <c r="C5" s="35">
        <v>6.1666769611846119E-2</v>
      </c>
      <c r="D5" s="35">
        <v>0.11727927150932649</v>
      </c>
      <c r="E5" s="35">
        <f>'Model Result'!I5</f>
        <v>8.6656897277288175E-2</v>
      </c>
      <c r="F5" s="97">
        <f t="shared" si="0"/>
        <v>-3.0622374232038313E-2</v>
      </c>
      <c r="K5" s="35"/>
    </row>
    <row r="6" spans="1:11" x14ac:dyDescent="0.2">
      <c r="A6" s="3" t="s">
        <v>43</v>
      </c>
      <c r="B6" s="35">
        <v>0.10782109672265075</v>
      </c>
      <c r="C6" s="35">
        <v>0.12921779563395297</v>
      </c>
      <c r="D6" s="35">
        <v>9.979183193560727E-2</v>
      </c>
      <c r="E6" s="35">
        <f>'Model Result'!I6</f>
        <v>9.4852555977626013E-2</v>
      </c>
      <c r="F6" s="97">
        <f t="shared" si="0"/>
        <v>-4.9392759579812567E-3</v>
      </c>
      <c r="K6" s="35"/>
    </row>
    <row r="7" spans="1:11" x14ac:dyDescent="0.2">
      <c r="A7" s="3" t="s">
        <v>88</v>
      </c>
      <c r="B7" s="35">
        <v>-4.9059353195517873E-2</v>
      </c>
      <c r="C7" s="35">
        <v>-2.4055110713659719E-2</v>
      </c>
      <c r="D7" s="35">
        <v>-5.6203142068046968E-2</v>
      </c>
      <c r="E7" s="35">
        <f>'Model Result'!I7</f>
        <v>-4.4486091430964353E-2</v>
      </c>
      <c r="F7" s="97">
        <f t="shared" si="0"/>
        <v>1.1717050637082616E-2</v>
      </c>
      <c r="K7" s="35"/>
    </row>
    <row r="8" spans="1:11" x14ac:dyDescent="0.2">
      <c r="A8" s="3" t="s">
        <v>89</v>
      </c>
      <c r="B8" s="35">
        <v>8.3805355273118502E-3</v>
      </c>
      <c r="C8" s="35">
        <v>1.7213552315096261E-3</v>
      </c>
      <c r="D8" s="35">
        <v>1.436970988439744E-2</v>
      </c>
      <c r="E8" s="35">
        <f>'Model Result'!I8</f>
        <v>8.7941858304036585E-2</v>
      </c>
      <c r="F8" s="97">
        <f t="shared" si="0"/>
        <v>7.3572148419639147E-2</v>
      </c>
      <c r="K8" s="35"/>
    </row>
    <row r="9" spans="1:11" x14ac:dyDescent="0.2">
      <c r="A9" s="128" t="s">
        <v>90</v>
      </c>
      <c r="B9" s="35">
        <v>3.3909790023009916E-2</v>
      </c>
      <c r="C9" s="35">
        <v>2.6375333063102295E-2</v>
      </c>
      <c r="D9" s="35">
        <v>3.8437489915690029E-2</v>
      </c>
      <c r="E9" s="35">
        <f>'Model Result'!I9</f>
        <v>3.9107613012155623E-2</v>
      </c>
      <c r="F9" s="97">
        <f t="shared" si="0"/>
        <v>6.7012309646559409E-4</v>
      </c>
      <c r="K9" s="35"/>
    </row>
    <row r="10" spans="1:11" x14ac:dyDescent="0.2">
      <c r="A10" s="128" t="s">
        <v>91</v>
      </c>
      <c r="B10" s="35">
        <v>1.5073446276969793E-2</v>
      </c>
      <c r="C10" s="35">
        <v>1.0883651027050764E-2</v>
      </c>
      <c r="D10" s="35">
        <v>2.2280075515031406E-2</v>
      </c>
      <c r="E10" s="35">
        <f>'Model Result'!I10</f>
        <v>5.9051475665314193E-3</v>
      </c>
      <c r="F10" s="97">
        <f t="shared" si="0"/>
        <v>-1.6374927948499988E-2</v>
      </c>
      <c r="K10" s="35"/>
    </row>
    <row r="11" spans="1:11" x14ac:dyDescent="0.2">
      <c r="A11" s="3" t="s">
        <v>92</v>
      </c>
      <c r="B11" s="35">
        <v>1.1455089448746422E-2</v>
      </c>
      <c r="C11" s="35">
        <v>7.0443113028777491E-3</v>
      </c>
      <c r="D11" s="35">
        <v>5.832729502488759E-3</v>
      </c>
      <c r="E11" s="35">
        <f>'Model Result'!I12</f>
        <v>1.2429807820647901E-2</v>
      </c>
      <c r="F11" s="97">
        <f t="shared" si="0"/>
        <v>6.5970783181591424E-3</v>
      </c>
      <c r="K11" s="35"/>
    </row>
    <row r="12" spans="1:11" x14ac:dyDescent="0.2">
      <c r="A12" s="128" t="s">
        <v>93</v>
      </c>
      <c r="B12" s="35">
        <v>0</v>
      </c>
      <c r="C12" s="35">
        <v>1.3676390604410322E-2</v>
      </c>
      <c r="D12" s="35">
        <v>1.6733445170568517E-2</v>
      </c>
      <c r="E12" s="35">
        <f>'Model Result'!I13</f>
        <v>1.2176356986993299E-2</v>
      </c>
      <c r="F12" s="97">
        <f t="shared" si="0"/>
        <v>-4.5570881835752183E-3</v>
      </c>
      <c r="K12" s="35"/>
    </row>
    <row r="13" spans="1:11" x14ac:dyDescent="0.2">
      <c r="A13" s="3" t="s">
        <v>94</v>
      </c>
      <c r="B13" s="102" t="s">
        <v>95</v>
      </c>
      <c r="C13" s="102" t="s">
        <v>95</v>
      </c>
      <c r="D13" s="102">
        <v>1.1027657267374855E-2</v>
      </c>
      <c r="E13" s="35">
        <f>'Model Result'!I11</f>
        <v>1.0676612428855257E-2</v>
      </c>
      <c r="F13" s="97">
        <f t="shared" si="0"/>
        <v>-3.5104483851959752E-4</v>
      </c>
      <c r="K13" s="102"/>
    </row>
    <row r="14" spans="1:11" x14ac:dyDescent="0.2">
      <c r="A14" s="3" t="s">
        <v>96</v>
      </c>
      <c r="B14" s="35">
        <v>-2.373777279335652E-2</v>
      </c>
      <c r="C14" s="35">
        <v>-1.260958828037804E-2</v>
      </c>
      <c r="D14" s="35">
        <v>-9.7235141731023718E-3</v>
      </c>
      <c r="E14" s="35">
        <f>'Model Result'!I14</f>
        <v>-2.5158970025167943E-2</v>
      </c>
      <c r="F14" s="97">
        <f t="shared" si="0"/>
        <v>-1.5435455852065572E-2</v>
      </c>
      <c r="K14" s="35"/>
    </row>
    <row r="15" spans="1:11" x14ac:dyDescent="0.2">
      <c r="A15" s="3" t="s">
        <v>97</v>
      </c>
      <c r="B15" s="35">
        <v>1.8913388962196038E-2</v>
      </c>
      <c r="C15" s="35">
        <v>5.1790477196525233E-3</v>
      </c>
      <c r="D15" s="35">
        <v>4.9102398158617716E-3</v>
      </c>
      <c r="E15" s="35"/>
      <c r="F15" s="97">
        <f t="shared" si="0"/>
        <v>-4.9102398158617716E-3</v>
      </c>
      <c r="K15" s="35"/>
    </row>
    <row r="16" spans="1:11" x14ac:dyDescent="0.2">
      <c r="A16" s="3" t="s">
        <v>98</v>
      </c>
      <c r="B16" s="35">
        <v>-8.5830804258412954E-2</v>
      </c>
      <c r="C16" s="35">
        <v>-2.0357944491340742E-3</v>
      </c>
      <c r="D16" s="35">
        <v>-3.4782283665780733E-2</v>
      </c>
      <c r="E16" s="35">
        <f>SUM('Model Result'!I16:I22)</f>
        <v>-3.517997634996204E-2</v>
      </c>
      <c r="F16" s="97">
        <f t="shared" si="0"/>
        <v>-3.9769268418130693E-4</v>
      </c>
      <c r="K16" s="35"/>
    </row>
    <row r="18" spans="1:5" ht="13.5" thickBot="1" x14ac:dyDescent="0.25">
      <c r="A18" s="1" t="s">
        <v>85</v>
      </c>
      <c r="B18" s="1">
        <v>1</v>
      </c>
      <c r="C18" s="1">
        <v>2</v>
      </c>
      <c r="D18" s="1">
        <v>3</v>
      </c>
      <c r="E18" s="1">
        <v>4</v>
      </c>
    </row>
    <row r="19" spans="1:5" x14ac:dyDescent="0.2">
      <c r="A19" s="28" t="s">
        <v>9</v>
      </c>
      <c r="B19" s="74">
        <v>0.81695804895815771</v>
      </c>
      <c r="C19" s="74">
        <v>0.81240000000000001</v>
      </c>
      <c r="D19" s="74">
        <v>0.61140000000000005</v>
      </c>
      <c r="E19" s="105">
        <v>0.90549999999999997</v>
      </c>
    </row>
    <row r="20" spans="1:5" x14ac:dyDescent="0.2">
      <c r="A20" s="29" t="s">
        <v>13</v>
      </c>
      <c r="B20" s="88">
        <v>0.6532</v>
      </c>
      <c r="C20" s="88">
        <v>0.60270000000000001</v>
      </c>
      <c r="D20" s="88">
        <v>0.22270000000000001</v>
      </c>
      <c r="E20" s="106">
        <v>0.82090000000000007</v>
      </c>
    </row>
    <row r="21" spans="1:5" x14ac:dyDescent="0.2">
      <c r="A21" s="29" t="s">
        <v>14</v>
      </c>
      <c r="B21" s="88">
        <v>0.10604729416877107</v>
      </c>
      <c r="C21" s="88">
        <v>9.2899999999999996E-2</v>
      </c>
      <c r="D21" s="88">
        <v>0.17710000000000001</v>
      </c>
      <c r="E21" s="88">
        <v>6.8599999999999994E-2</v>
      </c>
    </row>
    <row r="22" spans="1:5" ht="13.5" thickBot="1" x14ac:dyDescent="0.25">
      <c r="A22" s="30" t="s">
        <v>16</v>
      </c>
      <c r="B22" s="148">
        <v>1.5322584208320946</v>
      </c>
      <c r="C22" s="148">
        <v>1.57</v>
      </c>
      <c r="D22" s="148">
        <v>1.05</v>
      </c>
      <c r="E22" s="107">
        <v>2.54</v>
      </c>
    </row>
  </sheetData>
  <conditionalFormatting sqref="A2:A7 A9:A17 A23:A1048576">
    <cfRule type="duplicateValues" dxfId="1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C0FE-DE69-4526-B61E-C9A50664F4F8}">
  <sheetPr codeName="Sheet5">
    <tabColor theme="1"/>
  </sheetPr>
  <dimension ref="A1:AD173"/>
  <sheetViews>
    <sheetView topLeftCell="A67" workbookViewId="0">
      <selection activeCell="K147" sqref="K147"/>
    </sheetView>
  </sheetViews>
  <sheetFormatPr defaultRowHeight="15" x14ac:dyDescent="0.25"/>
  <cols>
    <col min="1" max="1" width="20.42578125" bestFit="1" customWidth="1"/>
    <col min="2" max="2" width="14.85546875" bestFit="1" customWidth="1"/>
    <col min="3" max="3" width="15.140625" bestFit="1" customWidth="1"/>
    <col min="4" max="5" width="30.42578125" bestFit="1" customWidth="1"/>
    <col min="6" max="6" width="15.28515625" bestFit="1" customWidth="1"/>
    <col min="7" max="7" width="15.140625" bestFit="1" customWidth="1"/>
    <col min="8" max="10" width="14.85546875" bestFit="1" customWidth="1"/>
    <col min="11" max="11" width="17.28515625" bestFit="1" customWidth="1"/>
    <col min="12" max="12" width="15.140625" bestFit="1" customWidth="1"/>
    <col min="13" max="13" width="12" bestFit="1" customWidth="1"/>
    <col min="14" max="14" width="20.42578125" bestFit="1" customWidth="1"/>
    <col min="15" max="15" width="13.85546875" bestFit="1" customWidth="1"/>
    <col min="16" max="16" width="12.5703125" bestFit="1" customWidth="1"/>
    <col min="17" max="17" width="14.7109375" bestFit="1" customWidth="1"/>
    <col min="18" max="18" width="19.42578125" bestFit="1" customWidth="1"/>
    <col min="19" max="19" width="12" bestFit="1" customWidth="1"/>
    <col min="20" max="51" width="20.5703125" bestFit="1" customWidth="1"/>
    <col min="52" max="54" width="19.85546875" bestFit="1" customWidth="1"/>
  </cols>
  <sheetData>
    <row r="1" spans="1:17" x14ac:dyDescent="0.25">
      <c r="A1" t="s">
        <v>99</v>
      </c>
      <c r="B1" t="s">
        <v>100</v>
      </c>
      <c r="C1" t="s">
        <v>101</v>
      </c>
      <c r="D1" t="s">
        <v>32</v>
      </c>
      <c r="E1" t="s">
        <v>102</v>
      </c>
      <c r="F1" t="s">
        <v>103</v>
      </c>
      <c r="G1" t="s">
        <v>104</v>
      </c>
      <c r="H1" t="s">
        <v>11</v>
      </c>
      <c r="I1" t="s">
        <v>15</v>
      </c>
      <c r="J1" t="s">
        <v>17</v>
      </c>
      <c r="K1" t="s">
        <v>33</v>
      </c>
      <c r="L1" t="s">
        <v>34</v>
      </c>
    </row>
    <row r="2" spans="1:17" x14ac:dyDescent="0.25">
      <c r="A2" t="s">
        <v>4</v>
      </c>
      <c r="B2" t="s">
        <v>4</v>
      </c>
      <c r="C2" t="s">
        <v>4</v>
      </c>
      <c r="D2" s="118">
        <v>0.89894805771569597</v>
      </c>
      <c r="E2" s="118">
        <v>0.87739503817345643</v>
      </c>
      <c r="F2" s="118">
        <v>0.93991509859739863</v>
      </c>
      <c r="G2" s="118">
        <v>0.88185306889516568</v>
      </c>
      <c r="H2">
        <v>29452.634512758203</v>
      </c>
      <c r="I2">
        <v>29748.318116962429</v>
      </c>
      <c r="J2">
        <v>29564.122541359648</v>
      </c>
      <c r="K2" s="112">
        <v>8.8084251711218944E-3</v>
      </c>
      <c r="L2" s="112">
        <v>-5.8197643955264821E-3</v>
      </c>
    </row>
    <row r="3" spans="1:17" x14ac:dyDescent="0.25">
      <c r="A3" t="s">
        <v>105</v>
      </c>
      <c r="B3" t="s">
        <v>105</v>
      </c>
      <c r="C3" t="s">
        <v>38</v>
      </c>
      <c r="D3" s="118">
        <v>-0.11630871221805626</v>
      </c>
      <c r="E3" s="118">
        <v>-7.1774254951769159E-2</v>
      </c>
      <c r="F3" s="118">
        <v>-0.19607573230414302</v>
      </c>
      <c r="G3" s="118">
        <v>-8.5594858342855948E-2</v>
      </c>
      <c r="H3">
        <v>-2409.3376490032847</v>
      </c>
      <c r="I3">
        <v>-6205.798021868437</v>
      </c>
      <c r="J3">
        <v>-2869.5674712896448</v>
      </c>
      <c r="K3" s="112">
        <v>-0.11309669063156724</v>
      </c>
      <c r="L3" s="112">
        <v>0.10541010939045012</v>
      </c>
      <c r="P3" s="119" t="s">
        <v>106</v>
      </c>
      <c r="Q3" t="s">
        <v>107</v>
      </c>
    </row>
    <row r="4" spans="1:17" x14ac:dyDescent="0.25">
      <c r="A4" t="s">
        <v>108</v>
      </c>
      <c r="B4" t="s">
        <v>108</v>
      </c>
      <c r="C4" t="s">
        <v>109</v>
      </c>
      <c r="D4" s="118">
        <v>8.6656897277288175E-2</v>
      </c>
      <c r="E4" s="118">
        <v>3.058755983120668E-2</v>
      </c>
      <c r="F4" s="118">
        <v>0.1018130403094302</v>
      </c>
      <c r="G4" s="118">
        <v>0.12849011978044955</v>
      </c>
      <c r="H4">
        <v>1026.7715010345821</v>
      </c>
      <c r="I4">
        <v>3222.3832940866337</v>
      </c>
      <c r="J4">
        <v>4307.6310334809041</v>
      </c>
      <c r="K4" s="112">
        <v>6.5407354039738463E-2</v>
      </c>
      <c r="L4" s="112">
        <v>3.4289022053779386E-2</v>
      </c>
      <c r="P4" s="120" t="s">
        <v>4</v>
      </c>
      <c r="Q4" s="112">
        <v>0.89894805771569597</v>
      </c>
    </row>
    <row r="5" spans="1:17" x14ac:dyDescent="0.25">
      <c r="A5" t="s">
        <v>110</v>
      </c>
      <c r="B5" t="s">
        <v>110</v>
      </c>
      <c r="C5" t="s">
        <v>43</v>
      </c>
      <c r="D5" s="118">
        <v>9.4852555977626013E-2</v>
      </c>
      <c r="E5" s="118">
        <v>0.10041970459297066</v>
      </c>
      <c r="F5" s="118">
        <v>6.2054863489471958E-2</v>
      </c>
      <c r="G5" s="118">
        <v>0.12024159824927308</v>
      </c>
      <c r="H5">
        <v>3370.9158686525466</v>
      </c>
      <c r="I5">
        <v>1964.036775815443</v>
      </c>
      <c r="J5">
        <v>4031.0993640518163</v>
      </c>
      <c r="K5" s="112">
        <v>-4.1910978619944486E-2</v>
      </c>
      <c r="L5" s="112">
        <v>6.5310022865506745E-2</v>
      </c>
      <c r="P5" s="120" t="s">
        <v>109</v>
      </c>
      <c r="Q5" s="112">
        <v>1.7011835821155879E-2</v>
      </c>
    </row>
    <row r="6" spans="1:17" x14ac:dyDescent="0.25">
      <c r="A6" t="s">
        <v>111</v>
      </c>
      <c r="B6" t="s">
        <v>111</v>
      </c>
      <c r="C6" t="s">
        <v>109</v>
      </c>
      <c r="D6" s="118">
        <v>-4.4486091430964353E-2</v>
      </c>
      <c r="E6" s="118">
        <v>-2.8270587878949063E-2</v>
      </c>
      <c r="F6" s="118">
        <v>-2.8788668770562176E-2</v>
      </c>
      <c r="G6" s="118">
        <v>-7.5542019555251874E-2</v>
      </c>
      <c r="H6">
        <v>-948.99475838486524</v>
      </c>
      <c r="I6">
        <v>-911.16152727894439</v>
      </c>
      <c r="J6">
        <v>-2532.5460690988998</v>
      </c>
      <c r="K6" s="112">
        <v>1.1270533111740969E-3</v>
      </c>
      <c r="L6" s="112">
        <v>-5.1228570485806396E-2</v>
      </c>
      <c r="P6" s="120" t="s">
        <v>49</v>
      </c>
      <c r="Q6" s="112">
        <v>8.7941858304036585E-2</v>
      </c>
    </row>
    <row r="7" spans="1:17" x14ac:dyDescent="0.25">
      <c r="A7" t="s">
        <v>89</v>
      </c>
      <c r="B7" t="s">
        <v>89</v>
      </c>
      <c r="C7" t="s">
        <v>49</v>
      </c>
      <c r="D7" s="118">
        <v>8.7941858304036585E-2</v>
      </c>
      <c r="E7" s="118">
        <v>0.10521194586700852</v>
      </c>
      <c r="F7" s="118">
        <v>0.12863698015776506</v>
      </c>
      <c r="G7" s="118">
        <v>3.2230361931085284E-2</v>
      </c>
      <c r="H7">
        <v>3531.783122968257</v>
      </c>
      <c r="I7">
        <v>4071.3611400104924</v>
      </c>
      <c r="J7">
        <v>1080.5228255051343</v>
      </c>
      <c r="K7" s="112">
        <v>1.6074048474517755E-2</v>
      </c>
      <c r="L7" s="112">
        <v>-9.4497244456461502E-2</v>
      </c>
      <c r="P7" s="120" t="s">
        <v>43</v>
      </c>
      <c r="Q7" s="112">
        <v>9.4852555977626013E-2</v>
      </c>
    </row>
    <row r="8" spans="1:17" x14ac:dyDescent="0.25">
      <c r="A8" t="s">
        <v>112</v>
      </c>
      <c r="B8" t="s">
        <v>112</v>
      </c>
      <c r="C8" t="s">
        <v>52</v>
      </c>
      <c r="D8" s="118">
        <v>3.9107613012155623E-2</v>
      </c>
      <c r="E8" s="118">
        <v>1.4832656403069067E-11</v>
      </c>
      <c r="F8" s="118">
        <v>3.727970968304254E-2</v>
      </c>
      <c r="G8" s="118">
        <v>7.9991376771527331E-2</v>
      </c>
      <c r="H8">
        <v>4.9790663143293373E-7</v>
      </c>
      <c r="I8">
        <v>1179.9030195536679</v>
      </c>
      <c r="J8">
        <v>2681.7107617353417</v>
      </c>
      <c r="K8" s="112">
        <v>3.5149353243661904E-2</v>
      </c>
      <c r="L8" s="112">
        <v>4.7450473217245492E-2</v>
      </c>
      <c r="P8" s="120" t="s">
        <v>68</v>
      </c>
      <c r="Q8" s="112">
        <v>-6.2741133415641831E-2</v>
      </c>
    </row>
    <row r="9" spans="1:17" x14ac:dyDescent="0.25">
      <c r="A9" t="s">
        <v>113</v>
      </c>
      <c r="B9" t="s">
        <v>113</v>
      </c>
      <c r="C9" t="s">
        <v>52</v>
      </c>
      <c r="D9" s="118">
        <v>5.9051475665314193E-3</v>
      </c>
      <c r="E9" s="118">
        <v>8.0729101764474932E-12</v>
      </c>
      <c r="F9" s="118">
        <v>1.1302285347430633E-2</v>
      </c>
      <c r="G9" s="118">
        <v>6.7226316762515059E-3</v>
      </c>
      <c r="H9">
        <v>2.7099363745687012E-7</v>
      </c>
      <c r="I9">
        <v>357.71739433251435</v>
      </c>
      <c r="J9">
        <v>225.37621479973859</v>
      </c>
      <c r="K9" s="112">
        <v>1.0656413995222078E-2</v>
      </c>
      <c r="L9" s="112">
        <v>-4.1813951403900824E-3</v>
      </c>
      <c r="P9" s="120" t="s">
        <v>52</v>
      </c>
      <c r="Q9" s="112">
        <v>8.0295537815183504E-2</v>
      </c>
    </row>
    <row r="10" spans="1:17" x14ac:dyDescent="0.25">
      <c r="A10" t="s">
        <v>114</v>
      </c>
      <c r="B10" t="s">
        <v>114</v>
      </c>
      <c r="C10" t="s">
        <v>52</v>
      </c>
      <c r="D10" s="118">
        <v>1.0676612428855257E-2</v>
      </c>
      <c r="E10" s="118">
        <v>1.2326337592241742E-11</v>
      </c>
      <c r="F10" s="118">
        <v>2.5323042972979971E-2</v>
      </c>
      <c r="G10" s="118">
        <v>7.5397237190016481E-3</v>
      </c>
      <c r="H10">
        <v>4.1377384210075308E-7</v>
      </c>
      <c r="I10">
        <v>801.47445144127107</v>
      </c>
      <c r="J10">
        <v>252.76922405659792</v>
      </c>
      <c r="K10" s="112">
        <v>2.3875952633361432E-2</v>
      </c>
      <c r="L10" s="112">
        <v>-1.733665499576937E-2</v>
      </c>
      <c r="P10" s="120" t="s">
        <v>38</v>
      </c>
      <c r="Q10" s="112">
        <v>-0.11630871221805626</v>
      </c>
    </row>
    <row r="11" spans="1:17" x14ac:dyDescent="0.25">
      <c r="A11" t="s">
        <v>115</v>
      </c>
      <c r="B11" t="s">
        <v>115</v>
      </c>
      <c r="C11" t="s">
        <v>52</v>
      </c>
      <c r="D11" s="118">
        <v>1.2429807820647901E-2</v>
      </c>
      <c r="E11" s="118">
        <v>8.9434901981195588E-12</v>
      </c>
      <c r="F11" s="118">
        <v>2.0804487044272655E-2</v>
      </c>
      <c r="G11" s="118">
        <v>1.6969361064758173E-2</v>
      </c>
      <c r="H11">
        <v>3.0021750364808441E-7</v>
      </c>
      <c r="I11">
        <v>658.46213107631343</v>
      </c>
      <c r="J11">
        <v>568.89779903541717</v>
      </c>
      <c r="K11" s="112">
        <v>1.9615610485296593E-2</v>
      </c>
      <c r="L11" s="112">
        <v>-2.8298362162877456E-3</v>
      </c>
      <c r="P11" s="120" t="s">
        <v>116</v>
      </c>
      <c r="Q11" s="112">
        <v>0.99999999999999989</v>
      </c>
    </row>
    <row r="12" spans="1:17" x14ac:dyDescent="0.25">
      <c r="A12" t="s">
        <v>117</v>
      </c>
      <c r="B12" t="s">
        <v>117</v>
      </c>
      <c r="C12" t="s">
        <v>52</v>
      </c>
      <c r="D12" s="118">
        <v>1.2176356986993299E-2</v>
      </c>
      <c r="E12" s="118">
        <v>1.6555851719190653E-12</v>
      </c>
      <c r="F12" s="118">
        <v>7.2711456751503962E-3</v>
      </c>
      <c r="G12" s="118">
        <v>2.8999302496979355E-2</v>
      </c>
      <c r="H12">
        <v>5.5575131898152271E-8</v>
      </c>
      <c r="I12">
        <v>230.13180120410101</v>
      </c>
      <c r="J12">
        <v>972.20156381467962</v>
      </c>
      <c r="K12" s="112">
        <v>6.8556346077011058E-3</v>
      </c>
      <c r="L12" s="112">
        <v>2.3446117906496606E-2</v>
      </c>
    </row>
    <row r="13" spans="1:17" x14ac:dyDescent="0.25">
      <c r="A13" t="s">
        <v>118</v>
      </c>
      <c r="B13" t="s">
        <v>118</v>
      </c>
      <c r="C13" t="s">
        <v>109</v>
      </c>
      <c r="D13" s="118">
        <v>-2.5158970025167943E-2</v>
      </c>
      <c r="E13" s="118">
        <v>-1.6468526634322533E-2</v>
      </c>
      <c r="F13" s="118">
        <v>-2.4041151415212552E-2</v>
      </c>
      <c r="G13" s="118">
        <v>-3.4915931775840535E-2</v>
      </c>
      <c r="H13">
        <v>-552.81996685788795</v>
      </c>
      <c r="I13">
        <v>-760.90257648275633</v>
      </c>
      <c r="J13">
        <v>-1170.5565496982097</v>
      </c>
      <c r="K13" s="112">
        <v>-6.1987884016269723E-3</v>
      </c>
      <c r="L13" s="112">
        <v>-1.2943251215471907E-2</v>
      </c>
    </row>
    <row r="14" spans="1:17" x14ac:dyDescent="0.25">
      <c r="A14" t="s">
        <v>67</v>
      </c>
      <c r="B14" t="s">
        <v>119</v>
      </c>
      <c r="C14" t="s">
        <v>68</v>
      </c>
      <c r="D14" s="118">
        <v>-2.7561157065679801E-2</v>
      </c>
      <c r="E14" s="118">
        <v>-4.6618383699484033E-2</v>
      </c>
      <c r="F14" s="118">
        <v>-1.8884653008043144E-2</v>
      </c>
      <c r="G14" s="118">
        <v>-1.6670574870647357E-2</v>
      </c>
      <c r="H14">
        <v>-1564.898542775878</v>
      </c>
      <c r="I14">
        <v>-597.69937311364913</v>
      </c>
      <c r="J14">
        <v>-558.88099241770522</v>
      </c>
      <c r="K14" s="112">
        <v>2.8812897943629654E-2</v>
      </c>
      <c r="L14" s="112">
        <v>1.2264889052136111E-3</v>
      </c>
    </row>
    <row r="15" spans="1:17" x14ac:dyDescent="0.25">
      <c r="A15" t="s">
        <v>70</v>
      </c>
      <c r="B15" t="s">
        <v>70</v>
      </c>
      <c r="C15" t="s">
        <v>68</v>
      </c>
      <c r="D15" s="118">
        <v>-0.12048612543622583</v>
      </c>
      <c r="E15" s="118">
        <v>-0.11168606461133508</v>
      </c>
      <c r="F15" s="118">
        <v>-0.12673612092927936</v>
      </c>
      <c r="G15" s="118">
        <v>-0.12339710054676843</v>
      </c>
      <c r="H15">
        <v>-3749.1080961819202</v>
      </c>
      <c r="I15">
        <v>-4011.1989348188317</v>
      </c>
      <c r="J15">
        <v>-4136.8875728739195</v>
      </c>
      <c r="K15" s="112">
        <v>-7.8076954803867884E-3</v>
      </c>
      <c r="L15" s="112">
        <v>-3.971204293487747E-3</v>
      </c>
    </row>
    <row r="16" spans="1:17" x14ac:dyDescent="0.25">
      <c r="A16" t="s">
        <v>120</v>
      </c>
      <c r="B16" t="s">
        <v>120</v>
      </c>
      <c r="C16" t="s">
        <v>68</v>
      </c>
      <c r="D16" s="118">
        <v>5.1679035118809974E-2</v>
      </c>
      <c r="E16" s="118">
        <v>0.12800777685082843</v>
      </c>
      <c r="F16" s="118">
        <v>2.5464684701469027E-2</v>
      </c>
      <c r="G16" s="118">
        <v>0</v>
      </c>
      <c r="H16">
        <v>4296.9997576311998</v>
      </c>
      <c r="I16">
        <v>805.95741293855588</v>
      </c>
      <c r="J16">
        <v>0</v>
      </c>
      <c r="K16" s="112">
        <v>-0.10399827662139778</v>
      </c>
      <c r="L16" s="112">
        <v>-2.5464684701469027E-2</v>
      </c>
    </row>
    <row r="17" spans="1:30" x14ac:dyDescent="0.25">
      <c r="A17" t="s">
        <v>121</v>
      </c>
      <c r="B17" t="s">
        <v>119</v>
      </c>
      <c r="C17" t="s">
        <v>68</v>
      </c>
      <c r="D17" s="118">
        <v>1.7926650861198833E-2</v>
      </c>
      <c r="E17" s="118">
        <v>1.7748603386848201E-2</v>
      </c>
      <c r="F17" s="118">
        <v>1.848894493980003E-2</v>
      </c>
      <c r="G17" s="118">
        <v>1.7574082166979015E-2</v>
      </c>
      <c r="H17">
        <v>595.78993032942003</v>
      </c>
      <c r="I17">
        <v>585.17521054501799</v>
      </c>
      <c r="J17">
        <v>589.17107289474802</v>
      </c>
      <c r="K17" s="112">
        <v>-3.1621288297322482E-4</v>
      </c>
      <c r="L17" s="112">
        <v>1.262515527654857E-4</v>
      </c>
    </row>
    <row r="18" spans="1:30" x14ac:dyDescent="0.25">
      <c r="A18" t="s">
        <v>122</v>
      </c>
      <c r="B18" t="s">
        <v>119</v>
      </c>
      <c r="C18" t="s">
        <v>68</v>
      </c>
      <c r="D18" s="118">
        <v>1.5700463106254982E-2</v>
      </c>
      <c r="E18" s="118">
        <v>1.5447189027709831E-2</v>
      </c>
      <c r="F18" s="118">
        <v>1.6172043509028951E-2</v>
      </c>
      <c r="G18" s="118">
        <v>1.5508858339893702E-2</v>
      </c>
      <c r="H18">
        <v>518.53542918336302</v>
      </c>
      <c r="I18">
        <v>511.84526732878902</v>
      </c>
      <c r="J18">
        <v>519.93444782320296</v>
      </c>
      <c r="K18" s="112">
        <v>-1.9930016152673355E-4</v>
      </c>
      <c r="L18" s="112">
        <v>2.55582277024392E-4</v>
      </c>
    </row>
    <row r="22" spans="1:30" x14ac:dyDescent="0.25">
      <c r="G22" s="120" t="s">
        <v>4</v>
      </c>
      <c r="H22" s="120" t="s">
        <v>109</v>
      </c>
      <c r="I22" s="120" t="s">
        <v>49</v>
      </c>
      <c r="J22" s="120" t="s">
        <v>43</v>
      </c>
      <c r="K22" s="120" t="s">
        <v>68</v>
      </c>
      <c r="L22" s="120" t="s">
        <v>52</v>
      </c>
      <c r="M22" s="120" t="s">
        <v>38</v>
      </c>
    </row>
    <row r="23" spans="1:30" x14ac:dyDescent="0.25">
      <c r="G23" s="112">
        <v>0.89894805771569597</v>
      </c>
      <c r="H23" s="112">
        <v>1.7011835821155879E-2</v>
      </c>
      <c r="I23" s="112">
        <v>8.7941858304036585E-2</v>
      </c>
      <c r="J23" s="112">
        <v>9.4852555977626013E-2</v>
      </c>
      <c r="K23" s="112">
        <v>-6.2741133415641831E-2</v>
      </c>
      <c r="L23" s="112">
        <v>8.0295537815183504E-2</v>
      </c>
      <c r="M23" s="112">
        <v>-0.11630871221805626</v>
      </c>
    </row>
    <row r="25" spans="1:30" x14ac:dyDescent="0.25">
      <c r="G25" s="120" t="s">
        <v>4</v>
      </c>
      <c r="H25" s="120" t="s">
        <v>108</v>
      </c>
      <c r="I25" s="120" t="s">
        <v>111</v>
      </c>
      <c r="J25" s="120" t="s">
        <v>120</v>
      </c>
      <c r="K25" s="120" t="s">
        <v>89</v>
      </c>
      <c r="L25" s="120" t="s">
        <v>119</v>
      </c>
      <c r="M25" s="120" t="s">
        <v>70</v>
      </c>
      <c r="N25" s="120" t="s">
        <v>105</v>
      </c>
      <c r="O25" s="120" t="s">
        <v>110</v>
      </c>
      <c r="P25" s="120" t="s">
        <v>112</v>
      </c>
      <c r="Q25" s="120" t="s">
        <v>113</v>
      </c>
      <c r="R25" s="120" t="s">
        <v>114</v>
      </c>
      <c r="S25" s="120" t="s">
        <v>115</v>
      </c>
      <c r="T25" s="120" t="s">
        <v>117</v>
      </c>
      <c r="U25" s="120" t="s">
        <v>118</v>
      </c>
    </row>
    <row r="26" spans="1:30" x14ac:dyDescent="0.25">
      <c r="G26" s="112">
        <v>0.89894805771569597</v>
      </c>
      <c r="H26" s="112">
        <v>8.6656897277288175E-2</v>
      </c>
      <c r="I26" s="112">
        <v>-4.4486091430964353E-2</v>
      </c>
      <c r="J26" s="112">
        <v>5.1679035118809974E-2</v>
      </c>
      <c r="K26" s="112">
        <v>8.7941858304036585E-2</v>
      </c>
      <c r="L26" s="112">
        <v>6.0659569017740139E-3</v>
      </c>
      <c r="M26" s="112">
        <v>-0.12048612543622583</v>
      </c>
      <c r="N26" s="112">
        <v>-0.11630871221805626</v>
      </c>
      <c r="O26" s="112">
        <v>9.4852555977626013E-2</v>
      </c>
      <c r="P26" s="112">
        <v>3.9107613012155623E-2</v>
      </c>
      <c r="Q26" s="112">
        <v>5.9051475665314193E-3</v>
      </c>
      <c r="R26" s="112">
        <v>1.0676612428855257E-2</v>
      </c>
      <c r="S26" s="112">
        <v>1.2429807820647901E-2</v>
      </c>
      <c r="T26" s="112">
        <v>1.2176356986993299E-2</v>
      </c>
      <c r="U26" s="112">
        <v>-2.5158970025167943E-2</v>
      </c>
    </row>
    <row r="31" spans="1:30" x14ac:dyDescent="0.25">
      <c r="D31" t="s">
        <v>4</v>
      </c>
      <c r="E31" t="s">
        <v>105</v>
      </c>
      <c r="F31" t="s">
        <v>108</v>
      </c>
      <c r="G31" t="s">
        <v>110</v>
      </c>
      <c r="H31" t="s">
        <v>111</v>
      </c>
      <c r="I31" t="s">
        <v>89</v>
      </c>
      <c r="J31" t="s">
        <v>112</v>
      </c>
      <c r="K31" t="s">
        <v>113</v>
      </c>
      <c r="L31" t="s">
        <v>114</v>
      </c>
      <c r="M31" t="s">
        <v>115</v>
      </c>
      <c r="N31" t="s">
        <v>117</v>
      </c>
      <c r="O31" t="s">
        <v>118</v>
      </c>
      <c r="P31" t="s">
        <v>67</v>
      </c>
      <c r="Q31" t="s">
        <v>70</v>
      </c>
      <c r="R31" t="s">
        <v>120</v>
      </c>
      <c r="S31" t="s">
        <v>121</v>
      </c>
      <c r="T31" t="s">
        <v>122</v>
      </c>
    </row>
    <row r="32" spans="1:30" x14ac:dyDescent="0.25">
      <c r="A32" t="s">
        <v>1</v>
      </c>
      <c r="B32" t="s">
        <v>6</v>
      </c>
      <c r="C32" t="s">
        <v>5</v>
      </c>
      <c r="D32" t="s">
        <v>4</v>
      </c>
      <c r="E32" t="s">
        <v>36</v>
      </c>
      <c r="F32" t="s">
        <v>39</v>
      </c>
      <c r="G32" t="s">
        <v>41</v>
      </c>
      <c r="H32" t="s">
        <v>44</v>
      </c>
      <c r="I32" t="s">
        <v>48</v>
      </c>
      <c r="J32" t="s">
        <v>50</v>
      </c>
      <c r="K32" t="s">
        <v>54</v>
      </c>
      <c r="L32" t="s">
        <v>56</v>
      </c>
      <c r="M32" t="s">
        <v>58</v>
      </c>
      <c r="N32" t="s">
        <v>61</v>
      </c>
      <c r="O32" t="s">
        <v>63</v>
      </c>
      <c r="P32" t="s">
        <v>67</v>
      </c>
      <c r="Q32" t="s">
        <v>70</v>
      </c>
      <c r="R32" t="s">
        <v>71</v>
      </c>
      <c r="S32" t="s">
        <v>72</v>
      </c>
      <c r="T32" t="s">
        <v>73</v>
      </c>
      <c r="V32" s="120" t="s">
        <v>4</v>
      </c>
      <c r="W32" s="120" t="s">
        <v>109</v>
      </c>
      <c r="X32" s="120" t="s">
        <v>49</v>
      </c>
      <c r="Y32" s="120" t="s">
        <v>43</v>
      </c>
      <c r="Z32" s="120" t="s">
        <v>68</v>
      </c>
      <c r="AA32" s="120" t="s">
        <v>52</v>
      </c>
      <c r="AB32" s="120" t="s">
        <v>38</v>
      </c>
      <c r="AD32" s="120" t="s">
        <v>123</v>
      </c>
    </row>
    <row r="33" spans="1:30" x14ac:dyDescent="0.25">
      <c r="A33" s="121">
        <v>44440</v>
      </c>
      <c r="B33" s="112">
        <v>2.0832139200916762E-2</v>
      </c>
      <c r="C33" s="113">
        <v>-68.953714126580053</v>
      </c>
      <c r="D33" s="113">
        <v>2486.3068578007301</v>
      </c>
      <c r="E33" s="113">
        <v>-405.807705849858</v>
      </c>
      <c r="F33" s="113">
        <v>23.457837198065398</v>
      </c>
      <c r="G33" s="113">
        <v>88.337516913782594</v>
      </c>
      <c r="H33" s="113">
        <v>-41.214992296714897</v>
      </c>
      <c r="I33" s="113">
        <v>602.363640036314</v>
      </c>
      <c r="J33" s="113">
        <v>4.5318190105233498E-8</v>
      </c>
      <c r="K33" s="113">
        <v>2.4060811361772499E-8</v>
      </c>
      <c r="L33" s="113">
        <v>3.5499081134420703E-8</v>
      </c>
      <c r="M33" s="113">
        <v>2.09101244950685E-8</v>
      </c>
      <c r="N33" s="113">
        <v>3.62337666511555E-9</v>
      </c>
      <c r="O33" s="113">
        <v>-72.034821602553606</v>
      </c>
      <c r="P33" s="113">
        <v>-138.30448343515999</v>
      </c>
      <c r="Q33" s="113">
        <v>-190.76284054744201</v>
      </c>
      <c r="R33" s="113">
        <v>508.04527659664097</v>
      </c>
      <c r="S33" s="113">
        <v>0</v>
      </c>
      <c r="T33" s="113">
        <v>518.53542918336302</v>
      </c>
      <c r="V33" s="113">
        <f>D33</f>
        <v>2486.3068578007301</v>
      </c>
      <c r="W33" s="113">
        <f>SUM(F33,H33,O33)</f>
        <v>-89.791976701203112</v>
      </c>
      <c r="X33" s="113">
        <f>I33</f>
        <v>602.363640036314</v>
      </c>
      <c r="Y33" s="113">
        <f>G33</f>
        <v>88.337516913782594</v>
      </c>
      <c r="Z33" s="113">
        <f>SUM(P33:T33)</f>
        <v>697.51338179740196</v>
      </c>
      <c r="AA33" s="113">
        <f>SUM(J33:N33)</f>
        <v>1.2941158376161072E-7</v>
      </c>
      <c r="AB33" s="113">
        <f>E33</f>
        <v>-405.807705849858</v>
      </c>
      <c r="AD33" s="113">
        <f>SUM(V33:AB33)</f>
        <v>3378.921714126579</v>
      </c>
    </row>
    <row r="34" spans="1:30" x14ac:dyDescent="0.25">
      <c r="A34" s="121">
        <v>44470</v>
      </c>
      <c r="B34" s="112">
        <v>3.0978030802665358E-2</v>
      </c>
      <c r="C34" s="113">
        <v>93.810708723649896</v>
      </c>
      <c r="D34" s="113">
        <v>2472.8050198772999</v>
      </c>
      <c r="E34" s="113">
        <v>-300.40606338852598</v>
      </c>
      <c r="F34" s="113">
        <v>3.25198254240627</v>
      </c>
      <c r="G34" s="113">
        <v>348.14222628112998</v>
      </c>
      <c r="H34" s="113">
        <v>-77.633850889765696</v>
      </c>
      <c r="I34" s="113">
        <v>662.25311097081396</v>
      </c>
      <c r="J34" s="113">
        <v>4.4237048867877399E-8</v>
      </c>
      <c r="K34" s="113">
        <v>2.36856737434794E-8</v>
      </c>
      <c r="L34" s="113">
        <v>3.5473090885576498E-8</v>
      </c>
      <c r="M34" s="113">
        <v>2.2251739465110201E-8</v>
      </c>
      <c r="N34" s="113">
        <v>3.9543282984732304E-9</v>
      </c>
      <c r="O34" s="113">
        <v>-72.448132634343096</v>
      </c>
      <c r="P34" s="113">
        <v>-156.981204591216</v>
      </c>
      <c r="Q34" s="113">
        <v>-312.01808851802599</v>
      </c>
      <c r="R34" s="113">
        <v>367.52229149698002</v>
      </c>
      <c r="S34" s="113">
        <v>0</v>
      </c>
      <c r="T34" s="113">
        <v>0</v>
      </c>
      <c r="V34" s="113">
        <f t="shared" ref="V34:V69" si="0">D34</f>
        <v>2472.8050198772999</v>
      </c>
      <c r="W34" s="113">
        <f t="shared" ref="W34:W69" si="1">SUM(F34,H34,O34)</f>
        <v>-146.83000098170254</v>
      </c>
      <c r="X34" s="113">
        <f t="shared" ref="X34:X69" si="2">I34</f>
        <v>662.25311097081396</v>
      </c>
      <c r="Y34" s="113">
        <f t="shared" ref="Y34:Y69" si="3">G34</f>
        <v>348.14222628112998</v>
      </c>
      <c r="Z34" s="113">
        <f t="shared" ref="Z34:Z69" si="4">SUM(P34:T34)</f>
        <v>-101.47700161226197</v>
      </c>
      <c r="AA34" s="113">
        <f t="shared" ref="AA34:AA69" si="5">SUM(J34:N34)</f>
        <v>1.2960188126051673E-7</v>
      </c>
      <c r="AB34" s="113">
        <f t="shared" ref="AB34:AB69" si="6">E34</f>
        <v>-300.40606338852598</v>
      </c>
      <c r="AD34" s="113">
        <f t="shared" ref="AD34:AD69" si="7">SUM(V34:AB34)</f>
        <v>2934.4872912763553</v>
      </c>
    </row>
    <row r="35" spans="1:30" x14ac:dyDescent="0.25">
      <c r="A35" s="121">
        <v>44501</v>
      </c>
      <c r="B35" s="112">
        <v>7.0298551924483338E-2</v>
      </c>
      <c r="C35" s="113">
        <v>-177.54328109695007</v>
      </c>
      <c r="D35" s="113">
        <v>2469.03999939717</v>
      </c>
      <c r="E35" s="113">
        <v>-296.870941383331</v>
      </c>
      <c r="F35" s="113">
        <v>0</v>
      </c>
      <c r="G35" s="113">
        <v>317.97257976898601</v>
      </c>
      <c r="H35" s="113">
        <v>-106.07662389678001</v>
      </c>
      <c r="I35" s="113">
        <v>581.10767844492898</v>
      </c>
      <c r="J35" s="113">
        <v>4.3414245480788497E-8</v>
      </c>
      <c r="K35" s="113">
        <v>2.3657323366789001E-8</v>
      </c>
      <c r="L35" s="113">
        <v>3.52780814949017E-8</v>
      </c>
      <c r="M35" s="113">
        <v>2.3129083605068002E-8</v>
      </c>
      <c r="N35" s="113">
        <v>3.9226534724182897E-9</v>
      </c>
      <c r="O35" s="113">
        <v>-79.624360053510102</v>
      </c>
      <c r="P35" s="113">
        <v>-58.628364426772997</v>
      </c>
      <c r="Q35" s="113">
        <v>-450.08939582860302</v>
      </c>
      <c r="R35" s="113">
        <v>326.27370894545402</v>
      </c>
      <c r="S35" s="113">
        <v>0</v>
      </c>
      <c r="T35" s="113">
        <v>0</v>
      </c>
      <c r="V35" s="113">
        <f t="shared" si="0"/>
        <v>2469.03999939717</v>
      </c>
      <c r="W35" s="113">
        <f t="shared" si="1"/>
        <v>-185.70098395029009</v>
      </c>
      <c r="X35" s="113">
        <f t="shared" si="2"/>
        <v>581.10767844492898</v>
      </c>
      <c r="Y35" s="113">
        <f t="shared" si="3"/>
        <v>317.97257976898601</v>
      </c>
      <c r="Z35" s="113">
        <f t="shared" si="4"/>
        <v>-182.44405130992197</v>
      </c>
      <c r="AA35" s="113">
        <f t="shared" si="5"/>
        <v>1.2940138741996551E-7</v>
      </c>
      <c r="AB35" s="113">
        <f t="shared" si="6"/>
        <v>-296.870941383331</v>
      </c>
      <c r="AD35" s="113">
        <f t="shared" si="7"/>
        <v>2703.1042810969429</v>
      </c>
    </row>
    <row r="36" spans="1:30" x14ac:dyDescent="0.25">
      <c r="A36" s="121">
        <v>44531</v>
      </c>
      <c r="B36" s="112">
        <v>0.16290525754703339</v>
      </c>
      <c r="C36" s="113">
        <v>446.59824735489019</v>
      </c>
      <c r="D36" s="113">
        <v>2447.4368359373102</v>
      </c>
      <c r="E36" s="113">
        <v>-142.06704997713399</v>
      </c>
      <c r="F36" s="113">
        <v>16.158530089885701</v>
      </c>
      <c r="G36" s="113">
        <v>312.59824911967598</v>
      </c>
      <c r="H36" s="113">
        <v>-82.661177705094801</v>
      </c>
      <c r="I36" s="113">
        <v>91.953482452882596</v>
      </c>
      <c r="J36" s="113">
        <v>4.2091654425249099E-8</v>
      </c>
      <c r="K36" s="113">
        <v>2.3005333804191E-8</v>
      </c>
      <c r="L36" s="113">
        <v>3.5404535137915803E-8</v>
      </c>
      <c r="M36" s="113">
        <v>2.48737939297717E-8</v>
      </c>
      <c r="N36" s="113">
        <v>4.5340985985508402E-9</v>
      </c>
      <c r="O36" s="113">
        <v>-86.216045908330699</v>
      </c>
      <c r="P36" s="113">
        <v>-91.119559142992003</v>
      </c>
      <c r="Q36" s="113">
        <v>-540.29591902155198</v>
      </c>
      <c r="R36" s="113">
        <v>369.07440667054698</v>
      </c>
      <c r="S36" s="113">
        <v>0</v>
      </c>
      <c r="T36" s="113">
        <v>0</v>
      </c>
      <c r="V36" s="113">
        <f t="shared" si="0"/>
        <v>2447.4368359373102</v>
      </c>
      <c r="W36" s="113">
        <f t="shared" si="1"/>
        <v>-152.7186935235398</v>
      </c>
      <c r="X36" s="113">
        <f t="shared" si="2"/>
        <v>91.953482452882596</v>
      </c>
      <c r="Y36" s="113">
        <f t="shared" si="3"/>
        <v>312.59824911967598</v>
      </c>
      <c r="Z36" s="113">
        <f t="shared" si="4"/>
        <v>-262.34107149399699</v>
      </c>
      <c r="AA36" s="113">
        <f t="shared" si="5"/>
        <v>1.2990941589567845E-7</v>
      </c>
      <c r="AB36" s="113">
        <f t="shared" si="6"/>
        <v>-142.06704997713399</v>
      </c>
      <c r="AD36" s="113">
        <f t="shared" si="7"/>
        <v>2294.8617526451076</v>
      </c>
    </row>
    <row r="37" spans="1:30" x14ac:dyDescent="0.25">
      <c r="A37" s="121">
        <v>44562</v>
      </c>
      <c r="B37" s="112">
        <v>9.0961250673220501E-2</v>
      </c>
      <c r="C37" s="113">
        <v>-192.90980177650999</v>
      </c>
      <c r="D37" s="113">
        <v>2469.8362710900501</v>
      </c>
      <c r="E37" s="113">
        <v>-328.68595808801302</v>
      </c>
      <c r="F37" s="113">
        <v>11.907813680751801</v>
      </c>
      <c r="G37" s="113">
        <v>250.44131200179001</v>
      </c>
      <c r="H37" s="113">
        <v>-67.563189146046398</v>
      </c>
      <c r="I37" s="113">
        <v>474.28450754404798</v>
      </c>
      <c r="J37" s="113">
        <v>4.2168590417041297E-8</v>
      </c>
      <c r="K37" s="113">
        <v>2.3638541308906801E-8</v>
      </c>
      <c r="L37" s="113">
        <v>3.47755972442416E-8</v>
      </c>
      <c r="M37" s="113">
        <v>2.4087148836215301E-8</v>
      </c>
      <c r="N37" s="113">
        <v>3.8383432292940997E-9</v>
      </c>
      <c r="O37" s="113">
        <v>-43.124681689568398</v>
      </c>
      <c r="P37" s="113">
        <v>-142.97646455642001</v>
      </c>
      <c r="Q37" s="113">
        <v>-620.55192359233797</v>
      </c>
      <c r="R37" s="113">
        <v>310.13311440374798</v>
      </c>
      <c r="S37" s="113">
        <v>0</v>
      </c>
      <c r="T37" s="113">
        <v>0</v>
      </c>
      <c r="V37" s="113">
        <f t="shared" si="0"/>
        <v>2469.8362710900501</v>
      </c>
      <c r="W37" s="113">
        <f t="shared" si="1"/>
        <v>-98.780057154862988</v>
      </c>
      <c r="X37" s="113">
        <f t="shared" si="2"/>
        <v>474.28450754404798</v>
      </c>
      <c r="Y37" s="113">
        <f t="shared" si="3"/>
        <v>250.44131200179001</v>
      </c>
      <c r="Z37" s="113">
        <f t="shared" si="4"/>
        <v>-453.39527374501006</v>
      </c>
      <c r="AA37" s="113">
        <f t="shared" si="5"/>
        <v>1.2850822103569911E-7</v>
      </c>
      <c r="AB37" s="113">
        <f t="shared" si="6"/>
        <v>-328.68595808801302</v>
      </c>
      <c r="AD37" s="113">
        <f t="shared" si="7"/>
        <v>2313.7008017765102</v>
      </c>
    </row>
    <row r="38" spans="1:30" x14ac:dyDescent="0.25">
      <c r="A38" s="121">
        <v>44593</v>
      </c>
      <c r="B38" s="112">
        <v>0.19669296097490765</v>
      </c>
      <c r="C38" s="113">
        <v>-398.39647843769012</v>
      </c>
      <c r="D38" s="113">
        <v>2473.4602859516599</v>
      </c>
      <c r="E38" s="113">
        <v>-401.391742793069</v>
      </c>
      <c r="F38" s="113">
        <v>32.352805478062898</v>
      </c>
      <c r="G38" s="113">
        <v>312.15807088727001</v>
      </c>
      <c r="H38" s="113">
        <v>-73.834497353287105</v>
      </c>
      <c r="I38" s="113">
        <v>407.44942462436501</v>
      </c>
      <c r="J38" s="113">
        <v>4.1765390879411201E-8</v>
      </c>
      <c r="K38" s="113">
        <v>2.3647194714937301E-8</v>
      </c>
      <c r="L38" s="113">
        <v>3.4416746553248597E-8</v>
      </c>
      <c r="M38" s="113">
        <v>2.43217270033122E-8</v>
      </c>
      <c r="N38" s="113">
        <v>3.71765953640389E-9</v>
      </c>
      <c r="O38" s="113">
        <v>-2.04699146825187</v>
      </c>
      <c r="P38" s="113">
        <v>-34.694541334687898</v>
      </c>
      <c r="Q38" s="113">
        <v>-591.38524836199895</v>
      </c>
      <c r="R38" s="113">
        <v>301.80291267975201</v>
      </c>
      <c r="S38" s="113">
        <v>0</v>
      </c>
      <c r="T38" s="113">
        <v>0</v>
      </c>
      <c r="V38" s="113">
        <f t="shared" si="0"/>
        <v>2473.4602859516599</v>
      </c>
      <c r="W38" s="113">
        <f t="shared" si="1"/>
        <v>-43.528683343476075</v>
      </c>
      <c r="X38" s="113">
        <f t="shared" si="2"/>
        <v>407.44942462436501</v>
      </c>
      <c r="Y38" s="113">
        <f t="shared" si="3"/>
        <v>312.15807088727001</v>
      </c>
      <c r="Z38" s="113">
        <f t="shared" si="4"/>
        <v>-324.2768770169348</v>
      </c>
      <c r="AA38" s="113">
        <f t="shared" si="5"/>
        <v>1.2786871868731316E-7</v>
      </c>
      <c r="AB38" s="113">
        <f t="shared" si="6"/>
        <v>-401.391742793069</v>
      </c>
      <c r="AD38" s="113">
        <f t="shared" si="7"/>
        <v>2423.8704784376832</v>
      </c>
    </row>
    <row r="39" spans="1:30" x14ac:dyDescent="0.25">
      <c r="A39" s="121">
        <v>44621</v>
      </c>
      <c r="B39" s="112">
        <v>0.13090128484165131</v>
      </c>
      <c r="C39" s="113">
        <v>364.27811691645002</v>
      </c>
      <c r="D39" s="113">
        <v>2439.25592812996</v>
      </c>
      <c r="E39" s="113">
        <v>-78.363982402884204</v>
      </c>
      <c r="F39" s="113">
        <v>95.651762054168103</v>
      </c>
      <c r="G39" s="113">
        <v>302.29040208399499</v>
      </c>
      <c r="H39" s="113">
        <v>-68.995241173580098</v>
      </c>
      <c r="I39" s="113">
        <v>67.796035038763407</v>
      </c>
      <c r="J39" s="113">
        <v>4.05556435893264E-8</v>
      </c>
      <c r="K39" s="113">
        <v>2.2296514990478101E-8</v>
      </c>
      <c r="L39" s="113">
        <v>3.4657262711967298E-8</v>
      </c>
      <c r="M39" s="113">
        <v>2.6368880888134798E-8</v>
      </c>
      <c r="N39" s="113">
        <v>4.9411716872120999E-9</v>
      </c>
      <c r="O39" s="113">
        <v>-9.9414146908931994E-3</v>
      </c>
      <c r="P39" s="113">
        <v>-217.057873083918</v>
      </c>
      <c r="Q39" s="113">
        <v>-486.65614418378999</v>
      </c>
      <c r="R39" s="113">
        <v>364.65693790670599</v>
      </c>
      <c r="S39" s="113">
        <v>0</v>
      </c>
      <c r="T39" s="113">
        <v>0</v>
      </c>
      <c r="V39" s="113">
        <f t="shared" si="0"/>
        <v>2439.25592812996</v>
      </c>
      <c r="W39" s="113">
        <f t="shared" si="1"/>
        <v>26.646579465897112</v>
      </c>
      <c r="X39" s="113">
        <f t="shared" si="2"/>
        <v>67.796035038763407</v>
      </c>
      <c r="Y39" s="113">
        <f t="shared" si="3"/>
        <v>302.29040208399499</v>
      </c>
      <c r="Z39" s="113">
        <f t="shared" si="4"/>
        <v>-339.05707936100197</v>
      </c>
      <c r="AA39" s="113">
        <f t="shared" si="5"/>
        <v>1.288194738671187E-7</v>
      </c>
      <c r="AB39" s="113">
        <f t="shared" si="6"/>
        <v>-78.363982402884204</v>
      </c>
      <c r="AD39" s="113">
        <f t="shared" si="7"/>
        <v>2418.5678830835491</v>
      </c>
    </row>
    <row r="40" spans="1:30" x14ac:dyDescent="0.25">
      <c r="A40" s="121">
        <v>44652</v>
      </c>
      <c r="B40" s="112">
        <v>1.5193870983590835E-2</v>
      </c>
      <c r="C40" s="113">
        <v>-37.791168318130076</v>
      </c>
      <c r="D40" s="113">
        <v>2438.6477837436801</v>
      </c>
      <c r="E40" s="113">
        <v>-75.960646003047799</v>
      </c>
      <c r="F40" s="113">
        <v>117.774521522616</v>
      </c>
      <c r="G40" s="113">
        <v>192.711136220849</v>
      </c>
      <c r="H40" s="113">
        <v>-28.260112167529801</v>
      </c>
      <c r="I40" s="113">
        <v>10.1680742531242</v>
      </c>
      <c r="J40" s="113">
        <v>4.02457591717276E-8</v>
      </c>
      <c r="K40" s="113">
        <v>2.1978654621303799E-8</v>
      </c>
      <c r="L40" s="113">
        <v>3.4332067932189799E-8</v>
      </c>
      <c r="M40" s="113">
        <v>2.65494142177944E-8</v>
      </c>
      <c r="N40" s="113">
        <v>5.1215194343237199E-9</v>
      </c>
      <c r="O40" s="113">
        <v>-4.73609605535704E-5</v>
      </c>
      <c r="P40" s="113">
        <v>-164.29247691211401</v>
      </c>
      <c r="Q40" s="113">
        <v>-309.483374240986</v>
      </c>
      <c r="R40" s="113">
        <v>343.75030913427298</v>
      </c>
      <c r="S40" s="113">
        <v>0</v>
      </c>
      <c r="T40" s="113">
        <v>0</v>
      </c>
      <c r="V40" s="113">
        <f t="shared" si="0"/>
        <v>2438.6477837436801</v>
      </c>
      <c r="W40" s="113">
        <f t="shared" si="1"/>
        <v>89.51436199412565</v>
      </c>
      <c r="X40" s="113">
        <f t="shared" si="2"/>
        <v>10.1680742531242</v>
      </c>
      <c r="Y40" s="113">
        <f t="shared" si="3"/>
        <v>192.711136220849</v>
      </c>
      <c r="Z40" s="113">
        <f t="shared" si="4"/>
        <v>-130.02554201882703</v>
      </c>
      <c r="AA40" s="113">
        <f t="shared" si="5"/>
        <v>1.2822741537733933E-7</v>
      </c>
      <c r="AB40" s="113">
        <f t="shared" si="6"/>
        <v>-75.960646003047799</v>
      </c>
      <c r="AD40" s="113">
        <f t="shared" si="7"/>
        <v>2525.0551683181316</v>
      </c>
    </row>
    <row r="41" spans="1:30" x14ac:dyDescent="0.25">
      <c r="A41" s="121">
        <v>44682</v>
      </c>
      <c r="B41" s="112">
        <v>4.1514197386861183E-3</v>
      </c>
      <c r="C41" s="113">
        <v>13.397744077230072</v>
      </c>
      <c r="D41" s="113">
        <v>2434.8380680334699</v>
      </c>
      <c r="E41" s="113">
        <v>-36.492029941878897</v>
      </c>
      <c r="F41" s="113">
        <v>171.79208654812899</v>
      </c>
      <c r="G41" s="113">
        <v>376.43801772652199</v>
      </c>
      <c r="H41" s="113">
        <v>-54.308505318477501</v>
      </c>
      <c r="I41" s="113">
        <v>256.57738136784701</v>
      </c>
      <c r="J41" s="113">
        <v>3.9836385025967701E-8</v>
      </c>
      <c r="K41" s="113">
        <v>2.1548682655085399E-8</v>
      </c>
      <c r="L41" s="113">
        <v>3.405102227397E-8</v>
      </c>
      <c r="M41" s="113">
        <v>2.69169240604387E-8</v>
      </c>
      <c r="N41" s="113">
        <v>5.4112786716580798E-9</v>
      </c>
      <c r="O41" s="113">
        <v>-1.1326817721787201E-6</v>
      </c>
      <c r="P41" s="113">
        <v>-141.06155501113</v>
      </c>
      <c r="Q41" s="113">
        <v>-149.10749746124901</v>
      </c>
      <c r="R41" s="113">
        <v>355.19429098446102</v>
      </c>
      <c r="S41" s="113">
        <v>0</v>
      </c>
      <c r="T41" s="113">
        <v>0</v>
      </c>
      <c r="V41" s="113">
        <f t="shared" si="0"/>
        <v>2434.8380680334699</v>
      </c>
      <c r="W41" s="113">
        <f t="shared" si="1"/>
        <v>117.48358009696972</v>
      </c>
      <c r="X41" s="113">
        <f t="shared" si="2"/>
        <v>256.57738136784701</v>
      </c>
      <c r="Y41" s="113">
        <f t="shared" si="3"/>
        <v>376.43801772652199</v>
      </c>
      <c r="Z41" s="113">
        <f t="shared" si="4"/>
        <v>65.025238512082012</v>
      </c>
      <c r="AA41" s="113">
        <f t="shared" si="5"/>
        <v>1.2776429268711988E-7</v>
      </c>
      <c r="AB41" s="113">
        <f t="shared" si="6"/>
        <v>-36.492029941878897</v>
      </c>
      <c r="AD41" s="113">
        <f t="shared" si="7"/>
        <v>3213.8702559227763</v>
      </c>
    </row>
    <row r="42" spans="1:30" x14ac:dyDescent="0.25">
      <c r="A42" s="121">
        <v>44713</v>
      </c>
      <c r="B42" s="112">
        <v>2.4908858518074412E-2</v>
      </c>
      <c r="C42" s="113">
        <v>92.668799977670005</v>
      </c>
      <c r="D42" s="113">
        <v>2432.4739618746098</v>
      </c>
      <c r="E42" s="113">
        <v>-30.561234463511301</v>
      </c>
      <c r="F42" s="113">
        <v>167.88312558019101</v>
      </c>
      <c r="G42" s="113">
        <v>324.65844146169502</v>
      </c>
      <c r="H42" s="113">
        <v>-127.21848470273601</v>
      </c>
      <c r="I42" s="113">
        <v>38.6756341129554</v>
      </c>
      <c r="J42" s="113">
        <v>3.9499784912816901E-8</v>
      </c>
      <c r="K42" s="113">
        <v>2.1176056663799199E-8</v>
      </c>
      <c r="L42" s="113">
        <v>3.3759913829422399E-8</v>
      </c>
      <c r="M42" s="113">
        <v>2.7183723151647801E-8</v>
      </c>
      <c r="N42" s="113">
        <v>5.6534115094867002E-9</v>
      </c>
      <c r="O42" s="113">
        <v>-1.8397854603036799E-2</v>
      </c>
      <c r="P42" s="113">
        <v>-109.99467310062199</v>
      </c>
      <c r="Q42" s="113">
        <v>-25.598204051204299</v>
      </c>
      <c r="R42" s="113">
        <v>361.55610070886399</v>
      </c>
      <c r="S42" s="113">
        <v>595.78993032942003</v>
      </c>
      <c r="T42" s="113">
        <v>0</v>
      </c>
      <c r="V42" s="113">
        <f t="shared" si="0"/>
        <v>2432.4739618746098</v>
      </c>
      <c r="W42" s="113">
        <f t="shared" si="1"/>
        <v>40.646243022851962</v>
      </c>
      <c r="X42" s="113">
        <f t="shared" si="2"/>
        <v>38.6756341129554</v>
      </c>
      <c r="Y42" s="113">
        <f t="shared" si="3"/>
        <v>324.65844146169502</v>
      </c>
      <c r="Z42" s="113">
        <f t="shared" si="4"/>
        <v>821.75315388645777</v>
      </c>
      <c r="AA42" s="113">
        <f t="shared" si="5"/>
        <v>1.27272890067173E-7</v>
      </c>
      <c r="AB42" s="113">
        <f t="shared" si="6"/>
        <v>-30.561234463511301</v>
      </c>
      <c r="AD42" s="113">
        <f t="shared" si="7"/>
        <v>3627.6462000223314</v>
      </c>
    </row>
    <row r="43" spans="1:30" x14ac:dyDescent="0.25">
      <c r="A43" s="121">
        <v>44743</v>
      </c>
      <c r="B43" s="112">
        <v>4.2860436086628512E-2</v>
      </c>
      <c r="C43" s="113">
        <v>126.15707913438973</v>
      </c>
      <c r="D43" s="113">
        <v>2437.3292606247301</v>
      </c>
      <c r="E43" s="113">
        <v>-87.756429363583607</v>
      </c>
      <c r="F43" s="113">
        <v>182.68613822942399</v>
      </c>
      <c r="G43" s="113">
        <v>313.231405167015</v>
      </c>
      <c r="H43" s="113">
        <v>-126.24099843791301</v>
      </c>
      <c r="I43" s="113">
        <v>5.7017983083515702</v>
      </c>
      <c r="J43" s="113">
        <v>3.9339584048072402E-8</v>
      </c>
      <c r="K43" s="113">
        <v>2.1027382542598202E-8</v>
      </c>
      <c r="L43" s="113">
        <v>3.3380169447167297E-8</v>
      </c>
      <c r="M43" s="113">
        <v>2.7065250059586701E-8</v>
      </c>
      <c r="N43" s="113">
        <v>5.6287081955942598E-9</v>
      </c>
      <c r="O43" s="113">
        <v>-100.37369613678899</v>
      </c>
      <c r="P43" s="113">
        <v>-163.509999202686</v>
      </c>
      <c r="Q43" s="113">
        <v>0</v>
      </c>
      <c r="R43" s="113">
        <v>356.21444155062198</v>
      </c>
      <c r="S43" s="113">
        <v>0</v>
      </c>
      <c r="T43" s="113">
        <v>0</v>
      </c>
      <c r="V43" s="113">
        <f t="shared" si="0"/>
        <v>2437.3292606247301</v>
      </c>
      <c r="W43" s="113">
        <f t="shared" si="1"/>
        <v>-43.928556345278011</v>
      </c>
      <c r="X43" s="113">
        <f t="shared" si="2"/>
        <v>5.7017983083515702</v>
      </c>
      <c r="Y43" s="113">
        <f t="shared" si="3"/>
        <v>313.231405167015</v>
      </c>
      <c r="Z43" s="113">
        <f t="shared" si="4"/>
        <v>192.70444234793598</v>
      </c>
      <c r="AA43" s="113">
        <f t="shared" si="5"/>
        <v>1.2644109429301886E-7</v>
      </c>
      <c r="AB43" s="113">
        <f t="shared" si="6"/>
        <v>-87.756429363583607</v>
      </c>
      <c r="AD43" s="113">
        <f t="shared" si="7"/>
        <v>2817.2819208656119</v>
      </c>
    </row>
    <row r="44" spans="1:30" x14ac:dyDescent="0.25">
      <c r="A44" s="121">
        <v>44774</v>
      </c>
      <c r="B44" s="112">
        <v>2.1019759616830096E-2</v>
      </c>
      <c r="C44" s="113">
        <v>-60.050363320619908</v>
      </c>
      <c r="D44" s="113">
        <v>2451.2042402975299</v>
      </c>
      <c r="E44" s="113">
        <v>-224.97386534844799</v>
      </c>
      <c r="F44" s="113">
        <v>203.854898110882</v>
      </c>
      <c r="G44" s="113">
        <v>231.93651101983599</v>
      </c>
      <c r="H44" s="113">
        <v>-94.987085296939995</v>
      </c>
      <c r="I44" s="113">
        <v>333.45235581386299</v>
      </c>
      <c r="J44" s="113">
        <v>3.9434354509421802E-8</v>
      </c>
      <c r="K44" s="113">
        <v>2.1271467683529399E-8</v>
      </c>
      <c r="L44" s="113">
        <v>3.2746273455731398E-8</v>
      </c>
      <c r="M44" s="113">
        <v>2.6559693935936098E-8</v>
      </c>
      <c r="N44" s="113">
        <v>5.2285825996215096E-9</v>
      </c>
      <c r="O44" s="113">
        <v>-96.922849601604995</v>
      </c>
      <c r="P44" s="113">
        <v>-146.27734797815901</v>
      </c>
      <c r="Q44" s="113">
        <v>-73.159460374731296</v>
      </c>
      <c r="R44" s="113">
        <v>332.77596655315199</v>
      </c>
      <c r="S44" s="113">
        <v>0</v>
      </c>
      <c r="T44" s="113">
        <v>0</v>
      </c>
      <c r="V44" s="113">
        <f t="shared" si="0"/>
        <v>2451.2042402975299</v>
      </c>
      <c r="W44" s="113">
        <f t="shared" si="1"/>
        <v>11.944963212337015</v>
      </c>
      <c r="X44" s="113">
        <f t="shared" si="2"/>
        <v>333.45235581386299</v>
      </c>
      <c r="Y44" s="113">
        <f t="shared" si="3"/>
        <v>231.93651101983599</v>
      </c>
      <c r="Z44" s="113">
        <f t="shared" si="4"/>
        <v>113.33915820026169</v>
      </c>
      <c r="AA44" s="113">
        <f t="shared" si="5"/>
        <v>1.2524037218424018E-7</v>
      </c>
      <c r="AB44" s="113">
        <f t="shared" si="6"/>
        <v>-224.97386534844799</v>
      </c>
      <c r="AD44" s="113">
        <f t="shared" si="7"/>
        <v>2916.90336332062</v>
      </c>
    </row>
    <row r="45" spans="1:30" x14ac:dyDescent="0.25">
      <c r="A45" s="121">
        <v>44805</v>
      </c>
      <c r="B45" s="112">
        <v>9.3341560974836892E-3</v>
      </c>
      <c r="C45" s="113">
        <v>34.740543557009914</v>
      </c>
      <c r="D45" s="113">
        <v>2460.6864128728198</v>
      </c>
      <c r="E45" s="113">
        <v>-317.94019748739601</v>
      </c>
      <c r="F45" s="113">
        <v>299.56651194791402</v>
      </c>
      <c r="G45" s="113">
        <v>205.47780704591599</v>
      </c>
      <c r="H45" s="113">
        <v>-63.919810952933197</v>
      </c>
      <c r="I45" s="113">
        <v>662.02960404701196</v>
      </c>
      <c r="J45" s="113">
        <v>3.94436776975133E-8</v>
      </c>
      <c r="K45" s="113">
        <v>2.1297926193206402E-8</v>
      </c>
      <c r="L45" s="113">
        <v>3.2219928011873698E-8</v>
      </c>
      <c r="M45" s="113">
        <v>2.62017744417875E-8</v>
      </c>
      <c r="N45" s="113">
        <v>5.0379466521884202E-9</v>
      </c>
      <c r="O45" s="113">
        <v>-94.288367027261302</v>
      </c>
      <c r="P45" s="113">
        <v>-105.65639395117699</v>
      </c>
      <c r="Q45" s="113">
        <v>-188.25154883198601</v>
      </c>
      <c r="R45" s="113">
        <v>317.58317132708999</v>
      </c>
      <c r="S45" s="113">
        <v>0</v>
      </c>
      <c r="T45" s="113">
        <v>511.84526732878902</v>
      </c>
      <c r="V45" s="113">
        <f t="shared" si="0"/>
        <v>2460.6864128728198</v>
      </c>
      <c r="W45" s="113">
        <f t="shared" si="1"/>
        <v>141.35833396771952</v>
      </c>
      <c r="X45" s="113">
        <f t="shared" si="2"/>
        <v>662.02960404701196</v>
      </c>
      <c r="Y45" s="113">
        <f t="shared" si="3"/>
        <v>205.47780704591599</v>
      </c>
      <c r="Z45" s="113">
        <f t="shared" si="4"/>
        <v>535.52049587271608</v>
      </c>
      <c r="AA45" s="113">
        <f t="shared" si="5"/>
        <v>1.2420125299656931E-7</v>
      </c>
      <c r="AB45" s="113">
        <f t="shared" si="6"/>
        <v>-317.94019748739601</v>
      </c>
      <c r="AD45" s="113">
        <f t="shared" si="7"/>
        <v>3687.1324564429888</v>
      </c>
    </row>
    <row r="46" spans="1:30" x14ac:dyDescent="0.25">
      <c r="A46" s="121">
        <v>44835</v>
      </c>
      <c r="B46" s="112">
        <v>6.8121809456255747E-2</v>
      </c>
      <c r="C46" s="113">
        <v>-181.17022473614998</v>
      </c>
      <c r="D46" s="113">
        <v>2472.3609766958798</v>
      </c>
      <c r="E46" s="113">
        <v>-466.43517805387</v>
      </c>
      <c r="F46" s="113">
        <v>211.14792202271599</v>
      </c>
      <c r="G46" s="113">
        <v>342.23036202494899</v>
      </c>
      <c r="H46" s="113">
        <v>0</v>
      </c>
      <c r="I46" s="113">
        <v>597.276485517845</v>
      </c>
      <c r="J46" s="113">
        <v>3.9477777591955999E-8</v>
      </c>
      <c r="K46" s="113">
        <v>2.1528569691942699E-8</v>
      </c>
      <c r="L46" s="113">
        <v>3.1510766450494799E-8</v>
      </c>
      <c r="M46" s="113">
        <v>2.5842889594420901E-8</v>
      </c>
      <c r="N46" s="113">
        <v>4.7269014422470602E-9</v>
      </c>
      <c r="O46" s="113">
        <v>-92.104001965594804</v>
      </c>
      <c r="P46" s="113">
        <v>-64.038139478891694</v>
      </c>
      <c r="Q46" s="113">
        <v>-319.480251448388</v>
      </c>
      <c r="R46" s="113">
        <v>159.71604929841899</v>
      </c>
      <c r="S46" s="113">
        <v>0</v>
      </c>
      <c r="T46" s="113">
        <v>0</v>
      </c>
      <c r="V46" s="113">
        <f t="shared" si="0"/>
        <v>2472.3609766958798</v>
      </c>
      <c r="W46" s="113">
        <f t="shared" si="1"/>
        <v>119.04392005712118</v>
      </c>
      <c r="X46" s="113">
        <f t="shared" si="2"/>
        <v>597.276485517845</v>
      </c>
      <c r="Y46" s="113">
        <f t="shared" si="3"/>
        <v>342.23036202494899</v>
      </c>
      <c r="Z46" s="113">
        <f t="shared" si="4"/>
        <v>-223.80234162886072</v>
      </c>
      <c r="AA46" s="113">
        <f t="shared" si="5"/>
        <v>1.2308690477106147E-7</v>
      </c>
      <c r="AB46" s="113">
        <f t="shared" si="6"/>
        <v>-466.43517805387</v>
      </c>
      <c r="AD46" s="113">
        <f t="shared" si="7"/>
        <v>2840.6742247361517</v>
      </c>
    </row>
    <row r="47" spans="1:30" x14ac:dyDescent="0.25">
      <c r="A47" s="121">
        <v>44866</v>
      </c>
      <c r="B47" s="112">
        <v>8.3735474300969975E-2</v>
      </c>
      <c r="C47" s="113">
        <v>-180.00079003443989</v>
      </c>
      <c r="D47" s="113">
        <v>2471.2078990211999</v>
      </c>
      <c r="E47" s="113">
        <v>-499.551505965773</v>
      </c>
      <c r="F47" s="113">
        <v>236.94617779081301</v>
      </c>
      <c r="G47" s="113">
        <v>311.50690136100701</v>
      </c>
      <c r="H47" s="113">
        <v>-22.012528943617099</v>
      </c>
      <c r="I47" s="113">
        <v>349.14119855130701</v>
      </c>
      <c r="J47" s="113">
        <v>3.93450088795054E-8</v>
      </c>
      <c r="K47" s="113">
        <v>2.0953867689635701E-8</v>
      </c>
      <c r="L47" s="113">
        <v>3.1251207064748101E-8</v>
      </c>
      <c r="M47" s="113">
        <v>2.5686463361454E-8</v>
      </c>
      <c r="N47" s="113">
        <v>5.1473633720427103E-9</v>
      </c>
      <c r="O47" s="113">
        <v>-93.806405888224702</v>
      </c>
      <c r="P47" s="113">
        <v>-120.993342568646</v>
      </c>
      <c r="Q47" s="113">
        <v>-461.401930142217</v>
      </c>
      <c r="R47" s="113">
        <v>158.60032669621299</v>
      </c>
      <c r="S47" s="113">
        <v>0</v>
      </c>
      <c r="T47" s="113">
        <v>0</v>
      </c>
      <c r="V47" s="113">
        <f t="shared" si="0"/>
        <v>2471.2078990211999</v>
      </c>
      <c r="W47" s="113">
        <f t="shared" si="1"/>
        <v>121.12724295897121</v>
      </c>
      <c r="X47" s="113">
        <f t="shared" si="2"/>
        <v>349.14119855130701</v>
      </c>
      <c r="Y47" s="113">
        <f t="shared" si="3"/>
        <v>311.50690136100701</v>
      </c>
      <c r="Z47" s="113">
        <f t="shared" si="4"/>
        <v>-423.79494601465001</v>
      </c>
      <c r="AA47" s="113">
        <f t="shared" si="5"/>
        <v>1.2238391036738591E-7</v>
      </c>
      <c r="AB47" s="113">
        <f t="shared" si="6"/>
        <v>-499.551505965773</v>
      </c>
      <c r="AD47" s="113">
        <f t="shared" si="7"/>
        <v>2329.6367900344458</v>
      </c>
    </row>
    <row r="48" spans="1:30" x14ac:dyDescent="0.25">
      <c r="A48" s="121">
        <v>44896</v>
      </c>
      <c r="B48" s="112">
        <v>0.16653930178166598</v>
      </c>
      <c r="C48" s="113">
        <v>417.48072170628029</v>
      </c>
      <c r="D48" s="113">
        <v>2458.2113251400001</v>
      </c>
      <c r="E48" s="113">
        <v>-353.24144449561402</v>
      </c>
      <c r="F48" s="113">
        <v>289.02988379941701</v>
      </c>
      <c r="G48" s="113">
        <v>227.984828786592</v>
      </c>
      <c r="H48" s="113">
        <v>-61.709806370060498</v>
      </c>
      <c r="I48" s="113">
        <v>55.053713496998803</v>
      </c>
      <c r="J48" s="113">
        <v>3.9018266009146901E-8</v>
      </c>
      <c r="K48" s="113">
        <v>1.9661458477461299E-8</v>
      </c>
      <c r="L48" s="113">
        <v>3.1429200372974601E-8</v>
      </c>
      <c r="M48" s="113">
        <v>2.5714094173927302E-8</v>
      </c>
      <c r="N48" s="113">
        <v>6.1680180514741204E-9</v>
      </c>
      <c r="O48" s="113">
        <v>-99.738952120837098</v>
      </c>
      <c r="P48" s="113">
        <v>-34.913355036038297</v>
      </c>
      <c r="Q48" s="113">
        <v>-561.41478064556804</v>
      </c>
      <c r="R48" s="113">
        <v>170.05786561683399</v>
      </c>
      <c r="S48" s="113">
        <v>0</v>
      </c>
      <c r="T48" s="113">
        <v>0</v>
      </c>
      <c r="V48" s="113">
        <f t="shared" si="0"/>
        <v>2458.2113251400001</v>
      </c>
      <c r="W48" s="113">
        <f t="shared" si="1"/>
        <v>127.5811253085194</v>
      </c>
      <c r="X48" s="113">
        <f t="shared" si="2"/>
        <v>55.053713496998803</v>
      </c>
      <c r="Y48" s="113">
        <f t="shared" si="3"/>
        <v>227.984828786592</v>
      </c>
      <c r="Z48" s="113">
        <f t="shared" si="4"/>
        <v>-426.27027006477238</v>
      </c>
      <c r="AA48" s="113">
        <f t="shared" si="5"/>
        <v>1.2199103708498422E-7</v>
      </c>
      <c r="AB48" s="113">
        <f t="shared" si="6"/>
        <v>-353.24144449561402</v>
      </c>
      <c r="AD48" s="113">
        <f t="shared" si="7"/>
        <v>2089.3192782937149</v>
      </c>
    </row>
    <row r="49" spans="1:30" x14ac:dyDescent="0.25">
      <c r="A49" s="121">
        <v>44927</v>
      </c>
      <c r="B49" s="112">
        <v>7.545703500319019E-2</v>
      </c>
      <c r="C49" s="113">
        <v>-133.76095043835016</v>
      </c>
      <c r="D49" s="113">
        <v>2471.9961400464899</v>
      </c>
      <c r="E49" s="113">
        <v>-447.04364718777902</v>
      </c>
      <c r="F49" s="113">
        <v>252.65434101437299</v>
      </c>
      <c r="G49" s="113">
        <v>131.59948035981199</v>
      </c>
      <c r="H49" s="113">
        <v>-87.944065963865299</v>
      </c>
      <c r="I49" s="113">
        <v>411.01457947990599</v>
      </c>
      <c r="J49" s="113">
        <v>3.9326645488606497E-8</v>
      </c>
      <c r="K49" s="113">
        <v>1.9688279762770699E-8</v>
      </c>
      <c r="L49" s="113">
        <v>3.0587930258092699E-8</v>
      </c>
      <c r="M49" s="113">
        <v>2.48285795562441E-8</v>
      </c>
      <c r="N49" s="113">
        <v>6.1889775180182696E-9</v>
      </c>
      <c r="O49" s="113">
        <v>-87.688070781506198</v>
      </c>
      <c r="P49" s="113">
        <v>-100.212885569986</v>
      </c>
      <c r="Q49" s="113">
        <v>-637.93792107972104</v>
      </c>
      <c r="R49" s="113">
        <v>0</v>
      </c>
      <c r="S49" s="113">
        <v>0</v>
      </c>
      <c r="T49" s="113">
        <v>0</v>
      </c>
      <c r="V49" s="113">
        <f t="shared" si="0"/>
        <v>2471.9961400464899</v>
      </c>
      <c r="W49" s="113">
        <f t="shared" si="1"/>
        <v>77.022204269001477</v>
      </c>
      <c r="X49" s="113">
        <f t="shared" si="2"/>
        <v>411.01457947990599</v>
      </c>
      <c r="Y49" s="113">
        <f t="shared" si="3"/>
        <v>131.59948035981199</v>
      </c>
      <c r="Z49" s="113">
        <f t="shared" si="4"/>
        <v>-738.15080664970708</v>
      </c>
      <c r="AA49" s="113">
        <f t="shared" si="5"/>
        <v>1.2062041258373227E-7</v>
      </c>
      <c r="AB49" s="113">
        <f t="shared" si="6"/>
        <v>-447.04364718777902</v>
      </c>
      <c r="AD49" s="113">
        <f t="shared" si="7"/>
        <v>1906.4379504383435</v>
      </c>
    </row>
    <row r="50" spans="1:30" x14ac:dyDescent="0.25">
      <c r="A50" s="121">
        <v>44958</v>
      </c>
      <c r="B50" s="112">
        <v>0.17924356985811252</v>
      </c>
      <c r="C50" s="113">
        <v>-250.86213063061996</v>
      </c>
      <c r="D50" s="113">
        <v>2477.0791160833601</v>
      </c>
      <c r="E50" s="113">
        <v>-540.98838023562098</v>
      </c>
      <c r="F50" s="113">
        <v>182.509454300149</v>
      </c>
      <c r="G50" s="113">
        <v>181.884943044333</v>
      </c>
      <c r="H50" s="113">
        <v>-45.090108154914098</v>
      </c>
      <c r="I50" s="113">
        <v>61.176079455693198</v>
      </c>
      <c r="J50" s="113">
        <v>3.9407231691735598E-8</v>
      </c>
      <c r="K50" s="113">
        <v>1.9298008225624399E-8</v>
      </c>
      <c r="L50" s="113">
        <v>3.0039915083626E-8</v>
      </c>
      <c r="M50" s="113">
        <v>2.4240870981588499E-8</v>
      </c>
      <c r="N50" s="113">
        <v>6.5441676004013201E-9</v>
      </c>
      <c r="O50" s="113">
        <v>-21.6368522167657</v>
      </c>
      <c r="P50" s="113">
        <v>-33.168675152964603</v>
      </c>
      <c r="Q50" s="113">
        <v>-611.34344661218495</v>
      </c>
      <c r="R50" s="113">
        <v>0</v>
      </c>
      <c r="S50" s="113">
        <v>0</v>
      </c>
      <c r="T50" s="113">
        <v>0</v>
      </c>
      <c r="V50" s="113">
        <f t="shared" si="0"/>
        <v>2477.0791160833601</v>
      </c>
      <c r="W50" s="113">
        <f t="shared" si="1"/>
        <v>115.78249392846919</v>
      </c>
      <c r="X50" s="113">
        <f t="shared" si="2"/>
        <v>61.176079455693198</v>
      </c>
      <c r="Y50" s="113">
        <f t="shared" si="3"/>
        <v>181.884943044333</v>
      </c>
      <c r="Z50" s="113">
        <f t="shared" si="4"/>
        <v>-644.51212176514957</v>
      </c>
      <c r="AA50" s="113">
        <f t="shared" si="5"/>
        <v>1.1953019358297582E-7</v>
      </c>
      <c r="AB50" s="113">
        <f t="shared" si="6"/>
        <v>-540.98838023562098</v>
      </c>
      <c r="AD50" s="113">
        <f t="shared" si="7"/>
        <v>1650.4221306306151</v>
      </c>
    </row>
    <row r="51" spans="1:30" x14ac:dyDescent="0.25">
      <c r="A51" s="121">
        <v>44986</v>
      </c>
      <c r="B51" s="112">
        <v>8.7422606815709514E-2</v>
      </c>
      <c r="C51" s="113">
        <v>214.71438089233015</v>
      </c>
      <c r="D51" s="113">
        <v>2467.5094900091899</v>
      </c>
      <c r="E51" s="113">
        <v>-360.60004968716402</v>
      </c>
      <c r="F51" s="113">
        <v>269.28417126602699</v>
      </c>
      <c r="G51" s="113">
        <v>170.598481657771</v>
      </c>
      <c r="H51" s="113">
        <v>-56.976202950966801</v>
      </c>
      <c r="I51" s="113">
        <v>367.58439448425702</v>
      </c>
      <c r="J51" s="113">
        <v>3.9227482540527199E-8</v>
      </c>
      <c r="K51" s="113">
        <v>1.8066884288510101E-8</v>
      </c>
      <c r="L51" s="113">
        <v>3.0133462321461601E-8</v>
      </c>
      <c r="M51" s="113">
        <v>2.3776206444981599E-8</v>
      </c>
      <c r="N51" s="113">
        <v>7.6186900264243003E-9</v>
      </c>
      <c r="O51" s="113">
        <v>-0.28940425867929098</v>
      </c>
      <c r="P51" s="113">
        <v>-90.116159391881098</v>
      </c>
      <c r="Q51" s="113">
        <v>-525.65810213970497</v>
      </c>
      <c r="R51" s="113">
        <v>0</v>
      </c>
      <c r="S51" s="113">
        <v>0</v>
      </c>
      <c r="T51" s="113">
        <v>0</v>
      </c>
      <c r="V51" s="113">
        <f t="shared" si="0"/>
        <v>2467.5094900091899</v>
      </c>
      <c r="W51" s="113">
        <f t="shared" si="1"/>
        <v>212.01856405638088</v>
      </c>
      <c r="X51" s="113">
        <f t="shared" si="2"/>
        <v>367.58439448425702</v>
      </c>
      <c r="Y51" s="113">
        <f t="shared" si="3"/>
        <v>170.598481657771</v>
      </c>
      <c r="Z51" s="113">
        <f t="shared" si="4"/>
        <v>-615.77426153158603</v>
      </c>
      <c r="AA51" s="113">
        <f t="shared" si="5"/>
        <v>1.1882272562190481E-7</v>
      </c>
      <c r="AB51" s="113">
        <f t="shared" si="6"/>
        <v>-360.60004968716402</v>
      </c>
      <c r="AD51" s="113">
        <f t="shared" si="7"/>
        <v>2241.3366191076716</v>
      </c>
    </row>
    <row r="52" spans="1:30" x14ac:dyDescent="0.25">
      <c r="A52" s="121">
        <v>45017</v>
      </c>
      <c r="B52" s="112">
        <v>2.7604954336156829E-2</v>
      </c>
      <c r="C52" s="113">
        <v>58.863590008430037</v>
      </c>
      <c r="D52" s="113">
        <v>2470.79341779691</v>
      </c>
      <c r="E52" s="113">
        <v>-447.029324436384</v>
      </c>
      <c r="F52" s="113">
        <v>301.85373247903601</v>
      </c>
      <c r="G52" s="113">
        <v>130.95720263969099</v>
      </c>
      <c r="H52" s="113">
        <v>-61.7903845442654</v>
      </c>
      <c r="I52" s="113">
        <v>54.929539634890801</v>
      </c>
      <c r="J52" s="113">
        <v>3.9185682092361997E-8</v>
      </c>
      <c r="K52" s="113">
        <v>1.7682826303260001E-8</v>
      </c>
      <c r="L52" s="113">
        <v>2.9640654373618801E-8</v>
      </c>
      <c r="M52" s="113">
        <v>2.3335715052290599E-8</v>
      </c>
      <c r="N52" s="113">
        <v>7.9751765078284806E-9</v>
      </c>
      <c r="O52" s="113">
        <v>-1.02823768435465E-3</v>
      </c>
      <c r="P52" s="113">
        <v>-32.766887501535997</v>
      </c>
      <c r="Q52" s="113">
        <v>-343.45385795690601</v>
      </c>
      <c r="R52" s="113">
        <v>0</v>
      </c>
      <c r="S52" s="113">
        <v>0</v>
      </c>
      <c r="T52" s="113">
        <v>0</v>
      </c>
      <c r="V52" s="113">
        <f t="shared" si="0"/>
        <v>2470.79341779691</v>
      </c>
      <c r="W52" s="113">
        <f t="shared" si="1"/>
        <v>240.06231969708625</v>
      </c>
      <c r="X52" s="113">
        <f t="shared" si="2"/>
        <v>54.929539634890801</v>
      </c>
      <c r="Y52" s="113">
        <f t="shared" si="3"/>
        <v>130.95720263969099</v>
      </c>
      <c r="Z52" s="113">
        <f t="shared" si="4"/>
        <v>-376.22074545844202</v>
      </c>
      <c r="AA52" s="113">
        <f t="shared" si="5"/>
        <v>1.1782005432935988E-7</v>
      </c>
      <c r="AB52" s="113">
        <f t="shared" si="6"/>
        <v>-447.029324436384</v>
      </c>
      <c r="AD52" s="113">
        <f t="shared" si="7"/>
        <v>2073.492409991572</v>
      </c>
    </row>
    <row r="53" spans="1:30" x14ac:dyDescent="0.25">
      <c r="A53" s="121">
        <v>45047</v>
      </c>
      <c r="B53" s="112">
        <v>0.10315111999051638</v>
      </c>
      <c r="C53" s="113">
        <v>281.6016292140298</v>
      </c>
      <c r="D53" s="113">
        <v>2477.2815097868001</v>
      </c>
      <c r="E53" s="113">
        <v>-452.530988768979</v>
      </c>
      <c r="F53" s="113">
        <v>305.553731984026</v>
      </c>
      <c r="G53" s="113">
        <v>68.717993587248202</v>
      </c>
      <c r="H53" s="113">
        <v>-50.622440806343299</v>
      </c>
      <c r="I53" s="113">
        <v>319.944571013043</v>
      </c>
      <c r="J53" s="113">
        <v>3.9197159151640998E-8</v>
      </c>
      <c r="K53" s="113">
        <v>1.7443190530789799E-8</v>
      </c>
      <c r="L53" s="113">
        <v>2.9011059651732799E-8</v>
      </c>
      <c r="M53" s="113">
        <v>2.2857842507030201E-8</v>
      </c>
      <c r="N53" s="113">
        <v>8.1988581631469305E-9</v>
      </c>
      <c r="O53" s="113">
        <v>-4.7167483977273196E-3</v>
      </c>
      <c r="P53" s="113">
        <v>-40.386887029930897</v>
      </c>
      <c r="Q53" s="113">
        <v>-179.563402348209</v>
      </c>
      <c r="R53" s="113">
        <v>0</v>
      </c>
      <c r="S53" s="113">
        <v>0</v>
      </c>
      <c r="T53" s="113">
        <v>0</v>
      </c>
      <c r="V53" s="113">
        <f t="shared" si="0"/>
        <v>2477.2815097868001</v>
      </c>
      <c r="W53" s="113">
        <f t="shared" si="1"/>
        <v>254.92657442928498</v>
      </c>
      <c r="X53" s="113">
        <f t="shared" si="2"/>
        <v>319.944571013043</v>
      </c>
      <c r="Y53" s="113">
        <f t="shared" si="3"/>
        <v>68.717993587248202</v>
      </c>
      <c r="Z53" s="113">
        <f t="shared" si="4"/>
        <v>-219.9502893781399</v>
      </c>
      <c r="AA53" s="113">
        <f t="shared" si="5"/>
        <v>1.1670811000434073E-7</v>
      </c>
      <c r="AB53" s="113">
        <f t="shared" si="6"/>
        <v>-452.530988768979</v>
      </c>
      <c r="AD53" s="113">
        <f t="shared" si="7"/>
        <v>2448.3893707859652</v>
      </c>
    </row>
    <row r="54" spans="1:30" x14ac:dyDescent="0.25">
      <c r="A54" s="121">
        <v>45078</v>
      </c>
      <c r="B54" s="112">
        <v>3.5653820848174318E-2</v>
      </c>
      <c r="C54" s="113">
        <v>-137.10744549425044</v>
      </c>
      <c r="D54" s="113">
        <v>2498.53462608989</v>
      </c>
      <c r="E54" s="113">
        <v>-679.46175418232201</v>
      </c>
      <c r="F54" s="113">
        <v>284.52754807890398</v>
      </c>
      <c r="G54" s="113">
        <v>93.771502286812407</v>
      </c>
      <c r="H54" s="113">
        <v>-99.087500142096602</v>
      </c>
      <c r="I54" s="113">
        <v>410.609164554583</v>
      </c>
      <c r="J54" s="113">
        <v>388.39791937088199</v>
      </c>
      <c r="K54" s="113">
        <v>30.6544768856003</v>
      </c>
      <c r="L54" s="113">
        <v>261.27739505869698</v>
      </c>
      <c r="M54" s="113">
        <v>224.130800982072</v>
      </c>
      <c r="N54" s="113">
        <v>73.835672318537803</v>
      </c>
      <c r="O54" s="113">
        <v>-91.053202243804606</v>
      </c>
      <c r="P54" s="113">
        <v>55.313237421001297</v>
      </c>
      <c r="Q54" s="113">
        <v>-53.9986515295328</v>
      </c>
      <c r="R54" s="113">
        <v>0</v>
      </c>
      <c r="S54" s="113">
        <v>585.17521054501799</v>
      </c>
      <c r="T54" s="113">
        <v>0</v>
      </c>
      <c r="V54" s="113">
        <f t="shared" si="0"/>
        <v>2498.53462608989</v>
      </c>
      <c r="W54" s="113">
        <f t="shared" si="1"/>
        <v>94.386845693002783</v>
      </c>
      <c r="X54" s="113">
        <f t="shared" si="2"/>
        <v>410.609164554583</v>
      </c>
      <c r="Y54" s="113">
        <f t="shared" si="3"/>
        <v>93.771502286812407</v>
      </c>
      <c r="Z54" s="113">
        <f t="shared" si="4"/>
        <v>586.48979643648647</v>
      </c>
      <c r="AA54" s="113">
        <f t="shared" si="5"/>
        <v>978.29626461578903</v>
      </c>
      <c r="AB54" s="113">
        <f t="shared" si="6"/>
        <v>-679.46175418232201</v>
      </c>
      <c r="AD54" s="113">
        <f t="shared" si="7"/>
        <v>3982.626445494242</v>
      </c>
    </row>
    <row r="55" spans="1:30" x14ac:dyDescent="0.25">
      <c r="A55" s="121">
        <v>45108</v>
      </c>
      <c r="B55" s="112">
        <v>9.3820137996425149E-2</v>
      </c>
      <c r="C55" s="113">
        <v>-294.89329988718964</v>
      </c>
      <c r="D55" s="113">
        <v>2512.4215074825502</v>
      </c>
      <c r="E55" s="113">
        <v>-813.04055006017597</v>
      </c>
      <c r="F55" s="113">
        <v>295.73713970177801</v>
      </c>
      <c r="G55" s="113">
        <v>99.307273021311602</v>
      </c>
      <c r="H55" s="113">
        <v>-122.373964760161</v>
      </c>
      <c r="I55" s="113">
        <v>463.00458132479702</v>
      </c>
      <c r="J55" s="113">
        <v>396.74059646403299</v>
      </c>
      <c r="K55" s="113">
        <v>174.83294440917601</v>
      </c>
      <c r="L55" s="113">
        <v>271.09594003145298</v>
      </c>
      <c r="M55" s="113">
        <v>218.48178681111901</v>
      </c>
      <c r="N55" s="113">
        <v>74.603108228397105</v>
      </c>
      <c r="O55" s="113">
        <v>-89.735572318366593</v>
      </c>
      <c r="P55" s="113">
        <v>-15.500809382488599</v>
      </c>
      <c r="Q55" s="113">
        <v>-27.503681066232499</v>
      </c>
      <c r="R55" s="113">
        <v>0</v>
      </c>
      <c r="S55" s="113">
        <v>0</v>
      </c>
      <c r="T55" s="113">
        <v>0</v>
      </c>
      <c r="V55" s="113">
        <f t="shared" si="0"/>
        <v>2512.4215074825502</v>
      </c>
      <c r="W55" s="113">
        <f t="shared" si="1"/>
        <v>83.627602623250397</v>
      </c>
      <c r="X55" s="113">
        <f t="shared" si="2"/>
        <v>463.00458132479702</v>
      </c>
      <c r="Y55" s="113">
        <f t="shared" si="3"/>
        <v>99.307273021311602</v>
      </c>
      <c r="Z55" s="113">
        <f t="shared" si="4"/>
        <v>-43.0044904487211</v>
      </c>
      <c r="AA55" s="113">
        <f t="shared" si="5"/>
        <v>1135.754375944178</v>
      </c>
      <c r="AB55" s="113">
        <f t="shared" si="6"/>
        <v>-813.04055006017597</v>
      </c>
      <c r="AD55" s="113">
        <f t="shared" si="7"/>
        <v>3438.0702998871898</v>
      </c>
    </row>
    <row r="56" spans="1:30" x14ac:dyDescent="0.25">
      <c r="A56" s="121">
        <v>45139</v>
      </c>
      <c r="B56" s="112">
        <v>7.0709761253403655E-2</v>
      </c>
      <c r="C56" s="113">
        <v>-195.64160588970981</v>
      </c>
      <c r="D56" s="113">
        <v>2510.2356959373401</v>
      </c>
      <c r="E56" s="113">
        <v>-827.93500130736004</v>
      </c>
      <c r="F56" s="113">
        <v>293.57267970148098</v>
      </c>
      <c r="G56" s="113">
        <v>0</v>
      </c>
      <c r="H56" s="113">
        <v>-239.634713689721</v>
      </c>
      <c r="I56" s="113">
        <v>319.59722845016</v>
      </c>
      <c r="J56" s="113">
        <v>394.76450336512403</v>
      </c>
      <c r="K56" s="113">
        <v>152.22997286211699</v>
      </c>
      <c r="L56" s="113">
        <v>269.101116075297</v>
      </c>
      <c r="M56" s="113">
        <v>215.84954306063801</v>
      </c>
      <c r="N56" s="113">
        <v>81.693020599560001</v>
      </c>
      <c r="O56" s="113">
        <v>-90.556002675633806</v>
      </c>
      <c r="P56" s="113">
        <v>-15.259075471110201</v>
      </c>
      <c r="Q56" s="113">
        <v>-101.19136101818199</v>
      </c>
      <c r="R56" s="113">
        <v>0</v>
      </c>
      <c r="S56" s="113">
        <v>0</v>
      </c>
      <c r="T56" s="113">
        <v>0</v>
      </c>
      <c r="V56" s="113">
        <f t="shared" si="0"/>
        <v>2510.2356959373401</v>
      </c>
      <c r="W56" s="113">
        <f t="shared" si="1"/>
        <v>-36.618036663873823</v>
      </c>
      <c r="X56" s="113">
        <f t="shared" si="2"/>
        <v>319.59722845016</v>
      </c>
      <c r="Y56" s="113">
        <f t="shared" si="3"/>
        <v>0</v>
      </c>
      <c r="Z56" s="113">
        <f t="shared" si="4"/>
        <v>-116.4504364892922</v>
      </c>
      <c r="AA56" s="113">
        <f t="shared" si="5"/>
        <v>1113.6381559627359</v>
      </c>
      <c r="AB56" s="113">
        <f t="shared" si="6"/>
        <v>-827.93500130736004</v>
      </c>
      <c r="AD56" s="113">
        <f t="shared" si="7"/>
        <v>2962.4676058897103</v>
      </c>
    </row>
    <row r="57" spans="1:30" x14ac:dyDescent="0.25">
      <c r="A57" s="121">
        <v>45170</v>
      </c>
      <c r="B57" s="112">
        <v>9.5316655785984954E-3</v>
      </c>
      <c r="C57" s="113">
        <v>-32.209404323200033</v>
      </c>
      <c r="D57" s="113">
        <v>2497.7847955812099</v>
      </c>
      <c r="E57" s="113">
        <v>-657.94595532474</v>
      </c>
      <c r="F57" s="113">
        <v>331.19340119348902</v>
      </c>
      <c r="G57" s="113">
        <v>71.937966147810599</v>
      </c>
      <c r="H57" s="113">
        <v>-165.74096552559001</v>
      </c>
      <c r="I57" s="113">
        <v>264.166567809377</v>
      </c>
      <c r="J57" s="113">
        <v>388.26951255332</v>
      </c>
      <c r="K57" s="113">
        <v>25.145589633063999</v>
      </c>
      <c r="L57" s="113">
        <v>221.077224234927</v>
      </c>
      <c r="M57" s="113">
        <v>213.148189629218</v>
      </c>
      <c r="N57" s="113">
        <v>93.950801717283497</v>
      </c>
      <c r="O57" s="113">
        <v>-93.834403964887798</v>
      </c>
      <c r="P57" s="113">
        <v>-81.357618799406495</v>
      </c>
      <c r="Q57" s="113">
        <v>-216.32014838507999</v>
      </c>
      <c r="R57" s="113">
        <v>0</v>
      </c>
      <c r="S57" s="113">
        <v>0</v>
      </c>
      <c r="T57" s="113">
        <v>519.93444782320296</v>
      </c>
      <c r="V57" s="113">
        <f t="shared" si="0"/>
        <v>2497.7847955812099</v>
      </c>
      <c r="W57" s="113">
        <f t="shared" si="1"/>
        <v>71.618031703011212</v>
      </c>
      <c r="X57" s="113">
        <f t="shared" si="2"/>
        <v>264.166567809377</v>
      </c>
      <c r="Y57" s="113">
        <f t="shared" si="3"/>
        <v>71.937966147810599</v>
      </c>
      <c r="Z57" s="113">
        <f t="shared" si="4"/>
        <v>222.25668063871649</v>
      </c>
      <c r="AA57" s="113">
        <f t="shared" si="5"/>
        <v>941.59131776781248</v>
      </c>
      <c r="AB57" s="113">
        <f t="shared" si="6"/>
        <v>-657.94595532474</v>
      </c>
      <c r="AD57" s="113">
        <f t="shared" si="7"/>
        <v>3411.4094043231971</v>
      </c>
    </row>
    <row r="58" spans="1:30" x14ac:dyDescent="0.25">
      <c r="A58" s="121">
        <v>45200</v>
      </c>
      <c r="B58" s="112">
        <v>8.8521303739470857E-4</v>
      </c>
      <c r="C58" s="113">
        <v>-2.2200222356300401</v>
      </c>
      <c r="D58" s="113">
        <v>2483.68660311861</v>
      </c>
      <c r="E58" s="113">
        <v>-483.23577672146598</v>
      </c>
      <c r="F58" s="113">
        <v>288.00571674528697</v>
      </c>
      <c r="G58" s="113">
        <v>229.78127096198801</v>
      </c>
      <c r="H58" s="113">
        <v>-248.43222241137599</v>
      </c>
      <c r="I58" s="113">
        <v>42.0106835990386</v>
      </c>
      <c r="J58" s="113">
        <v>348.10023965119098</v>
      </c>
      <c r="K58" s="113">
        <v>0.21286900655129801</v>
      </c>
      <c r="L58" s="113">
        <v>31.454487606494201</v>
      </c>
      <c r="M58" s="113">
        <v>191.53098148541599</v>
      </c>
      <c r="N58" s="113">
        <v>107.096806097978</v>
      </c>
      <c r="O58" s="113">
        <v>-98.676792829646303</v>
      </c>
      <c r="P58" s="113">
        <v>-37.033358385957797</v>
      </c>
      <c r="Q58" s="113">
        <v>-344.38548568847301</v>
      </c>
      <c r="R58" s="113">
        <v>0</v>
      </c>
      <c r="S58" s="113">
        <v>0</v>
      </c>
      <c r="T58" s="113">
        <v>0</v>
      </c>
      <c r="V58" s="113">
        <f t="shared" si="0"/>
        <v>2483.68660311861</v>
      </c>
      <c r="W58" s="113">
        <f t="shared" si="1"/>
        <v>-59.103298495735316</v>
      </c>
      <c r="X58" s="113">
        <f t="shared" si="2"/>
        <v>42.0106835990386</v>
      </c>
      <c r="Y58" s="113">
        <f t="shared" si="3"/>
        <v>229.78127096198801</v>
      </c>
      <c r="Z58" s="113">
        <f t="shared" si="4"/>
        <v>-381.41884407443081</v>
      </c>
      <c r="AA58" s="113">
        <f t="shared" si="5"/>
        <v>678.39538384763046</v>
      </c>
      <c r="AB58" s="113">
        <f t="shared" si="6"/>
        <v>-483.23577672146598</v>
      </c>
      <c r="AD58" s="113">
        <f t="shared" si="7"/>
        <v>2510.1160222356348</v>
      </c>
    </row>
    <row r="59" spans="1:30" x14ac:dyDescent="0.25">
      <c r="A59" s="121">
        <v>45231</v>
      </c>
      <c r="B59" s="112">
        <v>1.8570585068890557E-2</v>
      </c>
      <c r="C59" s="113">
        <v>41.297601346730062</v>
      </c>
      <c r="D59" s="113">
        <v>2469.48822164179</v>
      </c>
      <c r="E59" s="113">
        <v>-317.09604294337697</v>
      </c>
      <c r="F59" s="113">
        <v>303.691982201884</v>
      </c>
      <c r="G59" s="113">
        <v>201.45044440773901</v>
      </c>
      <c r="H59" s="113">
        <v>-233.327274974082</v>
      </c>
      <c r="I59" s="113">
        <v>6.6611923463177103</v>
      </c>
      <c r="J59" s="113">
        <v>192.64356170201</v>
      </c>
      <c r="K59" s="113">
        <v>6.6468973558466901E-4</v>
      </c>
      <c r="L59" s="113">
        <v>0.23669972583827001</v>
      </c>
      <c r="M59" s="113">
        <v>121.229388094203</v>
      </c>
      <c r="N59" s="113">
        <v>118.429788079072</v>
      </c>
      <c r="O59" s="113">
        <v>-102.51484398638399</v>
      </c>
      <c r="P59" s="113">
        <v>-93.037843024464294</v>
      </c>
      <c r="Q59" s="113">
        <v>-485.335539307011</v>
      </c>
      <c r="R59" s="113">
        <v>0</v>
      </c>
      <c r="S59" s="113">
        <v>0</v>
      </c>
      <c r="T59" s="113">
        <v>0</v>
      </c>
      <c r="V59" s="113">
        <f t="shared" si="0"/>
        <v>2469.48822164179</v>
      </c>
      <c r="W59" s="113">
        <f t="shared" si="1"/>
        <v>-32.150136758581993</v>
      </c>
      <c r="X59" s="113">
        <f t="shared" si="2"/>
        <v>6.6611923463177103</v>
      </c>
      <c r="Y59" s="113">
        <f t="shared" si="3"/>
        <v>201.45044440773901</v>
      </c>
      <c r="Z59" s="113">
        <f t="shared" si="4"/>
        <v>-578.37338233147534</v>
      </c>
      <c r="AA59" s="113">
        <f t="shared" si="5"/>
        <v>432.54010229085884</v>
      </c>
      <c r="AB59" s="113">
        <f t="shared" si="6"/>
        <v>-317.09604294337697</v>
      </c>
      <c r="AD59" s="113">
        <f t="shared" si="7"/>
        <v>2182.5203986532715</v>
      </c>
    </row>
    <row r="60" spans="1:30" x14ac:dyDescent="0.25">
      <c r="A60" s="121">
        <v>45261</v>
      </c>
      <c r="B60" s="112">
        <v>0.14122528123508832</v>
      </c>
      <c r="C60" s="113">
        <v>414.6992823794003</v>
      </c>
      <c r="D60" s="113">
        <v>2457.5901297362502</v>
      </c>
      <c r="E60" s="113">
        <v>-143.34457745758399</v>
      </c>
      <c r="F60" s="113">
        <v>358.70943668212698</v>
      </c>
      <c r="G60" s="113">
        <v>206.317504320235</v>
      </c>
      <c r="H60" s="113">
        <v>-232.892109872551</v>
      </c>
      <c r="I60" s="113">
        <v>306.153482876373</v>
      </c>
      <c r="J60" s="113">
        <v>36.542491429094603</v>
      </c>
      <c r="K60" s="113">
        <v>7.0487086294815101E-6</v>
      </c>
      <c r="L60" s="113">
        <v>8.0167268586186797E-4</v>
      </c>
      <c r="M60" s="113">
        <v>37.819119666646102</v>
      </c>
      <c r="N60" s="113">
        <v>111.21873632912001</v>
      </c>
      <c r="O60" s="113">
        <v>-93.874296285411106</v>
      </c>
      <c r="P60" s="113">
        <v>65.0437038090474</v>
      </c>
      <c r="Q60" s="113">
        <v>-587.54571233414697</v>
      </c>
      <c r="R60" s="113">
        <v>0</v>
      </c>
      <c r="S60" s="113">
        <v>0</v>
      </c>
      <c r="T60" s="113">
        <v>0</v>
      </c>
      <c r="V60" s="113">
        <f t="shared" si="0"/>
        <v>2457.5901297362502</v>
      </c>
      <c r="W60" s="113">
        <f t="shared" si="1"/>
        <v>31.943030524164868</v>
      </c>
      <c r="X60" s="113">
        <f t="shared" si="2"/>
        <v>306.153482876373</v>
      </c>
      <c r="Y60" s="113">
        <f t="shared" si="3"/>
        <v>206.317504320235</v>
      </c>
      <c r="Z60" s="113">
        <f t="shared" si="4"/>
        <v>-522.50200852509954</v>
      </c>
      <c r="AA60" s="113">
        <f t="shared" si="5"/>
        <v>185.58115614625518</v>
      </c>
      <c r="AB60" s="113">
        <f t="shared" si="6"/>
        <v>-143.34457745758399</v>
      </c>
      <c r="AD60" s="113">
        <f t="shared" si="7"/>
        <v>2521.7387176205948</v>
      </c>
    </row>
    <row r="61" spans="1:30" x14ac:dyDescent="0.25">
      <c r="A61" s="121">
        <v>45292</v>
      </c>
      <c r="B61" s="112">
        <v>0.11969612525678371</v>
      </c>
      <c r="C61" s="113">
        <v>-197.52745343987999</v>
      </c>
      <c r="D61" s="113">
        <v>2466.5158422189402</v>
      </c>
      <c r="E61" s="113">
        <v>-262.80847112744402</v>
      </c>
      <c r="F61" s="113">
        <v>366.80436144379701</v>
      </c>
      <c r="G61" s="113">
        <v>173.30839346633499</v>
      </c>
      <c r="H61" s="113">
        <v>-182.00251681227201</v>
      </c>
      <c r="I61" s="113">
        <v>44.718572563408102</v>
      </c>
      <c r="J61" s="113">
        <v>2.0851824161127199</v>
      </c>
      <c r="K61" s="113">
        <v>4.2544307313385302E-7</v>
      </c>
      <c r="L61" s="113">
        <v>9.8430010823080904E-6</v>
      </c>
      <c r="M61" s="113">
        <v>4.8345856668257099</v>
      </c>
      <c r="N61" s="113">
        <v>64.572100665719901</v>
      </c>
      <c r="O61" s="113">
        <v>-86.148306537805396</v>
      </c>
      <c r="P61" s="113">
        <v>-83.308111275834804</v>
      </c>
      <c r="Q61" s="113">
        <v>-660.80318951635002</v>
      </c>
      <c r="R61" s="113">
        <v>0</v>
      </c>
      <c r="S61" s="113">
        <v>0</v>
      </c>
      <c r="T61" s="113">
        <v>0</v>
      </c>
      <c r="V61" s="113">
        <f t="shared" si="0"/>
        <v>2466.5158422189402</v>
      </c>
      <c r="W61" s="113">
        <f t="shared" si="1"/>
        <v>98.653538093719604</v>
      </c>
      <c r="X61" s="113">
        <f t="shared" si="2"/>
        <v>44.718572563408102</v>
      </c>
      <c r="Y61" s="113">
        <f t="shared" si="3"/>
        <v>173.30839346633499</v>
      </c>
      <c r="Z61" s="113">
        <f t="shared" si="4"/>
        <v>-744.11130079218481</v>
      </c>
      <c r="AA61" s="113">
        <f t="shared" si="5"/>
        <v>71.491879017102491</v>
      </c>
      <c r="AB61" s="113">
        <f t="shared" si="6"/>
        <v>-262.80847112744402</v>
      </c>
      <c r="AD61" s="113">
        <f t="shared" si="7"/>
        <v>1847.7684534398763</v>
      </c>
    </row>
    <row r="62" spans="1:30" x14ac:dyDescent="0.25">
      <c r="A62" s="121">
        <v>45323</v>
      </c>
      <c r="B62" s="112">
        <v>0.15898315155827816</v>
      </c>
      <c r="C62" s="113">
        <v>-239.73196609994011</v>
      </c>
      <c r="D62" s="113">
        <v>2465.5533682650498</v>
      </c>
      <c r="E62" s="113">
        <v>-265.43209460512099</v>
      </c>
      <c r="F62" s="113">
        <v>300.38690820072298</v>
      </c>
      <c r="G62" s="113">
        <v>178.09440065982699</v>
      </c>
      <c r="H62" s="113">
        <v>-176.09808035031301</v>
      </c>
      <c r="I62" s="113">
        <v>6.7279409156897403</v>
      </c>
      <c r="J62" s="113">
        <v>5.9535282174131697E-2</v>
      </c>
      <c r="K62" s="113">
        <v>8.6703063046607296E-8</v>
      </c>
      <c r="L62" s="113">
        <v>6.38990609819129E-7</v>
      </c>
      <c r="M62" s="113">
        <v>0.31827314896863601</v>
      </c>
      <c r="N62" s="113">
        <v>18.434886275297899</v>
      </c>
      <c r="O62" s="113">
        <v>-80.3610855136873</v>
      </c>
      <c r="P62" s="113">
        <v>-73.196175260649099</v>
      </c>
      <c r="Q62" s="113">
        <v>-626.84791164371597</v>
      </c>
      <c r="R62" s="113">
        <v>0</v>
      </c>
      <c r="S62" s="113">
        <v>0</v>
      </c>
      <c r="T62" s="113">
        <v>0</v>
      </c>
      <c r="V62" s="113">
        <f t="shared" si="0"/>
        <v>2465.5533682650498</v>
      </c>
      <c r="W62" s="113">
        <f t="shared" si="1"/>
        <v>43.927742336722673</v>
      </c>
      <c r="X62" s="113">
        <f t="shared" si="2"/>
        <v>6.7279409156897403</v>
      </c>
      <c r="Y62" s="113">
        <f t="shared" si="3"/>
        <v>178.09440065982699</v>
      </c>
      <c r="Z62" s="113">
        <f t="shared" si="4"/>
        <v>-700.04408690436503</v>
      </c>
      <c r="AA62" s="113">
        <f t="shared" si="5"/>
        <v>18.81269543213434</v>
      </c>
      <c r="AB62" s="113">
        <f t="shared" si="6"/>
        <v>-265.43209460512099</v>
      </c>
      <c r="AD62" s="113">
        <f t="shared" si="7"/>
        <v>1747.6399660999377</v>
      </c>
    </row>
    <row r="63" spans="1:30" x14ac:dyDescent="0.25">
      <c r="A63" s="121">
        <v>45352</v>
      </c>
      <c r="B63" s="112">
        <v>0.12059510061939842</v>
      </c>
      <c r="C63" s="113">
        <v>343.81180806188013</v>
      </c>
      <c r="D63" s="113">
        <v>2452.5354376427199</v>
      </c>
      <c r="E63" s="113">
        <v>-88.889636187854094</v>
      </c>
      <c r="F63" s="113">
        <v>335.72503050319</v>
      </c>
      <c r="G63" s="113">
        <v>330.40259876023401</v>
      </c>
      <c r="H63" s="113">
        <v>-203.49607249680199</v>
      </c>
      <c r="I63" s="113">
        <v>349.29426512808402</v>
      </c>
      <c r="J63" s="113">
        <v>1.7366023251907301E-3</v>
      </c>
      <c r="K63" s="113">
        <v>3.6148983428288498E-8</v>
      </c>
      <c r="L63" s="113">
        <v>1.3983778089518E-7</v>
      </c>
      <c r="M63" s="113">
        <v>1.6276671463457699E-2</v>
      </c>
      <c r="N63" s="113">
        <v>2.2716044445947601</v>
      </c>
      <c r="O63" s="113">
        <v>-90.405011456826998</v>
      </c>
      <c r="P63" s="113">
        <v>-46.660466823147303</v>
      </c>
      <c r="Q63" s="113">
        <v>-533.64757102585702</v>
      </c>
      <c r="R63" s="113">
        <v>0</v>
      </c>
      <c r="S63" s="113">
        <v>0</v>
      </c>
      <c r="T63" s="113">
        <v>0</v>
      </c>
      <c r="V63" s="113">
        <f t="shared" si="0"/>
        <v>2452.5354376427199</v>
      </c>
      <c r="W63" s="113">
        <f t="shared" si="1"/>
        <v>41.823946549561015</v>
      </c>
      <c r="X63" s="113">
        <f t="shared" si="2"/>
        <v>349.29426512808402</v>
      </c>
      <c r="Y63" s="113">
        <f t="shared" si="3"/>
        <v>330.40259876023401</v>
      </c>
      <c r="Z63" s="113">
        <f t="shared" si="4"/>
        <v>-580.30803784900434</v>
      </c>
      <c r="AA63" s="113">
        <f t="shared" si="5"/>
        <v>2.2896178943701728</v>
      </c>
      <c r="AB63" s="113">
        <f t="shared" si="6"/>
        <v>-88.889636187854094</v>
      </c>
      <c r="AD63" s="113">
        <f t="shared" si="7"/>
        <v>2507.1481919381108</v>
      </c>
    </row>
    <row r="64" spans="1:30" x14ac:dyDescent="0.25">
      <c r="A64" s="121">
        <v>45383</v>
      </c>
      <c r="B64" s="112">
        <v>5.4921556800891558E-2</v>
      </c>
      <c r="C64" s="113">
        <v>-133.52369616918031</v>
      </c>
      <c r="D64" s="113">
        <v>2457.0878180916602</v>
      </c>
      <c r="E64" s="113">
        <v>-175.31488988627399</v>
      </c>
      <c r="F64" s="113">
        <v>403.41197520011099</v>
      </c>
      <c r="G64" s="113">
        <v>337.21027567275399</v>
      </c>
      <c r="H64" s="113">
        <v>-217.045436649208</v>
      </c>
      <c r="I64" s="113">
        <v>51.634840987148003</v>
      </c>
      <c r="J64" s="113">
        <v>212.74300391450899</v>
      </c>
      <c r="K64" s="113">
        <v>2.38804353829178E-8</v>
      </c>
      <c r="L64" s="113">
        <v>6.2159987236946404E-8</v>
      </c>
      <c r="M64" s="113">
        <v>9.01187994543759E-4</v>
      </c>
      <c r="N64" s="113">
        <v>0.141573700723961</v>
      </c>
      <c r="O64" s="113">
        <v>-92.347599301026605</v>
      </c>
      <c r="P64" s="113">
        <v>-65.287895086453901</v>
      </c>
      <c r="Q64" s="113">
        <v>-347.53987174880501</v>
      </c>
      <c r="R64" s="113">
        <v>0</v>
      </c>
      <c r="S64" s="113">
        <v>0</v>
      </c>
      <c r="T64" s="113">
        <v>0</v>
      </c>
      <c r="V64" s="113">
        <f t="shared" si="0"/>
        <v>2457.0878180916602</v>
      </c>
      <c r="W64" s="113">
        <f t="shared" si="1"/>
        <v>94.018939249876382</v>
      </c>
      <c r="X64" s="113">
        <f t="shared" si="2"/>
        <v>51.634840987148003</v>
      </c>
      <c r="Y64" s="113">
        <f t="shared" si="3"/>
        <v>337.21027567275399</v>
      </c>
      <c r="Z64" s="113">
        <f t="shared" si="4"/>
        <v>-412.8277668352589</v>
      </c>
      <c r="AA64" s="113">
        <f t="shared" si="5"/>
        <v>212.88547888926792</v>
      </c>
      <c r="AB64" s="113">
        <f t="shared" si="6"/>
        <v>-175.31488988627399</v>
      </c>
      <c r="AD64" s="113">
        <f t="shared" si="7"/>
        <v>2564.6946961691733</v>
      </c>
    </row>
    <row r="65" spans="1:30" x14ac:dyDescent="0.25">
      <c r="A65" s="121">
        <v>45413</v>
      </c>
      <c r="B65" s="112">
        <v>8.003598197365288E-3</v>
      </c>
      <c r="C65" s="113">
        <v>24.560617777460266</v>
      </c>
      <c r="D65" s="113">
        <v>2455.11850472179</v>
      </c>
      <c r="E65" s="113">
        <v>-147.25453137249201</v>
      </c>
      <c r="F65" s="113">
        <v>423.44366459656698</v>
      </c>
      <c r="G65" s="113">
        <v>313.68342176070303</v>
      </c>
      <c r="H65" s="113">
        <v>-217.808484309112</v>
      </c>
      <c r="I65" s="113">
        <v>7.7925402001459503</v>
      </c>
      <c r="J65" s="113">
        <v>375.13119066206002</v>
      </c>
      <c r="K65" s="113">
        <v>73.117875237566594</v>
      </c>
      <c r="L65" s="113">
        <v>4.1061125009236202E-8</v>
      </c>
      <c r="M65" s="113">
        <v>7.2052681274695397E-5</v>
      </c>
      <c r="N65" s="113">
        <v>77.838028976607603</v>
      </c>
      <c r="O65" s="113">
        <v>-106.26174433060601</v>
      </c>
      <c r="P65" s="113">
        <v>-32.568115905575198</v>
      </c>
      <c r="Q65" s="113">
        <v>-178.09604010885701</v>
      </c>
      <c r="R65" s="113">
        <v>0</v>
      </c>
      <c r="S65" s="113">
        <v>0</v>
      </c>
      <c r="T65" s="113">
        <v>0</v>
      </c>
      <c r="V65" s="113">
        <f t="shared" si="0"/>
        <v>2455.11850472179</v>
      </c>
      <c r="W65" s="113">
        <f t="shared" si="1"/>
        <v>99.373435956848965</v>
      </c>
      <c r="X65" s="113">
        <f t="shared" si="2"/>
        <v>7.7925402001459503</v>
      </c>
      <c r="Y65" s="113">
        <f t="shared" si="3"/>
        <v>313.68342176070303</v>
      </c>
      <c r="Z65" s="113">
        <f t="shared" si="4"/>
        <v>-210.66415601443219</v>
      </c>
      <c r="AA65" s="113">
        <f t="shared" si="5"/>
        <v>526.08716696997658</v>
      </c>
      <c r="AB65" s="113">
        <f t="shared" si="6"/>
        <v>-147.25453137249201</v>
      </c>
      <c r="AD65" s="113">
        <f t="shared" si="7"/>
        <v>3044.1363822225403</v>
      </c>
    </row>
    <row r="66" spans="1:30" x14ac:dyDescent="0.25">
      <c r="A66" s="121">
        <v>45444</v>
      </c>
      <c r="B66" s="112">
        <v>9.9044476497342892E-3</v>
      </c>
      <c r="C66" s="113">
        <v>40.21859439337004</v>
      </c>
      <c r="D66" s="113">
        <v>2454.26857519334</v>
      </c>
      <c r="E66" s="113">
        <v>-130.51414396189199</v>
      </c>
      <c r="F66" s="113">
        <v>386.586137692134</v>
      </c>
      <c r="G66" s="113">
        <v>533.49589036273096</v>
      </c>
      <c r="H66" s="113">
        <v>-243.65024226372401</v>
      </c>
      <c r="I66" s="113">
        <v>1.1687170522916599</v>
      </c>
      <c r="J66" s="113">
        <v>375.12122710099499</v>
      </c>
      <c r="K66" s="113">
        <v>77.457519627112504</v>
      </c>
      <c r="L66" s="113">
        <v>3.3269419757360001E-8</v>
      </c>
      <c r="M66" s="113">
        <v>9.09734398667923E-6</v>
      </c>
      <c r="N66" s="113">
        <v>122.29203945467199</v>
      </c>
      <c r="O66" s="113">
        <v>-108.227233225175</v>
      </c>
      <c r="P66" s="113">
        <v>11.048369661647801</v>
      </c>
      <c r="Q66" s="113">
        <v>-47.776533112861799</v>
      </c>
      <c r="R66" s="113">
        <v>0</v>
      </c>
      <c r="S66" s="113">
        <v>589.17107289474802</v>
      </c>
      <c r="T66" s="113">
        <v>0</v>
      </c>
      <c r="V66" s="113">
        <f t="shared" si="0"/>
        <v>2454.26857519334</v>
      </c>
      <c r="W66" s="113">
        <f t="shared" si="1"/>
        <v>34.708662203234994</v>
      </c>
      <c r="X66" s="113">
        <f t="shared" si="2"/>
        <v>1.1687170522916599</v>
      </c>
      <c r="Y66" s="113">
        <f t="shared" si="3"/>
        <v>533.49589036273096</v>
      </c>
      <c r="Z66" s="113">
        <f t="shared" si="4"/>
        <v>552.44290944353406</v>
      </c>
      <c r="AA66" s="113">
        <f t="shared" si="5"/>
        <v>574.87079531339293</v>
      </c>
      <c r="AB66" s="113">
        <f t="shared" si="6"/>
        <v>-130.51414396189199</v>
      </c>
      <c r="AD66" s="113">
        <f t="shared" si="7"/>
        <v>4020.4414056066325</v>
      </c>
    </row>
    <row r="67" spans="1:30" x14ac:dyDescent="0.25">
      <c r="A67" s="121">
        <v>45474</v>
      </c>
      <c r="B67" s="112">
        <v>4.748228840440287E-2</v>
      </c>
      <c r="C67" s="113">
        <v>-161.9331690337799</v>
      </c>
      <c r="D67" s="113">
        <v>2455.2399639138298</v>
      </c>
      <c r="E67" s="113">
        <v>-140.13615638069001</v>
      </c>
      <c r="F67" s="113">
        <v>416.27710568162001</v>
      </c>
      <c r="G67" s="113">
        <v>765.13329704554906</v>
      </c>
      <c r="H67" s="113">
        <v>-256.99128425429001</v>
      </c>
      <c r="I67" s="113">
        <v>0.171249167988687</v>
      </c>
      <c r="J67" s="113">
        <v>375.54080359073203</v>
      </c>
      <c r="K67" s="113">
        <v>48.559182793547699</v>
      </c>
      <c r="L67" s="113">
        <v>2.9937239654026199E-8</v>
      </c>
      <c r="M67" s="113">
        <v>1.8031147807861601E-6</v>
      </c>
      <c r="N67" s="113">
        <v>126.615893164665</v>
      </c>
      <c r="O67" s="113">
        <v>-108.048909678697</v>
      </c>
      <c r="P67" s="113">
        <v>-91.078062948153502</v>
      </c>
      <c r="Q67" s="113">
        <v>-18.958914895375699</v>
      </c>
      <c r="R67" s="113">
        <v>0</v>
      </c>
      <c r="S67" s="113">
        <v>0</v>
      </c>
      <c r="T67" s="113">
        <v>0</v>
      </c>
      <c r="V67" s="113">
        <f t="shared" si="0"/>
        <v>2455.2399639138298</v>
      </c>
      <c r="W67" s="113">
        <f t="shared" si="1"/>
        <v>51.236911748633005</v>
      </c>
      <c r="X67" s="113">
        <f t="shared" si="2"/>
        <v>0.171249167988687</v>
      </c>
      <c r="Y67" s="113">
        <f t="shared" si="3"/>
        <v>765.13329704554906</v>
      </c>
      <c r="Z67" s="113">
        <f t="shared" si="4"/>
        <v>-110.0369778435292</v>
      </c>
      <c r="AA67" s="113">
        <f t="shared" si="5"/>
        <v>550.71588138199672</v>
      </c>
      <c r="AB67" s="113">
        <f t="shared" si="6"/>
        <v>-140.13615638069001</v>
      </c>
      <c r="AD67" s="113">
        <f t="shared" si="7"/>
        <v>3572.3241690337777</v>
      </c>
    </row>
    <row r="68" spans="1:30" x14ac:dyDescent="0.25">
      <c r="A68" s="121">
        <v>45505</v>
      </c>
      <c r="B68" s="112">
        <v>1.1142575762232633E-2</v>
      </c>
      <c r="C68" s="113">
        <v>40.509614163900096</v>
      </c>
      <c r="D68" s="113">
        <v>2449.2532812344598</v>
      </c>
      <c r="E68" s="113">
        <v>-57.595195320710403</v>
      </c>
      <c r="F68" s="113">
        <v>393.39531333997502</v>
      </c>
      <c r="G68" s="113">
        <v>690.28390048590995</v>
      </c>
      <c r="H68" s="113">
        <v>-155.06137917958</v>
      </c>
      <c r="I68" s="113">
        <v>2.2772859271656301E-2</v>
      </c>
      <c r="J68" s="113">
        <v>375.47227683081798</v>
      </c>
      <c r="K68" s="113">
        <v>0.88250619127672603</v>
      </c>
      <c r="L68" s="113">
        <v>2.8395308367751E-8</v>
      </c>
      <c r="M68" s="113">
        <v>5.3154179915373195E-7</v>
      </c>
      <c r="N68" s="113">
        <v>129.339304908945</v>
      </c>
      <c r="O68" s="113">
        <v>-109.856322588056</v>
      </c>
      <c r="P68" s="113">
        <v>-31.445418378758099</v>
      </c>
      <c r="Q68" s="113">
        <v>-89.630655107386403</v>
      </c>
      <c r="R68" s="113">
        <v>0</v>
      </c>
      <c r="S68" s="113">
        <v>0</v>
      </c>
      <c r="T68" s="113">
        <v>0</v>
      </c>
      <c r="V68" s="113">
        <f t="shared" si="0"/>
        <v>2449.2532812344598</v>
      </c>
      <c r="W68" s="113">
        <f t="shared" si="1"/>
        <v>128.47761157233901</v>
      </c>
      <c r="X68" s="113">
        <f t="shared" si="2"/>
        <v>2.2772859271656301E-2</v>
      </c>
      <c r="Y68" s="113">
        <f t="shared" si="3"/>
        <v>690.28390048590995</v>
      </c>
      <c r="Z68" s="113">
        <f t="shared" si="4"/>
        <v>-121.07607348614451</v>
      </c>
      <c r="AA68" s="113">
        <f t="shared" si="5"/>
        <v>505.69408849097681</v>
      </c>
      <c r="AB68" s="113">
        <f t="shared" si="6"/>
        <v>-57.595195320710403</v>
      </c>
      <c r="AD68" s="113">
        <f t="shared" si="7"/>
        <v>3595.0603858361019</v>
      </c>
    </row>
    <row r="69" spans="1:30" x14ac:dyDescent="0.25">
      <c r="A69" s="121">
        <v>45536</v>
      </c>
      <c r="B69" s="112">
        <v>2.4494454001798817E-2</v>
      </c>
      <c r="C69" s="113">
        <v>103.13840555411025</v>
      </c>
      <c r="D69" s="113">
        <v>2444.9632479841798</v>
      </c>
      <c r="E69" s="113">
        <v>0</v>
      </c>
      <c r="F69" s="113">
        <v>436.14917391957198</v>
      </c>
      <c r="G69" s="113">
        <v>640.40914462724504</v>
      </c>
      <c r="H69" s="113">
        <v>-95.872774659964307</v>
      </c>
      <c r="I69" s="113">
        <v>0</v>
      </c>
      <c r="J69" s="113">
        <v>375.349620736394</v>
      </c>
      <c r="K69" s="113">
        <v>2.8087807422585002E-3</v>
      </c>
      <c r="L69" s="113">
        <v>2.76416882247753E-8</v>
      </c>
      <c r="M69" s="113">
        <v>2.1569365164505699E-7</v>
      </c>
      <c r="N69" s="113">
        <v>115.599841631545</v>
      </c>
      <c r="O69" s="113">
        <v>-111.096400755093</v>
      </c>
      <c r="P69" s="113">
        <v>-10.765847170696</v>
      </c>
      <c r="Q69" s="113">
        <v>-203.37505178749001</v>
      </c>
      <c r="R69" s="113">
        <v>0</v>
      </c>
      <c r="S69" s="113">
        <v>0</v>
      </c>
      <c r="T69" s="113">
        <v>516.18183089612103</v>
      </c>
      <c r="V69" s="113">
        <f t="shared" si="0"/>
        <v>2444.9632479841798</v>
      </c>
      <c r="W69" s="113">
        <f t="shared" si="1"/>
        <v>229.17999850451469</v>
      </c>
      <c r="X69" s="113">
        <f t="shared" si="2"/>
        <v>0</v>
      </c>
      <c r="Y69" s="113">
        <f t="shared" si="3"/>
        <v>640.40914462724504</v>
      </c>
      <c r="Z69" s="113">
        <f t="shared" si="4"/>
        <v>302.04093193793506</v>
      </c>
      <c r="AA69" s="113">
        <f t="shared" si="5"/>
        <v>490.95227139201666</v>
      </c>
      <c r="AB69" s="113">
        <f t="shared" si="6"/>
        <v>0</v>
      </c>
      <c r="AD69" s="113">
        <f t="shared" si="7"/>
        <v>4107.5455944458909</v>
      </c>
    </row>
    <row r="71" spans="1:30" x14ac:dyDescent="0.25">
      <c r="V71" s="113">
        <f>SUM(V33:V69)</f>
        <v>91210.038419064469</v>
      </c>
      <c r="W71" s="113">
        <f t="shared" ref="W71:AB71" si="8">SUM(W33:W69)</f>
        <v>1908.9843793050716</v>
      </c>
      <c r="X71" s="113">
        <f t="shared" si="8"/>
        <v>8683.6670884838823</v>
      </c>
      <c r="Y71" s="113">
        <f t="shared" si="8"/>
        <v>10006.461153147053</v>
      </c>
      <c r="Z71" s="113">
        <f t="shared" si="8"/>
        <v>-5893.2240515696722</v>
      </c>
      <c r="AA71" s="113">
        <f t="shared" si="8"/>
        <v>8419.5966339801253</v>
      </c>
      <c r="AB71" s="113">
        <f t="shared" si="8"/>
        <v>-11484.703142161365</v>
      </c>
    </row>
    <row r="72" spans="1:30" x14ac:dyDescent="0.25">
      <c r="V72" s="113"/>
      <c r="W72" s="113"/>
      <c r="X72" s="113"/>
      <c r="Y72" s="113"/>
      <c r="Z72" s="113"/>
      <c r="AA72" s="113"/>
      <c r="AB72" s="113"/>
    </row>
    <row r="73" spans="1:30" x14ac:dyDescent="0.25">
      <c r="V73" s="118"/>
      <c r="W73" s="118"/>
      <c r="X73" s="118"/>
      <c r="Y73" s="118"/>
      <c r="Z73" s="118"/>
      <c r="AA73" s="118"/>
      <c r="AB73" s="118"/>
    </row>
    <row r="80" spans="1:30" x14ac:dyDescent="0.25">
      <c r="A80" s="119" t="s">
        <v>106</v>
      </c>
      <c r="B80" t="s">
        <v>124</v>
      </c>
      <c r="C80" t="s">
        <v>125</v>
      </c>
      <c r="D80" t="s">
        <v>126</v>
      </c>
    </row>
    <row r="81" spans="1:23" x14ac:dyDescent="0.25">
      <c r="A81" s="120" t="s">
        <v>4</v>
      </c>
      <c r="B81">
        <v>29452.634512758203</v>
      </c>
      <c r="C81">
        <v>29748.318116962429</v>
      </c>
      <c r="D81">
        <v>29564.122541359648</v>
      </c>
      <c r="G81" s="120" t="s">
        <v>4</v>
      </c>
      <c r="H81" s="122">
        <v>29452.634512758203</v>
      </c>
      <c r="I81" s="122">
        <v>29748.318116962429</v>
      </c>
      <c r="J81" s="122">
        <v>29564.122541359648</v>
      </c>
      <c r="L81" s="120" t="s">
        <v>4</v>
      </c>
      <c r="M81" s="120" t="s">
        <v>112</v>
      </c>
      <c r="N81" s="120" t="s">
        <v>113</v>
      </c>
      <c r="O81" s="120" t="s">
        <v>114</v>
      </c>
      <c r="P81" s="120" t="s">
        <v>115</v>
      </c>
      <c r="Q81" s="120" t="s">
        <v>117</v>
      </c>
      <c r="R81" s="120" t="s">
        <v>127</v>
      </c>
      <c r="T81" s="120" t="s">
        <v>32</v>
      </c>
      <c r="V81" s="120" t="s">
        <v>52</v>
      </c>
    </row>
    <row r="82" spans="1:23" x14ac:dyDescent="0.25">
      <c r="A82" s="120" t="s">
        <v>118</v>
      </c>
      <c r="B82">
        <v>-552.81996685788795</v>
      </c>
      <c r="C82">
        <v>-760.90257648275633</v>
      </c>
      <c r="D82">
        <v>-1170.5565496982097</v>
      </c>
      <c r="G82" s="120" t="s">
        <v>112</v>
      </c>
      <c r="H82" s="122">
        <v>4.9790663143293373E-7</v>
      </c>
      <c r="I82" s="122">
        <v>1179.9030195536679</v>
      </c>
      <c r="J82" s="122">
        <v>2681.7107617353417</v>
      </c>
      <c r="L82" s="122">
        <v>29452.634512758203</v>
      </c>
      <c r="M82" s="122">
        <v>4.9790663143293373E-7</v>
      </c>
      <c r="N82" s="122">
        <v>2.7099363745687012E-7</v>
      </c>
      <c r="O82" s="122">
        <v>4.1377384210075308E-7</v>
      </c>
      <c r="P82" s="122">
        <v>3.0021750364808441E-7</v>
      </c>
      <c r="Q82" s="122">
        <v>5.5575131898152271E-8</v>
      </c>
      <c r="R82" s="122">
        <v>4115.6365965955329</v>
      </c>
      <c r="T82" s="123">
        <f>SUM(L82:R82)</f>
        <v>33568.271110892201</v>
      </c>
      <c r="V82" s="123">
        <f>SUM(M82:Q82)</f>
        <v>1.5384667465367936E-6</v>
      </c>
    </row>
    <row r="83" spans="1:23" x14ac:dyDescent="0.25">
      <c r="A83" s="120" t="s">
        <v>108</v>
      </c>
      <c r="B83">
        <v>1026.7715010345821</v>
      </c>
      <c r="C83">
        <v>3222.3832940866337</v>
      </c>
      <c r="D83">
        <v>4307.6310334809041</v>
      </c>
      <c r="G83" s="120" t="s">
        <v>113</v>
      </c>
      <c r="H83" s="122">
        <v>2.7099363745687012E-7</v>
      </c>
      <c r="I83" s="122">
        <v>357.71739433251435</v>
      </c>
      <c r="J83" s="122">
        <v>225.37621479973859</v>
      </c>
      <c r="L83" s="122">
        <v>29748.318116962429</v>
      </c>
      <c r="M83" s="122">
        <v>1179.9030195536679</v>
      </c>
      <c r="N83" s="122">
        <v>357.71739433251435</v>
      </c>
      <c r="O83" s="122">
        <v>801.47445144127107</v>
      </c>
      <c r="P83" s="122">
        <v>658.46213107631343</v>
      </c>
      <c r="Q83" s="122">
        <v>230.13180120410101</v>
      </c>
      <c r="R83" s="122">
        <v>-1326.0013328376865</v>
      </c>
      <c r="T83" s="123">
        <f t="shared" ref="T83:T84" si="9">SUM(L83:R83)</f>
        <v>31650.005581732607</v>
      </c>
      <c r="U83" s="118">
        <f>T83/T82-1</f>
        <v>-5.7145198893998383E-2</v>
      </c>
      <c r="V83" s="123">
        <f>SUM(M83:Q83)</f>
        <v>3227.6887976078679</v>
      </c>
      <c r="W83" s="118"/>
    </row>
    <row r="84" spans="1:23" x14ac:dyDescent="0.25">
      <c r="A84" s="120" t="s">
        <v>111</v>
      </c>
      <c r="B84">
        <v>-948.99475838486524</v>
      </c>
      <c r="C84">
        <v>-911.16152727894439</v>
      </c>
      <c r="D84">
        <v>-2532.5460690988998</v>
      </c>
      <c r="G84" s="120" t="s">
        <v>114</v>
      </c>
      <c r="H84" s="122">
        <v>4.1377384210075308E-7</v>
      </c>
      <c r="I84" s="122">
        <v>801.47445144127107</v>
      </c>
      <c r="J84" s="122">
        <v>252.76922405659792</v>
      </c>
      <c r="L84" s="122">
        <v>29564.122541359648</v>
      </c>
      <c r="M84" s="122">
        <v>2681.7107617353417</v>
      </c>
      <c r="N84" s="122">
        <v>225.37621479973859</v>
      </c>
      <c r="O84" s="122">
        <v>252.76922405659792</v>
      </c>
      <c r="P84" s="122">
        <v>568.89779903541717</v>
      </c>
      <c r="Q84" s="122">
        <v>972.20156381467962</v>
      </c>
      <c r="R84" s="122">
        <v>-740.07991162257372</v>
      </c>
      <c r="T84" s="123">
        <f t="shared" si="9"/>
        <v>33524.998193178842</v>
      </c>
      <c r="U84" s="118">
        <f>T84/T83-1</f>
        <v>5.9241462267811462E-2</v>
      </c>
      <c r="V84" s="123">
        <f t="shared" ref="V84" si="10">SUM(M84:Q84)</f>
        <v>4700.9555634417748</v>
      </c>
      <c r="W84" s="124">
        <f>V84/V83-1</f>
        <v>0.4564463485221335</v>
      </c>
    </row>
    <row r="85" spans="1:23" x14ac:dyDescent="0.25">
      <c r="A85" s="120" t="s">
        <v>120</v>
      </c>
      <c r="B85">
        <v>4296.9997576311998</v>
      </c>
      <c r="C85">
        <v>805.95741293855588</v>
      </c>
      <c r="D85">
        <v>0</v>
      </c>
      <c r="G85" s="120" t="s">
        <v>115</v>
      </c>
      <c r="H85" s="122">
        <v>3.0021750364808441E-7</v>
      </c>
      <c r="I85" s="122">
        <v>658.46213107631343</v>
      </c>
      <c r="J85" s="122">
        <v>568.89779903541717</v>
      </c>
    </row>
    <row r="86" spans="1:23" x14ac:dyDescent="0.25">
      <c r="A86" s="120" t="s">
        <v>89</v>
      </c>
      <c r="B86">
        <v>3531.783122968257</v>
      </c>
      <c r="C86">
        <v>4071.3611400104924</v>
      </c>
      <c r="D86">
        <v>1080.5228255051343</v>
      </c>
      <c r="G86" s="120" t="s">
        <v>117</v>
      </c>
      <c r="H86" s="122">
        <v>5.5575131898152271E-8</v>
      </c>
      <c r="I86" s="122">
        <v>230.13180120410101</v>
      </c>
      <c r="J86" s="122">
        <v>972.20156381467962</v>
      </c>
    </row>
    <row r="87" spans="1:23" x14ac:dyDescent="0.25">
      <c r="A87" s="120" t="s">
        <v>122</v>
      </c>
      <c r="B87">
        <v>518.53542918336302</v>
      </c>
      <c r="C87">
        <v>511.84526732878902</v>
      </c>
      <c r="D87">
        <v>519.93444782320296</v>
      </c>
      <c r="G87" s="120" t="s">
        <v>127</v>
      </c>
      <c r="H87" s="122">
        <v>4115.6365965955329</v>
      </c>
      <c r="I87" s="122">
        <v>-1326.0013328376865</v>
      </c>
      <c r="J87" s="122">
        <v>-740.07991162257372</v>
      </c>
    </row>
    <row r="88" spans="1:23" x14ac:dyDescent="0.25">
      <c r="A88" s="120" t="s">
        <v>67</v>
      </c>
      <c r="B88">
        <v>-1564.898542775878</v>
      </c>
      <c r="C88">
        <v>-597.69937311364913</v>
      </c>
      <c r="D88">
        <v>-558.88099241770522</v>
      </c>
      <c r="V88" s="123"/>
    </row>
    <row r="89" spans="1:23" x14ac:dyDescent="0.25">
      <c r="A89" s="120" t="s">
        <v>114</v>
      </c>
      <c r="B89">
        <v>4.1377384210075308E-7</v>
      </c>
      <c r="C89">
        <v>801.47445144127107</v>
      </c>
      <c r="D89">
        <v>252.76922405659792</v>
      </c>
      <c r="V89" s="123"/>
    </row>
    <row r="90" spans="1:23" x14ac:dyDescent="0.25">
      <c r="A90" s="120" t="s">
        <v>115</v>
      </c>
      <c r="B90">
        <v>3.0021750364808441E-7</v>
      </c>
      <c r="C90">
        <v>658.46213107631343</v>
      </c>
      <c r="D90">
        <v>568.89779903541717</v>
      </c>
    </row>
    <row r="91" spans="1:23" x14ac:dyDescent="0.25">
      <c r="A91" s="120" t="s">
        <v>117</v>
      </c>
      <c r="B91">
        <v>5.5575131898152271E-8</v>
      </c>
      <c r="C91">
        <v>230.13180120410101</v>
      </c>
      <c r="D91">
        <v>972.20156381467962</v>
      </c>
      <c r="V91" s="123"/>
      <c r="W91" s="123"/>
    </row>
    <row r="92" spans="1:23" x14ac:dyDescent="0.25">
      <c r="A92" s="120" t="s">
        <v>113</v>
      </c>
      <c r="B92">
        <v>2.7099363745687012E-7</v>
      </c>
      <c r="C92">
        <v>357.71739433251435</v>
      </c>
      <c r="D92">
        <v>225.37621479973859</v>
      </c>
    </row>
    <row r="93" spans="1:23" x14ac:dyDescent="0.25">
      <c r="A93" s="120" t="s">
        <v>70</v>
      </c>
      <c r="B93">
        <v>-3749.1080961819202</v>
      </c>
      <c r="C93">
        <v>-4011.1989348188317</v>
      </c>
      <c r="D93">
        <v>-4136.8875728739195</v>
      </c>
    </row>
    <row r="94" spans="1:23" x14ac:dyDescent="0.25">
      <c r="A94" s="120" t="s">
        <v>105</v>
      </c>
      <c r="B94">
        <v>-2409.3376490032847</v>
      </c>
      <c r="C94">
        <v>-6205.798021868437</v>
      </c>
      <c r="D94">
        <v>-2869.5674712896448</v>
      </c>
    </row>
    <row r="95" spans="1:23" x14ac:dyDescent="0.25">
      <c r="A95" s="120" t="s">
        <v>110</v>
      </c>
      <c r="B95">
        <v>3370.9158686525466</v>
      </c>
      <c r="C95">
        <v>1964.036775815443</v>
      </c>
      <c r="D95">
        <v>4031.0993640518163</v>
      </c>
    </row>
    <row r="96" spans="1:23" x14ac:dyDescent="0.25">
      <c r="A96" s="120" t="s">
        <v>121</v>
      </c>
      <c r="B96">
        <v>595.78993032942003</v>
      </c>
      <c r="C96">
        <v>585.17521054501799</v>
      </c>
      <c r="D96">
        <v>589.17107289474802</v>
      </c>
    </row>
    <row r="97" spans="1:10" x14ac:dyDescent="0.25">
      <c r="A97" s="120" t="s">
        <v>112</v>
      </c>
      <c r="B97">
        <v>4.9790663143293373E-7</v>
      </c>
      <c r="C97">
        <v>1179.9030195536679</v>
      </c>
      <c r="D97">
        <v>2681.7107617353417</v>
      </c>
    </row>
    <row r="98" spans="1:10" x14ac:dyDescent="0.25">
      <c r="A98" s="120" t="s">
        <v>116</v>
      </c>
      <c r="B98">
        <v>33568.271110892201</v>
      </c>
      <c r="C98">
        <v>31650.005581732614</v>
      </c>
      <c r="D98">
        <v>33524.998193178857</v>
      </c>
    </row>
    <row r="99" spans="1:10" x14ac:dyDescent="0.25">
      <c r="G99" s="120" t="s">
        <v>118</v>
      </c>
      <c r="H99">
        <v>-552.81996685788795</v>
      </c>
      <c r="I99">
        <v>-760.90257648275633</v>
      </c>
      <c r="J99">
        <v>-1170.5565496982097</v>
      </c>
    </row>
    <row r="100" spans="1:10" x14ac:dyDescent="0.25">
      <c r="G100" s="120" t="s">
        <v>108</v>
      </c>
      <c r="H100">
        <v>1026.7715010345821</v>
      </c>
      <c r="I100">
        <v>3222.3832940866337</v>
      </c>
      <c r="J100">
        <v>4307.6310334809041</v>
      </c>
    </row>
    <row r="101" spans="1:10" x14ac:dyDescent="0.25">
      <c r="G101" s="120" t="s">
        <v>111</v>
      </c>
      <c r="H101">
        <v>-948.99475838486524</v>
      </c>
      <c r="I101">
        <v>-911.16152727894439</v>
      </c>
      <c r="J101">
        <v>-2532.5460690988998</v>
      </c>
    </row>
    <row r="102" spans="1:10" x14ac:dyDescent="0.25">
      <c r="G102" s="120" t="s">
        <v>120</v>
      </c>
      <c r="H102">
        <v>4296.9997576311998</v>
      </c>
      <c r="I102">
        <v>805.95741293855588</v>
      </c>
      <c r="J102">
        <v>0</v>
      </c>
    </row>
    <row r="103" spans="1:10" x14ac:dyDescent="0.25">
      <c r="G103" s="120" t="s">
        <v>89</v>
      </c>
      <c r="H103">
        <v>3531.783122968257</v>
      </c>
      <c r="I103">
        <v>4071.3611400104924</v>
      </c>
      <c r="J103">
        <v>1080.5228255051343</v>
      </c>
    </row>
    <row r="104" spans="1:10" x14ac:dyDescent="0.25">
      <c r="G104" s="120" t="s">
        <v>122</v>
      </c>
      <c r="H104">
        <v>518.53542918336302</v>
      </c>
      <c r="I104">
        <v>511.84526732878902</v>
      </c>
      <c r="J104">
        <v>519.93444782320296</v>
      </c>
    </row>
    <row r="105" spans="1:10" x14ac:dyDescent="0.25">
      <c r="G105" s="120" t="s">
        <v>67</v>
      </c>
      <c r="H105">
        <v>-1564.898542775878</v>
      </c>
      <c r="I105">
        <v>-597.69937311364913</v>
      </c>
      <c r="J105">
        <v>-558.88099241770522</v>
      </c>
    </row>
    <row r="106" spans="1:10" x14ac:dyDescent="0.25">
      <c r="G106" s="120" t="s">
        <v>70</v>
      </c>
      <c r="H106">
        <v>-3749.1080961819202</v>
      </c>
      <c r="I106">
        <v>-4011.1989348188317</v>
      </c>
      <c r="J106">
        <v>-4136.8875728739195</v>
      </c>
    </row>
    <row r="107" spans="1:10" x14ac:dyDescent="0.25">
      <c r="G107" s="120" t="s">
        <v>105</v>
      </c>
      <c r="H107">
        <v>-2409.3376490032847</v>
      </c>
      <c r="I107">
        <v>-6205.798021868437</v>
      </c>
      <c r="J107">
        <v>-2869.5674712896448</v>
      </c>
    </row>
    <row r="108" spans="1:10" x14ac:dyDescent="0.25">
      <c r="G108" s="120" t="s">
        <v>110</v>
      </c>
      <c r="H108">
        <v>3370.9158686525466</v>
      </c>
      <c r="I108">
        <v>1964.036775815443</v>
      </c>
      <c r="J108">
        <v>4031.0993640518163</v>
      </c>
    </row>
    <row r="109" spans="1:10" x14ac:dyDescent="0.25">
      <c r="G109" s="120" t="s">
        <v>121</v>
      </c>
      <c r="H109">
        <v>595.78993032942003</v>
      </c>
      <c r="I109">
        <v>585.17521054501799</v>
      </c>
      <c r="J109">
        <v>589.17107289474802</v>
      </c>
    </row>
    <row r="130" spans="3:13" x14ac:dyDescent="0.25">
      <c r="C130" s="119" t="s">
        <v>106</v>
      </c>
      <c r="D130" t="s">
        <v>128</v>
      </c>
      <c r="E130" t="s">
        <v>129</v>
      </c>
      <c r="G130" s="119" t="s">
        <v>106</v>
      </c>
      <c r="H130" t="s">
        <v>124</v>
      </c>
      <c r="I130" t="s">
        <v>125</v>
      </c>
      <c r="J130" t="s">
        <v>126</v>
      </c>
      <c r="L130" t="s">
        <v>130</v>
      </c>
      <c r="M130" t="s">
        <v>131</v>
      </c>
    </row>
    <row r="131" spans="3:13" x14ac:dyDescent="0.25">
      <c r="C131" s="120" t="s">
        <v>4</v>
      </c>
      <c r="D131" s="112">
        <v>-5.8197643955264821E-3</v>
      </c>
      <c r="E131" s="112">
        <v>8.8084251711218944E-3</v>
      </c>
      <c r="G131" s="120" t="s">
        <v>4</v>
      </c>
      <c r="H131" s="123">
        <v>29452.634512758203</v>
      </c>
      <c r="I131" s="123">
        <v>29748.318116962429</v>
      </c>
      <c r="J131" s="123">
        <v>29564.122541359648</v>
      </c>
      <c r="L131" s="118">
        <f>(I131-H131)/$H$138</f>
        <v>8.8084251711218961E-3</v>
      </c>
      <c r="M131" s="118">
        <f>(J131-I131)/$H$138</f>
        <v>-5.4871928016279126E-3</v>
      </c>
    </row>
    <row r="132" spans="3:13" x14ac:dyDescent="0.25">
      <c r="C132" s="120" t="s">
        <v>109</v>
      </c>
      <c r="D132" s="112">
        <v>-2.9882799647498917E-2</v>
      </c>
      <c r="E132" s="112">
        <v>6.0335618949285595E-2</v>
      </c>
      <c r="G132" s="120" t="s">
        <v>109</v>
      </c>
      <c r="H132" s="123">
        <v>-475.04322420817107</v>
      </c>
      <c r="I132" s="123">
        <v>1550.3191903249328</v>
      </c>
      <c r="J132" s="123">
        <v>604.52841468379461</v>
      </c>
      <c r="L132" s="118">
        <f t="shared" ref="L132:M137" si="11">(I132-H132)/$H$138</f>
        <v>6.0335618949285602E-2</v>
      </c>
      <c r="M132" s="118">
        <f t="shared" si="11"/>
        <v>-2.8175141118133098E-2</v>
      </c>
    </row>
    <row r="133" spans="3:13" x14ac:dyDescent="0.25">
      <c r="C133" s="120" t="s">
        <v>49</v>
      </c>
      <c r="D133" s="112">
        <v>-9.4497244456461502E-2</v>
      </c>
      <c r="E133" s="112">
        <v>1.6074048474517755E-2</v>
      </c>
      <c r="G133" s="120" t="s">
        <v>49</v>
      </c>
      <c r="H133" s="123">
        <v>3531.783122968257</v>
      </c>
      <c r="I133" s="123">
        <v>4071.3611400104924</v>
      </c>
      <c r="J133" s="123">
        <v>1080.5228255051343</v>
      </c>
      <c r="L133" s="118">
        <f t="shared" si="11"/>
        <v>1.6074048474517759E-2</v>
      </c>
      <c r="M133" s="118">
        <f t="shared" si="11"/>
        <v>-8.9097180627062247E-2</v>
      </c>
    </row>
    <row r="134" spans="3:13" x14ac:dyDescent="0.25">
      <c r="C134" s="120" t="s">
        <v>43</v>
      </c>
      <c r="D134" s="112">
        <v>6.5310022865506745E-2</v>
      </c>
      <c r="E134" s="112">
        <v>-4.1910978619944486E-2</v>
      </c>
      <c r="G134" s="120" t="s">
        <v>43</v>
      </c>
      <c r="H134" s="123">
        <v>3370.9158686525466</v>
      </c>
      <c r="I134" s="123">
        <v>1964.036775815443</v>
      </c>
      <c r="J134" s="123">
        <v>4031.0993640518163</v>
      </c>
      <c r="L134" s="118">
        <f t="shared" si="11"/>
        <v>-4.19109786199445E-2</v>
      </c>
      <c r="M134" s="118">
        <f t="shared" si="11"/>
        <v>6.1577868619085804E-2</v>
      </c>
    </row>
    <row r="135" spans="3:13" x14ac:dyDescent="0.25">
      <c r="C135" s="120" t="s">
        <v>68</v>
      </c>
      <c r="D135" s="112">
        <v>-2.7827566259953286E-2</v>
      </c>
      <c r="E135" s="112">
        <v>-8.3508587202654874E-2</v>
      </c>
      <c r="G135" s="120" t="s">
        <v>68</v>
      </c>
      <c r="H135" s="123">
        <v>97.318478186184166</v>
      </c>
      <c r="I135" s="123">
        <v>-2705.9204171201177</v>
      </c>
      <c r="J135" s="123">
        <v>-3586.6630445736732</v>
      </c>
      <c r="L135" s="118">
        <f t="shared" si="11"/>
        <v>-8.3508587202654874E-2</v>
      </c>
      <c r="M135" s="118">
        <f t="shared" si="11"/>
        <v>-2.6237354451292338E-2</v>
      </c>
    </row>
    <row r="136" spans="3:13" x14ac:dyDescent="0.25">
      <c r="C136" s="120" t="s">
        <v>52</v>
      </c>
      <c r="D136" s="112">
        <v>4.6548704771294899E-2</v>
      </c>
      <c r="E136" s="112">
        <v>9.6152964965243115E-2</v>
      </c>
      <c r="G136" s="120" t="s">
        <v>52</v>
      </c>
      <c r="H136" s="123">
        <v>1.5384667465367936E-6</v>
      </c>
      <c r="I136" s="123">
        <v>3227.6887976078679</v>
      </c>
      <c r="J136" s="123">
        <v>4700.9555634417748</v>
      </c>
      <c r="L136" s="118">
        <f t="shared" si="11"/>
        <v>9.6152964965243143E-2</v>
      </c>
      <c r="M136" s="118">
        <f t="shared" si="11"/>
        <v>4.3888669778881242E-2</v>
      </c>
    </row>
    <row r="137" spans="3:13" x14ac:dyDescent="0.25">
      <c r="C137" s="120" t="s">
        <v>38</v>
      </c>
      <c r="D137" s="112">
        <v>0.10541010939045012</v>
      </c>
      <c r="E137" s="112">
        <v>-0.11309669063156724</v>
      </c>
      <c r="G137" s="120" t="s">
        <v>38</v>
      </c>
      <c r="H137" s="123">
        <v>-2409.3376490032847</v>
      </c>
      <c r="I137" s="123">
        <v>-6205.798021868437</v>
      </c>
      <c r="J137" s="123">
        <v>-2869.5674712896448</v>
      </c>
      <c r="L137" s="118">
        <f t="shared" si="11"/>
        <v>-0.11309669063156727</v>
      </c>
      <c r="M137" s="118">
        <f t="shared" si="11"/>
        <v>9.9386427723894763E-2</v>
      </c>
    </row>
    <row r="138" spans="3:13" x14ac:dyDescent="0.25">
      <c r="C138" s="120" t="s">
        <v>116</v>
      </c>
      <c r="D138" s="112">
        <v>5.9241462267811587E-2</v>
      </c>
      <c r="E138" s="112">
        <v>-5.7145198893998245E-2</v>
      </c>
      <c r="G138" s="120" t="s">
        <v>116</v>
      </c>
      <c r="H138" s="123">
        <v>33568.271110892201</v>
      </c>
      <c r="I138" s="123">
        <v>31650.005581732607</v>
      </c>
      <c r="J138" s="123">
        <v>33524.99819317885</v>
      </c>
    </row>
    <row r="159" spans="1:16" x14ac:dyDescent="0.25">
      <c r="A159" s="149"/>
      <c r="B159" s="149" t="s">
        <v>32</v>
      </c>
      <c r="C159" s="149" t="s">
        <v>15</v>
      </c>
      <c r="D159" s="149" t="s">
        <v>17</v>
      </c>
      <c r="E159" s="149" t="s">
        <v>32</v>
      </c>
      <c r="F159" s="149" t="s">
        <v>15</v>
      </c>
      <c r="G159" s="149" t="s">
        <v>17</v>
      </c>
      <c r="H159" s="149" t="s">
        <v>32</v>
      </c>
      <c r="I159" s="149" t="s">
        <v>15</v>
      </c>
      <c r="J159" s="149" t="s">
        <v>17</v>
      </c>
      <c r="K159" s="149" t="s">
        <v>32</v>
      </c>
      <c r="L159" s="149" t="s">
        <v>15</v>
      </c>
      <c r="M159" s="149" t="s">
        <v>17</v>
      </c>
      <c r="N159" s="149" t="s">
        <v>32</v>
      </c>
      <c r="O159" s="149" t="s">
        <v>15</v>
      </c>
      <c r="P159" s="149" t="s">
        <v>17</v>
      </c>
    </row>
    <row r="160" spans="1:16" x14ac:dyDescent="0.25">
      <c r="A160" s="149"/>
      <c r="B160" s="149" t="s">
        <v>83</v>
      </c>
      <c r="C160" s="149" t="s">
        <v>83</v>
      </c>
      <c r="D160" s="149" t="s">
        <v>83</v>
      </c>
      <c r="E160" s="149" t="s">
        <v>132</v>
      </c>
      <c r="F160" s="149" t="s">
        <v>132</v>
      </c>
      <c r="G160" s="149" t="s">
        <v>132</v>
      </c>
      <c r="H160" s="149" t="s">
        <v>133</v>
      </c>
      <c r="I160" s="149" t="s">
        <v>133</v>
      </c>
      <c r="J160" s="149" t="s">
        <v>133</v>
      </c>
      <c r="K160" s="149" t="s">
        <v>134</v>
      </c>
      <c r="L160" s="149"/>
      <c r="M160" s="149"/>
      <c r="N160" s="149" t="s">
        <v>135</v>
      </c>
      <c r="O160" s="149"/>
      <c r="P160" s="149"/>
    </row>
    <row r="161" spans="1:16" x14ac:dyDescent="0.25">
      <c r="A161" s="149" t="s">
        <v>136</v>
      </c>
      <c r="B161" s="150">
        <v>187274202.16699222</v>
      </c>
      <c r="C161" s="150">
        <v>50075894</v>
      </c>
      <c r="D161" s="150">
        <v>137198308.16699219</v>
      </c>
      <c r="E161" s="150">
        <v>3861.6137817869162</v>
      </c>
      <c r="F161" s="150">
        <v>1179.9030195536679</v>
      </c>
      <c r="G161" s="150">
        <v>2681.7107617353417</v>
      </c>
      <c r="H161" s="151">
        <f>B161/SUM(B$161:B$165)</f>
        <v>0.59300520434485937</v>
      </c>
      <c r="I161" s="151">
        <f t="shared" ref="I161:M161" si="12">C161/SUM(C$161:C$165)</f>
        <v>0.35880243633646658</v>
      </c>
      <c r="J161" s="151">
        <f t="shared" si="12"/>
        <v>0.77846831323122478</v>
      </c>
      <c r="K161" s="151">
        <f t="shared" si="12"/>
        <v>0.48704590661276531</v>
      </c>
      <c r="L161" s="151">
        <f t="shared" si="12"/>
        <v>0.36555662380714266</v>
      </c>
      <c r="M161" s="151">
        <f t="shared" si="12"/>
        <v>0.57046077665366068</v>
      </c>
      <c r="N161" s="152">
        <f>K161/H161</f>
        <v>0.82131809812840373</v>
      </c>
      <c r="O161" s="152">
        <f>L161/I161</f>
        <v>1.0188242519745387</v>
      </c>
      <c r="P161" s="152">
        <f>M161/J161</f>
        <v>0.73279896812475576</v>
      </c>
    </row>
    <row r="162" spans="1:16" x14ac:dyDescent="0.25">
      <c r="A162" s="149" t="s">
        <v>113</v>
      </c>
      <c r="B162" s="150">
        <v>13881383.987304689</v>
      </c>
      <c r="C162" s="150">
        <v>7012253</v>
      </c>
      <c r="D162" s="150">
        <v>6869130.9873046903</v>
      </c>
      <c r="E162" s="150">
        <v>583.09360940324666</v>
      </c>
      <c r="F162" s="150">
        <v>357.71739433251435</v>
      </c>
      <c r="G162" s="150">
        <v>225.37621479973859</v>
      </c>
      <c r="H162" s="151">
        <f t="shared" ref="H162:H165" si="13">B162/SUM(B$161:B$165)</f>
        <v>4.3955509369308907E-2</v>
      </c>
      <c r="I162" s="151">
        <f t="shared" ref="I162:I165" si="14">C162/SUM(C$161:C$165)</f>
        <v>5.0244004842084231E-2</v>
      </c>
      <c r="J162" s="151">
        <f t="shared" ref="J162:J165" si="15">D162/SUM(D$161:D$165)</f>
        <v>3.8975705199970699E-2</v>
      </c>
      <c r="K162" s="151">
        <f t="shared" ref="K162:K165" si="16">E162/SUM(E$161:E$165)</f>
        <v>7.3542661612446214E-2</v>
      </c>
      <c r="L162" s="151">
        <f t="shared" ref="L162:L165" si="17">F162/SUM(F$161:F$165)</f>
        <v>0.11082772124674128</v>
      </c>
      <c r="M162" s="151">
        <f t="shared" ref="M162:M165" si="18">G162/SUM(G$161:G$165)</f>
        <v>4.7942638843990866E-2</v>
      </c>
      <c r="N162" s="152">
        <f t="shared" ref="N162:N165" si="19">K162/H162</f>
        <v>1.6731158998647839</v>
      </c>
      <c r="O162" s="152">
        <f t="shared" ref="O162:P165" si="20">L162/I162</f>
        <v>2.2057899563354932</v>
      </c>
      <c r="P162" s="152">
        <f t="shared" si="20"/>
        <v>1.230064692813484</v>
      </c>
    </row>
    <row r="163" spans="1:16" x14ac:dyDescent="0.25">
      <c r="A163" s="149" t="s">
        <v>114</v>
      </c>
      <c r="B163" s="150">
        <v>18374818</v>
      </c>
      <c r="C163" s="150">
        <v>18374818</v>
      </c>
      <c r="D163" s="150">
        <v>0</v>
      </c>
      <c r="E163" s="150">
        <v>1054.2436759116429</v>
      </c>
      <c r="F163" s="150">
        <v>801.47445144127107</v>
      </c>
      <c r="G163" s="150">
        <v>252.76922405659792</v>
      </c>
      <c r="H163" s="151">
        <f t="shared" si="13"/>
        <v>5.8184002798064655E-2</v>
      </c>
      <c r="I163" s="151">
        <f t="shared" si="14"/>
        <v>0.13165874713368392</v>
      </c>
      <c r="J163" s="151">
        <f t="shared" si="15"/>
        <v>0</v>
      </c>
      <c r="K163" s="151">
        <f t="shared" si="16"/>
        <v>0.13296644769264329</v>
      </c>
      <c r="L163" s="151">
        <f t="shared" si="17"/>
        <v>0.24831218301939972</v>
      </c>
      <c r="M163" s="151">
        <f t="shared" si="18"/>
        <v>5.3769753967113559E-2</v>
      </c>
      <c r="N163" s="152">
        <f t="shared" si="19"/>
        <v>2.2852750120015135</v>
      </c>
      <c r="O163" s="152">
        <f t="shared" si="20"/>
        <v>1.8860287555924258</v>
      </c>
      <c r="P163" s="152" t="e">
        <f t="shared" si="20"/>
        <v>#DIV/0!</v>
      </c>
    </row>
    <row r="164" spans="1:16" x14ac:dyDescent="0.25">
      <c r="A164" s="149" t="s">
        <v>137</v>
      </c>
      <c r="B164" s="150">
        <v>45574922.761904821</v>
      </c>
      <c r="C164" s="150">
        <v>45574922.761904821</v>
      </c>
      <c r="D164" s="150">
        <v>0</v>
      </c>
      <c r="E164" s="150">
        <v>1227.3599304119482</v>
      </c>
      <c r="F164" s="150">
        <v>658.46213107631343</v>
      </c>
      <c r="G164" s="150">
        <v>568.89779903541717</v>
      </c>
      <c r="H164" s="151">
        <f t="shared" si="13"/>
        <v>0.14431334413762631</v>
      </c>
      <c r="I164" s="151">
        <f t="shared" si="14"/>
        <v>0.32655219940392349</v>
      </c>
      <c r="J164" s="151">
        <f t="shared" si="15"/>
        <v>0</v>
      </c>
      <c r="K164" s="151">
        <f t="shared" si="16"/>
        <v>0.15480072939118522</v>
      </c>
      <c r="L164" s="151">
        <f t="shared" si="17"/>
        <v>0.20400421861126095</v>
      </c>
      <c r="M164" s="151">
        <f t="shared" si="18"/>
        <v>0.12101748067129191</v>
      </c>
      <c r="N164" s="152">
        <f t="shared" si="19"/>
        <v>1.072670932242811</v>
      </c>
      <c r="O164" s="152">
        <f t="shared" si="20"/>
        <v>0.62472161872938792</v>
      </c>
      <c r="P164" s="152" t="e">
        <f t="shared" si="20"/>
        <v>#DIV/0!</v>
      </c>
    </row>
    <row r="165" spans="1:16" x14ac:dyDescent="0.25">
      <c r="A165" s="149" t="s">
        <v>117</v>
      </c>
      <c r="B165" s="150">
        <v>50699999.571428522</v>
      </c>
      <c r="C165" s="150">
        <v>18526086.527950309</v>
      </c>
      <c r="D165" s="150">
        <v>32173913.04347821</v>
      </c>
      <c r="E165" s="150">
        <v>1202.3333650743557</v>
      </c>
      <c r="F165" s="150">
        <v>230.13180120410101</v>
      </c>
      <c r="G165" s="150">
        <v>972.20156381467962</v>
      </c>
      <c r="H165" s="151">
        <f t="shared" si="13"/>
        <v>0.16054193935014072</v>
      </c>
      <c r="I165" s="151">
        <f t="shared" si="14"/>
        <v>0.13274261228384185</v>
      </c>
      <c r="J165" s="151">
        <f t="shared" si="15"/>
        <v>0.18255598156880448</v>
      </c>
      <c r="K165" s="151">
        <f t="shared" si="16"/>
        <v>0.15164425469096002</v>
      </c>
      <c r="L165" s="151">
        <f t="shared" si="17"/>
        <v>7.1299253315455391E-2</v>
      </c>
      <c r="M165" s="151">
        <f t="shared" si="18"/>
        <v>0.20680934986394306</v>
      </c>
      <c r="N165" s="152">
        <f t="shared" si="19"/>
        <v>0.94457719462467116</v>
      </c>
      <c r="O165" s="152">
        <f t="shared" si="20"/>
        <v>0.53712407861159983</v>
      </c>
      <c r="P165" s="152">
        <f t="shared" si="20"/>
        <v>1.1328544158713179</v>
      </c>
    </row>
    <row r="169" spans="1:16" x14ac:dyDescent="0.25">
      <c r="A169" s="149"/>
      <c r="B169" s="149" t="s">
        <v>32</v>
      </c>
      <c r="C169" s="149" t="s">
        <v>15</v>
      </c>
      <c r="D169" s="149" t="s">
        <v>17</v>
      </c>
      <c r="E169" s="149" t="s">
        <v>32</v>
      </c>
      <c r="F169" s="149" t="s">
        <v>15</v>
      </c>
      <c r="G169" s="149" t="s">
        <v>17</v>
      </c>
      <c r="H169" s="149" t="s">
        <v>32</v>
      </c>
      <c r="I169" s="149" t="s">
        <v>15</v>
      </c>
      <c r="J169" s="149" t="s">
        <v>17</v>
      </c>
      <c r="K169" s="149" t="s">
        <v>32</v>
      </c>
      <c r="L169" s="149" t="s">
        <v>15</v>
      </c>
      <c r="M169" s="149" t="s">
        <v>17</v>
      </c>
      <c r="N169" s="149" t="s">
        <v>32</v>
      </c>
      <c r="O169" s="149" t="s">
        <v>15</v>
      </c>
      <c r="P169" s="149" t="s">
        <v>17</v>
      </c>
    </row>
    <row r="170" spans="1:16" x14ac:dyDescent="0.25">
      <c r="A170" s="149"/>
      <c r="B170" s="149" t="s">
        <v>83</v>
      </c>
      <c r="C170" s="149"/>
      <c r="D170" s="149"/>
      <c r="E170" s="149" t="s">
        <v>132</v>
      </c>
      <c r="F170" s="149"/>
      <c r="G170" s="149"/>
      <c r="H170" s="149" t="s">
        <v>133</v>
      </c>
      <c r="I170" s="149"/>
      <c r="J170" s="149"/>
      <c r="K170" s="149" t="s">
        <v>134</v>
      </c>
      <c r="L170" s="149"/>
      <c r="M170" s="149"/>
      <c r="N170" s="149" t="s">
        <v>135</v>
      </c>
      <c r="O170" s="149"/>
      <c r="P170" s="149"/>
    </row>
    <row r="171" spans="1:16" x14ac:dyDescent="0.25">
      <c r="A171" s="149" t="s">
        <v>136</v>
      </c>
      <c r="B171" s="150">
        <v>187274202.16699222</v>
      </c>
      <c r="C171" s="150">
        <v>50075894</v>
      </c>
      <c r="D171" s="150">
        <v>137198308.16699219</v>
      </c>
      <c r="E171" s="150">
        <v>3861.6137817869162</v>
      </c>
      <c r="F171" s="150">
        <v>1179.9030195536679</v>
      </c>
      <c r="G171" s="150">
        <v>2681.7107617353417</v>
      </c>
      <c r="H171" s="151">
        <f t="shared" ref="H171:M173" si="21">B171/SUM(B$171:B$173)</f>
        <v>0.74357771985623811</v>
      </c>
      <c r="I171" s="151">
        <f t="shared" si="21"/>
        <v>0.66225486477343931</v>
      </c>
      <c r="J171" s="151">
        <f t="shared" si="21"/>
        <v>0.77846831323122478</v>
      </c>
      <c r="K171" s="151">
        <f t="shared" si="21"/>
        <v>0.68382962837713779</v>
      </c>
      <c r="L171" s="151">
        <f t="shared" si="21"/>
        <v>0.66745950562613643</v>
      </c>
      <c r="M171" s="151">
        <f t="shared" si="21"/>
        <v>0.69128932633960671</v>
      </c>
      <c r="N171" s="152">
        <f t="shared" ref="N171:P173" si="22">K171/H171</f>
        <v>0.91964781907309989</v>
      </c>
      <c r="O171" s="152">
        <f t="shared" si="22"/>
        <v>1.0078589696045157</v>
      </c>
      <c r="P171" s="152">
        <f t="shared" si="22"/>
        <v>0.88801215745087914</v>
      </c>
    </row>
    <row r="172" spans="1:16" x14ac:dyDescent="0.25">
      <c r="A172" s="149" t="s">
        <v>113</v>
      </c>
      <c r="B172" s="150">
        <v>13881383.987304689</v>
      </c>
      <c r="C172" s="150">
        <v>7012253</v>
      </c>
      <c r="D172" s="150">
        <v>6869130.9873046903</v>
      </c>
      <c r="E172" s="150">
        <v>583.09360940324666</v>
      </c>
      <c r="F172" s="150">
        <v>357.71739433251435</v>
      </c>
      <c r="G172" s="150">
        <v>225.37621479973859</v>
      </c>
      <c r="H172" s="151">
        <f t="shared" si="21"/>
        <v>5.5116442811086706E-2</v>
      </c>
      <c r="I172" s="151">
        <f t="shared" si="21"/>
        <v>9.2737209290205472E-2</v>
      </c>
      <c r="J172" s="151">
        <f t="shared" si="21"/>
        <v>3.8975705199970699E-2</v>
      </c>
      <c r="K172" s="151">
        <f t="shared" si="21"/>
        <v>0.10325649035849344</v>
      </c>
      <c r="L172" s="151">
        <f t="shared" si="21"/>
        <v>0.20235720327706952</v>
      </c>
      <c r="M172" s="151">
        <f t="shared" si="21"/>
        <v>5.8097306363145258E-2</v>
      </c>
      <c r="N172" s="152">
        <f t="shared" si="22"/>
        <v>1.8734244282129784</v>
      </c>
      <c r="O172" s="152">
        <f t="shared" si="22"/>
        <v>2.1820497384585593</v>
      </c>
      <c r="P172" s="152">
        <f t="shared" si="22"/>
        <v>1.4906030837689355</v>
      </c>
    </row>
    <row r="173" spans="1:16" x14ac:dyDescent="0.25">
      <c r="A173" s="149" t="s">
        <v>117</v>
      </c>
      <c r="B173" s="150">
        <v>50699999.571428522</v>
      </c>
      <c r="C173" s="150">
        <v>18526086.527950309</v>
      </c>
      <c r="D173" s="150">
        <v>32173913.04347821</v>
      </c>
      <c r="E173" s="150">
        <v>1202.3333650743557</v>
      </c>
      <c r="F173" s="150">
        <v>230.13180120410101</v>
      </c>
      <c r="G173" s="150">
        <v>972.20156381467962</v>
      </c>
      <c r="H173" s="151">
        <f t="shared" si="21"/>
        <v>0.20130583733267524</v>
      </c>
      <c r="I173" s="151">
        <f t="shared" si="21"/>
        <v>0.24500792593635509</v>
      </c>
      <c r="J173" s="151">
        <f t="shared" si="21"/>
        <v>0.18255598156880448</v>
      </c>
      <c r="K173" s="151">
        <f t="shared" si="21"/>
        <v>0.21291388126436894</v>
      </c>
      <c r="L173" s="151">
        <f t="shared" si="21"/>
        <v>0.13018329109679416</v>
      </c>
      <c r="M173" s="151">
        <f t="shared" si="21"/>
        <v>0.25061336729724804</v>
      </c>
      <c r="N173" s="152">
        <f t="shared" si="22"/>
        <v>1.0576637224508816</v>
      </c>
      <c r="O173" s="152">
        <f t="shared" si="22"/>
        <v>0.53134318246753964</v>
      </c>
      <c r="P173" s="152">
        <f t="shared" si="22"/>
        <v>1.3728028254324445</v>
      </c>
    </row>
  </sheetData>
  <autoFilter ref="A1:J1" xr:uid="{C90DC0FE-DE69-4526-B61E-C9A50664F4F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theme="1"/>
  </sheetPr>
  <dimension ref="A1:AX53"/>
  <sheetViews>
    <sheetView zoomScale="80" zoomScaleNormal="80" workbookViewId="0">
      <pane xSplit="5" ySplit="1" topLeftCell="F2" activePane="bottomRight" state="frozen"/>
      <selection pane="topRight" activeCell="AD32" sqref="AD32:AD69"/>
      <selection pane="bottomLeft" activeCell="AD32" sqref="AD32:AD69"/>
      <selection pane="bottomRight" activeCell="W2" sqref="W2:W38"/>
    </sheetView>
  </sheetViews>
  <sheetFormatPr defaultColWidth="8.7109375" defaultRowHeight="12.75" x14ac:dyDescent="0.2"/>
  <cols>
    <col min="1" max="1" width="8.42578125" style="1" bestFit="1" customWidth="1"/>
    <col min="2" max="3" width="8.42578125" style="1" customWidth="1"/>
    <col min="4" max="4" width="11.5703125" style="1" bestFit="1" customWidth="1"/>
    <col min="5" max="5" width="10.28515625" style="1" bestFit="1" customWidth="1"/>
    <col min="6" max="6" width="13.5703125" style="1" bestFit="1" customWidth="1"/>
    <col min="7" max="7" width="10.28515625" style="1" bestFit="1" customWidth="1"/>
    <col min="8" max="8" width="10.5703125" style="1" bestFit="1" customWidth="1"/>
    <col min="9" max="9" width="10" style="1" bestFit="1" customWidth="1"/>
    <col min="10" max="10" width="8.85546875" style="1" bestFit="1" customWidth="1"/>
    <col min="11" max="11" width="8.28515625" style="1" bestFit="1" customWidth="1"/>
    <col min="12" max="12" width="8.7109375" style="1" bestFit="1" customWidth="1"/>
    <col min="13" max="13" width="9" style="1" bestFit="1" customWidth="1"/>
    <col min="14" max="14" width="9.42578125" style="1" bestFit="1" customWidth="1"/>
    <col min="15" max="15" width="10" style="1" bestFit="1" customWidth="1"/>
    <col min="16" max="16" width="9.7109375" style="1" bestFit="1" customWidth="1"/>
    <col min="17" max="17" width="12" style="1" bestFit="1" customWidth="1"/>
    <col min="18" max="19" width="11" style="1" bestFit="1" customWidth="1"/>
    <col min="20" max="22" width="10.85546875" style="1" bestFit="1" customWidth="1"/>
    <col min="23" max="23" width="8.7109375" style="1" bestFit="1" customWidth="1"/>
    <col min="24" max="24" width="10" style="1" bestFit="1" customWidth="1"/>
    <col min="25" max="25" width="8.85546875" style="1" bestFit="1" customWidth="1"/>
    <col min="26" max="26" width="10" style="1" bestFit="1" customWidth="1"/>
    <col min="27" max="27" width="10.85546875" style="1" bestFit="1" customWidth="1"/>
    <col min="28" max="28" width="11" style="1" bestFit="1" customWidth="1"/>
    <col min="29" max="29" width="8.85546875" style="1" bestFit="1" customWidth="1"/>
    <col min="30" max="30" width="11" style="1" bestFit="1" customWidth="1"/>
    <col min="31" max="31" width="8.5703125" style="1" bestFit="1" customWidth="1"/>
    <col min="32" max="32" width="10.85546875" style="1" bestFit="1" customWidth="1"/>
    <col min="33" max="33" width="8.7109375" style="1"/>
    <col min="34" max="34" width="8" style="1" bestFit="1" customWidth="1"/>
    <col min="35" max="35" width="8.140625" style="1" bestFit="1" customWidth="1"/>
    <col min="36" max="36" width="7.7109375" style="1" bestFit="1" customWidth="1"/>
    <col min="37" max="37" width="8.5703125" style="1" bestFit="1" customWidth="1"/>
    <col min="38" max="38" width="12" style="1" bestFit="1" customWidth="1"/>
    <col min="39" max="40" width="10.85546875" style="1" bestFit="1" customWidth="1"/>
    <col min="41" max="41" width="12" style="1" bestFit="1" customWidth="1"/>
    <col min="42" max="42" width="8.5703125" style="1" bestFit="1" customWidth="1"/>
    <col min="43" max="43" width="8" style="1" bestFit="1" customWidth="1"/>
    <col min="44" max="44" width="8.5703125" style="1" bestFit="1" customWidth="1"/>
    <col min="45" max="45" width="7.140625" style="1" bestFit="1" customWidth="1"/>
    <col min="46" max="46" width="8.5703125" style="1" bestFit="1" customWidth="1"/>
    <col min="47" max="47" width="8.7109375" style="1"/>
    <col min="48" max="49" width="8.42578125" style="1" bestFit="1" customWidth="1"/>
    <col min="50" max="50" width="8" style="1" bestFit="1" customWidth="1"/>
    <col min="51" max="16384" width="8.7109375" style="1"/>
  </cols>
  <sheetData>
    <row r="1" spans="1:50" customFormat="1" ht="75" x14ac:dyDescent="0.25">
      <c r="A1" s="86" t="s">
        <v>138</v>
      </c>
      <c r="B1" s="86"/>
      <c r="C1" s="86"/>
      <c r="D1" s="55" t="s">
        <v>1</v>
      </c>
      <c r="E1" s="55" t="s">
        <v>139</v>
      </c>
      <c r="F1" s="55" t="s">
        <v>140</v>
      </c>
      <c r="G1" s="55" t="s">
        <v>36</v>
      </c>
      <c r="H1" s="55" t="s">
        <v>39</v>
      </c>
      <c r="I1" s="55" t="s">
        <v>41</v>
      </c>
      <c r="J1" s="55" t="s">
        <v>141</v>
      </c>
      <c r="K1" s="55" t="s">
        <v>142</v>
      </c>
      <c r="L1" s="55" t="s">
        <v>44</v>
      </c>
      <c r="M1" s="55" t="s">
        <v>143</v>
      </c>
      <c r="N1" s="55" t="s">
        <v>144</v>
      </c>
      <c r="O1" s="55" t="s">
        <v>48</v>
      </c>
      <c r="P1" s="55" t="s">
        <v>145</v>
      </c>
      <c r="Q1" s="55" t="s">
        <v>146</v>
      </c>
      <c r="R1" s="55" t="s">
        <v>147</v>
      </c>
      <c r="S1" s="55" t="s">
        <v>148</v>
      </c>
      <c r="T1" s="55" t="s">
        <v>149</v>
      </c>
      <c r="U1" s="55" t="s">
        <v>50</v>
      </c>
      <c r="V1" s="55" t="s">
        <v>51</v>
      </c>
      <c r="W1" s="55" t="s">
        <v>54</v>
      </c>
      <c r="X1" s="194" t="s">
        <v>55</v>
      </c>
      <c r="Y1" s="55" t="s">
        <v>150</v>
      </c>
      <c r="Z1" s="55" t="s">
        <v>56</v>
      </c>
      <c r="AA1" s="194" t="s">
        <v>57</v>
      </c>
      <c r="AB1" s="194" t="s">
        <v>59</v>
      </c>
      <c r="AC1" s="55" t="s">
        <v>58</v>
      </c>
      <c r="AD1" s="194" t="s">
        <v>62</v>
      </c>
      <c r="AE1" s="55" t="s">
        <v>61</v>
      </c>
      <c r="AF1" s="194" t="s">
        <v>151</v>
      </c>
      <c r="AG1" s="55" t="s">
        <v>152</v>
      </c>
      <c r="AH1" s="55" t="s">
        <v>153</v>
      </c>
      <c r="AI1" s="55" t="s">
        <v>154</v>
      </c>
      <c r="AJ1" s="55" t="s">
        <v>155</v>
      </c>
      <c r="AK1" s="55" t="s">
        <v>63</v>
      </c>
      <c r="AL1" s="55" t="s">
        <v>156</v>
      </c>
      <c r="AM1" s="55" t="s">
        <v>157</v>
      </c>
      <c r="AN1" s="55" t="s">
        <v>158</v>
      </c>
      <c r="AO1" s="55" t="s">
        <v>64</v>
      </c>
      <c r="AP1" s="55" t="s">
        <v>67</v>
      </c>
      <c r="AQ1" s="55" t="s">
        <v>70</v>
      </c>
      <c r="AR1" s="55" t="s">
        <v>159</v>
      </c>
      <c r="AS1" s="55" t="s">
        <v>160</v>
      </c>
      <c r="AT1" s="55" t="s">
        <v>161</v>
      </c>
      <c r="AU1" s="55" t="s">
        <v>71</v>
      </c>
      <c r="AV1" s="55" t="s">
        <v>72</v>
      </c>
      <c r="AW1" s="55" t="s">
        <v>73</v>
      </c>
      <c r="AX1" s="55" t="s">
        <v>162</v>
      </c>
    </row>
    <row r="2" spans="1:50" customFormat="1" ht="15" x14ac:dyDescent="0.25">
      <c r="A2" s="87" t="s">
        <v>163</v>
      </c>
      <c r="B2" s="4" t="s">
        <v>11</v>
      </c>
      <c r="C2" s="4"/>
      <c r="D2" s="193">
        <v>44440</v>
      </c>
      <c r="E2" s="57">
        <v>3309.9679999999998</v>
      </c>
      <c r="F2" s="57">
        <v>268358070</v>
      </c>
      <c r="G2" s="57">
        <v>81075.729000000007</v>
      </c>
      <c r="H2" s="57">
        <v>15727.3875062548</v>
      </c>
      <c r="I2" s="57">
        <v>75.557000000000002</v>
      </c>
      <c r="J2" s="57">
        <v>89.316000000000003</v>
      </c>
      <c r="K2" s="57">
        <v>57.873329499999997</v>
      </c>
      <c r="L2" s="57">
        <v>77.155250498757297</v>
      </c>
      <c r="M2" s="58">
        <v>0.14746771586798699</v>
      </c>
      <c r="N2" s="58">
        <v>0.14746771586798699</v>
      </c>
      <c r="O2" s="58">
        <v>0.14746771586798699</v>
      </c>
      <c r="P2" s="58">
        <v>0.14746771586798699</v>
      </c>
      <c r="Q2" s="57">
        <v>0</v>
      </c>
      <c r="R2" s="57">
        <v>0</v>
      </c>
      <c r="S2" s="57">
        <v>0</v>
      </c>
      <c r="T2" s="57">
        <v>0</v>
      </c>
      <c r="U2" s="57">
        <v>0</v>
      </c>
      <c r="V2" s="57">
        <v>0</v>
      </c>
      <c r="W2" s="57">
        <v>0</v>
      </c>
      <c r="X2" s="57">
        <v>0</v>
      </c>
      <c r="Y2" s="57">
        <v>0</v>
      </c>
      <c r="Z2" s="57">
        <v>0</v>
      </c>
      <c r="AA2" s="57">
        <v>0</v>
      </c>
      <c r="AB2" s="57">
        <v>0</v>
      </c>
      <c r="AC2" s="57">
        <v>0</v>
      </c>
      <c r="AD2" s="57">
        <v>0</v>
      </c>
      <c r="AE2" s="57">
        <v>0</v>
      </c>
      <c r="AF2" s="57">
        <v>0</v>
      </c>
      <c r="AG2" s="57">
        <v>0</v>
      </c>
      <c r="AH2" s="57">
        <v>468.20819533616299</v>
      </c>
      <c r="AI2" s="57">
        <v>268.21275275945698</v>
      </c>
      <c r="AJ2" s="57">
        <v>39.402785614132902</v>
      </c>
      <c r="AK2" s="57">
        <v>775.82373370975301</v>
      </c>
      <c r="AL2" s="57">
        <v>0</v>
      </c>
      <c r="AM2" s="57">
        <v>0</v>
      </c>
      <c r="AN2" s="57">
        <v>0</v>
      </c>
      <c r="AO2" s="57">
        <v>0</v>
      </c>
      <c r="AP2" s="59">
        <v>1.177877488</v>
      </c>
      <c r="AQ2" s="57">
        <v>12.1</v>
      </c>
      <c r="AR2" s="57">
        <v>8.4056111552988</v>
      </c>
      <c r="AS2" s="57">
        <v>16026.5949762</v>
      </c>
      <c r="AT2" s="57">
        <v>38.602874999999997</v>
      </c>
      <c r="AU2" s="57">
        <v>58.1</v>
      </c>
      <c r="AV2" s="57">
        <v>0</v>
      </c>
      <c r="AW2" s="57">
        <v>1</v>
      </c>
      <c r="AX2" s="57">
        <v>0</v>
      </c>
    </row>
    <row r="3" spans="1:50" customFormat="1" ht="15" x14ac:dyDescent="0.25">
      <c r="A3" s="87" t="s">
        <v>163</v>
      </c>
      <c r="B3" s="4" t="s">
        <v>11</v>
      </c>
      <c r="C3" s="4"/>
      <c r="D3" s="193">
        <v>44470</v>
      </c>
      <c r="E3" s="57">
        <v>3028.2979999999998</v>
      </c>
      <c r="F3" s="57">
        <v>248996747.59299999</v>
      </c>
      <c r="G3" s="57">
        <v>82223.331000000006</v>
      </c>
      <c r="H3" s="57">
        <v>15195.1631933478</v>
      </c>
      <c r="I3" s="57">
        <v>78.861999999999995</v>
      </c>
      <c r="J3" s="57">
        <v>91.332999999999998</v>
      </c>
      <c r="K3" s="57">
        <v>59.345454500000002</v>
      </c>
      <c r="L3" s="57">
        <v>79.372791137919606</v>
      </c>
      <c r="M3" s="58">
        <v>0.135400383678665</v>
      </c>
      <c r="N3" s="58">
        <v>0.135400383678665</v>
      </c>
      <c r="O3" s="58">
        <v>0.135400383678665</v>
      </c>
      <c r="P3" s="58">
        <v>0.135400383678665</v>
      </c>
      <c r="Q3" s="57">
        <v>0</v>
      </c>
      <c r="R3" s="57">
        <v>0</v>
      </c>
      <c r="S3" s="57">
        <v>0</v>
      </c>
      <c r="T3" s="57">
        <v>0</v>
      </c>
      <c r="U3" s="57">
        <v>0</v>
      </c>
      <c r="V3" s="57">
        <v>0</v>
      </c>
      <c r="W3" s="57">
        <v>0</v>
      </c>
      <c r="X3" s="57">
        <v>0</v>
      </c>
      <c r="Y3" s="57">
        <v>56</v>
      </c>
      <c r="Z3" s="57">
        <v>0</v>
      </c>
      <c r="AA3" s="57">
        <v>0</v>
      </c>
      <c r="AB3" s="57">
        <v>0</v>
      </c>
      <c r="AC3" s="57">
        <v>0</v>
      </c>
      <c r="AD3" s="57">
        <v>0</v>
      </c>
      <c r="AE3" s="57">
        <v>0</v>
      </c>
      <c r="AF3" s="57">
        <v>0</v>
      </c>
      <c r="AG3" s="57">
        <v>0</v>
      </c>
      <c r="AH3" s="57">
        <v>3.37702619284391</v>
      </c>
      <c r="AI3" s="57">
        <v>170.112766385078</v>
      </c>
      <c r="AJ3" s="57">
        <v>60.249909833073602</v>
      </c>
      <c r="AK3" s="57">
        <v>233.73970241099599</v>
      </c>
      <c r="AL3" s="57">
        <v>0</v>
      </c>
      <c r="AM3" s="57">
        <v>0</v>
      </c>
      <c r="AN3" s="57">
        <v>0</v>
      </c>
      <c r="AO3" s="57">
        <v>0</v>
      </c>
      <c r="AP3" s="59">
        <v>1.3410165000000001</v>
      </c>
      <c r="AQ3" s="57">
        <v>14.8</v>
      </c>
      <c r="AR3" s="57">
        <v>8.0766005069858995</v>
      </c>
      <c r="AS3" s="57">
        <v>16026.5949762</v>
      </c>
      <c r="AT3" s="57">
        <v>38.294674999999998</v>
      </c>
      <c r="AU3" s="57">
        <v>37.700000000000003</v>
      </c>
      <c r="AV3" s="57">
        <v>0</v>
      </c>
      <c r="AW3" s="57">
        <v>0</v>
      </c>
      <c r="AX3" s="57">
        <v>0</v>
      </c>
    </row>
    <row r="4" spans="1:50" customFormat="1" ht="15" x14ac:dyDescent="0.25">
      <c r="A4" s="87" t="s">
        <v>163</v>
      </c>
      <c r="B4" s="4" t="s">
        <v>11</v>
      </c>
      <c r="C4" s="4"/>
      <c r="D4" s="193">
        <v>44501</v>
      </c>
      <c r="E4" s="57">
        <v>2525.5610000000001</v>
      </c>
      <c r="F4" s="57">
        <v>212570823</v>
      </c>
      <c r="G4" s="57">
        <v>84167.763999999996</v>
      </c>
      <c r="H4" s="57">
        <v>15021.6500137779</v>
      </c>
      <c r="I4" s="57">
        <v>78.117999999999995</v>
      </c>
      <c r="J4" s="57">
        <v>91.82</v>
      </c>
      <c r="K4" s="57">
        <v>59.635036499999998</v>
      </c>
      <c r="L4" s="57">
        <v>80.879468189047103</v>
      </c>
      <c r="M4" s="58">
        <v>0.114954167193437</v>
      </c>
      <c r="N4" s="58">
        <v>0.114954167193437</v>
      </c>
      <c r="O4" s="58">
        <v>0.114954167193437</v>
      </c>
      <c r="P4" s="58">
        <v>0.114954167193437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7">
        <v>0</v>
      </c>
      <c r="X4" s="57">
        <v>0</v>
      </c>
      <c r="Y4" s="57">
        <v>96</v>
      </c>
      <c r="Z4" s="57">
        <v>0</v>
      </c>
      <c r="AA4" s="57">
        <v>0</v>
      </c>
      <c r="AB4" s="57">
        <v>0</v>
      </c>
      <c r="AC4" s="57">
        <v>0</v>
      </c>
      <c r="AD4" s="57">
        <v>0</v>
      </c>
      <c r="AE4" s="57">
        <v>0</v>
      </c>
      <c r="AF4" s="57">
        <v>0</v>
      </c>
      <c r="AG4" s="57">
        <v>0</v>
      </c>
      <c r="AH4" s="57">
        <v>581.69393175840401</v>
      </c>
      <c r="AI4" s="57">
        <v>174.699480950832</v>
      </c>
      <c r="AJ4" s="57">
        <v>5.5167764127254504</v>
      </c>
      <c r="AK4" s="57">
        <v>761.91018912196205</v>
      </c>
      <c r="AL4" s="57">
        <v>0</v>
      </c>
      <c r="AM4" s="57">
        <v>0</v>
      </c>
      <c r="AN4" s="57">
        <v>0</v>
      </c>
      <c r="AO4" s="57">
        <v>0</v>
      </c>
      <c r="AP4" s="59">
        <v>0.49877719199999998</v>
      </c>
      <c r="AQ4" s="57">
        <v>17.8</v>
      </c>
      <c r="AR4" s="57">
        <v>7.5276490552739999</v>
      </c>
      <c r="AS4" s="57">
        <v>16026.5949762</v>
      </c>
      <c r="AT4" s="57">
        <v>34.230894999999997</v>
      </c>
      <c r="AU4" s="57">
        <v>32.200000000000003</v>
      </c>
      <c r="AV4" s="57">
        <v>0</v>
      </c>
      <c r="AW4" s="57">
        <v>0</v>
      </c>
      <c r="AX4" s="57">
        <v>0</v>
      </c>
    </row>
    <row r="5" spans="1:50" customFormat="1" ht="15" x14ac:dyDescent="0.25">
      <c r="A5" s="87" t="s">
        <v>163</v>
      </c>
      <c r="B5" s="4" t="s">
        <v>11</v>
      </c>
      <c r="C5" s="4"/>
      <c r="D5" s="193">
        <v>44531</v>
      </c>
      <c r="E5" s="57">
        <v>2741.46</v>
      </c>
      <c r="F5" s="57">
        <v>260712553</v>
      </c>
      <c r="G5" s="57">
        <v>95099.892999999996</v>
      </c>
      <c r="H5" s="57">
        <v>14951.082065872601</v>
      </c>
      <c r="I5" s="57">
        <v>77.146000000000001</v>
      </c>
      <c r="J5" s="57">
        <v>91.677000000000007</v>
      </c>
      <c r="K5" s="57">
        <v>59.453170399999998</v>
      </c>
      <c r="L5" s="57">
        <v>80.035331751232704</v>
      </c>
      <c r="M5" s="58">
        <v>0</v>
      </c>
      <c r="N5" s="58">
        <v>0</v>
      </c>
      <c r="O5" s="58">
        <v>0</v>
      </c>
      <c r="P5" s="58">
        <v>0</v>
      </c>
      <c r="Q5" s="57">
        <v>0</v>
      </c>
      <c r="R5" s="57">
        <v>0</v>
      </c>
      <c r="S5" s="57">
        <v>0</v>
      </c>
      <c r="T5" s="57">
        <v>0</v>
      </c>
      <c r="U5" s="57">
        <v>0</v>
      </c>
      <c r="V5" s="57">
        <v>0</v>
      </c>
      <c r="W5" s="57">
        <v>0</v>
      </c>
      <c r="X5" s="57">
        <v>0</v>
      </c>
      <c r="Y5" s="57">
        <v>107</v>
      </c>
      <c r="Z5" s="57">
        <v>0</v>
      </c>
      <c r="AA5" s="57">
        <v>0</v>
      </c>
      <c r="AB5" s="57">
        <v>0</v>
      </c>
      <c r="AC5" s="57">
        <v>0</v>
      </c>
      <c r="AD5" s="57">
        <v>0</v>
      </c>
      <c r="AE5" s="57">
        <v>0</v>
      </c>
      <c r="AF5" s="57">
        <v>0</v>
      </c>
      <c r="AG5" s="57">
        <v>0</v>
      </c>
      <c r="AH5" s="57">
        <v>43.972822815179804</v>
      </c>
      <c r="AI5" s="57">
        <v>179.249939799309</v>
      </c>
      <c r="AJ5" s="57">
        <v>10.022853657603299</v>
      </c>
      <c r="AK5" s="57">
        <v>233.24561627209201</v>
      </c>
      <c r="AL5" s="57">
        <v>0</v>
      </c>
      <c r="AM5" s="57">
        <v>0</v>
      </c>
      <c r="AN5" s="57">
        <v>0</v>
      </c>
      <c r="AO5" s="57">
        <v>0</v>
      </c>
      <c r="AP5" s="59">
        <v>0.78140216399999995</v>
      </c>
      <c r="AQ5" s="57">
        <v>20</v>
      </c>
      <c r="AR5" s="57">
        <v>7.1898934478904</v>
      </c>
      <c r="AS5" s="57">
        <v>16026.5949762</v>
      </c>
      <c r="AT5" s="57">
        <v>33.701884999999997</v>
      </c>
      <c r="AU5" s="57">
        <v>31.6</v>
      </c>
      <c r="AV5" s="57">
        <v>0</v>
      </c>
      <c r="AW5" s="57">
        <v>0</v>
      </c>
      <c r="AX5" s="57">
        <v>1</v>
      </c>
    </row>
    <row r="6" spans="1:50" customFormat="1" ht="15" x14ac:dyDescent="0.25">
      <c r="A6" s="87" t="s">
        <v>163</v>
      </c>
      <c r="B6" s="4" t="s">
        <v>11</v>
      </c>
      <c r="C6" s="4"/>
      <c r="D6" s="193">
        <v>44562</v>
      </c>
      <c r="E6" s="57">
        <v>2120.7910000000002</v>
      </c>
      <c r="F6" s="57">
        <v>178952366</v>
      </c>
      <c r="G6" s="57">
        <v>84380.01</v>
      </c>
      <c r="H6" s="57">
        <v>15075.672614555901</v>
      </c>
      <c r="I6" s="57">
        <v>76.95</v>
      </c>
      <c r="J6" s="57">
        <v>89.608999999999995</v>
      </c>
      <c r="K6" s="57">
        <v>59.753444500000001</v>
      </c>
      <c r="L6" s="57">
        <v>78.478416445387197</v>
      </c>
      <c r="M6" s="58">
        <v>0.112722345544595</v>
      </c>
      <c r="N6" s="58">
        <v>0.112722345544595</v>
      </c>
      <c r="O6" s="58">
        <v>0.112722345544595</v>
      </c>
      <c r="P6" s="58">
        <v>0.112722345544595</v>
      </c>
      <c r="Q6" s="57">
        <v>0</v>
      </c>
      <c r="R6" s="57">
        <v>0</v>
      </c>
      <c r="S6" s="57">
        <v>0</v>
      </c>
      <c r="T6" s="57">
        <v>0</v>
      </c>
      <c r="U6" s="57">
        <v>0</v>
      </c>
      <c r="V6" s="57">
        <v>0</v>
      </c>
      <c r="W6" s="57">
        <v>0</v>
      </c>
      <c r="X6" s="57">
        <v>0</v>
      </c>
      <c r="Y6" s="57">
        <v>104</v>
      </c>
      <c r="Z6" s="57">
        <v>0</v>
      </c>
      <c r="AA6" s="57">
        <v>0</v>
      </c>
      <c r="AB6" s="57">
        <v>0</v>
      </c>
      <c r="AC6" s="57">
        <v>0</v>
      </c>
      <c r="AD6" s="57">
        <v>0</v>
      </c>
      <c r="AE6" s="57">
        <v>0</v>
      </c>
      <c r="AF6" s="57">
        <v>0</v>
      </c>
      <c r="AG6" s="57">
        <v>0</v>
      </c>
      <c r="AH6" s="57">
        <v>16.111890137195601</v>
      </c>
      <c r="AI6" s="57">
        <v>0</v>
      </c>
      <c r="AJ6" s="57">
        <v>0</v>
      </c>
      <c r="AK6" s="57">
        <v>16.111890137195601</v>
      </c>
      <c r="AL6" s="57">
        <v>4270269.4723317204</v>
      </c>
      <c r="AM6" s="57">
        <v>0</v>
      </c>
      <c r="AN6" s="57">
        <v>0</v>
      </c>
      <c r="AO6" s="57">
        <v>4270269.4723317204</v>
      </c>
      <c r="AP6" s="59">
        <v>1.2011129330000001</v>
      </c>
      <c r="AQ6" s="57">
        <v>21.4</v>
      </c>
      <c r="AR6" s="57">
        <v>7.2714648197559999</v>
      </c>
      <c r="AS6" s="57">
        <v>15268.746239116001</v>
      </c>
      <c r="AT6" s="57">
        <v>34.950890000000001</v>
      </c>
      <c r="AU6" s="57">
        <v>29.9</v>
      </c>
      <c r="AV6" s="57">
        <v>0</v>
      </c>
      <c r="AW6" s="57">
        <v>0</v>
      </c>
      <c r="AX6" s="57">
        <v>0</v>
      </c>
    </row>
    <row r="7" spans="1:50" customFormat="1" ht="15" x14ac:dyDescent="0.25">
      <c r="A7" s="87" t="s">
        <v>163</v>
      </c>
      <c r="B7" s="4" t="s">
        <v>11</v>
      </c>
      <c r="C7" s="4"/>
      <c r="D7" s="193">
        <v>44593</v>
      </c>
      <c r="E7" s="57">
        <v>2025.4739999999999</v>
      </c>
      <c r="F7" s="57">
        <v>176413263</v>
      </c>
      <c r="G7" s="57">
        <v>87097.274000000005</v>
      </c>
      <c r="H7" s="57">
        <v>15329.9301795997</v>
      </c>
      <c r="I7" s="57">
        <v>77.933999999999997</v>
      </c>
      <c r="J7" s="57">
        <v>89.950999999999993</v>
      </c>
      <c r="K7" s="57">
        <v>58.502907</v>
      </c>
      <c r="L7" s="57">
        <v>78.672439722451003</v>
      </c>
      <c r="M7" s="58">
        <v>8.4149610978005995E-2</v>
      </c>
      <c r="N7" s="58">
        <v>8.4149610978005995E-2</v>
      </c>
      <c r="O7" s="58">
        <v>8.4149610978005995E-2</v>
      </c>
      <c r="P7" s="58">
        <v>8.4149610978005995E-2</v>
      </c>
      <c r="Q7" s="57">
        <v>0</v>
      </c>
      <c r="R7" s="57">
        <v>0</v>
      </c>
      <c r="S7" s="57">
        <v>0</v>
      </c>
      <c r="T7" s="57">
        <v>0</v>
      </c>
      <c r="U7" s="57">
        <v>0</v>
      </c>
      <c r="V7" s="57">
        <v>0</v>
      </c>
      <c r="W7" s="57">
        <v>0</v>
      </c>
      <c r="X7" s="57">
        <v>0</v>
      </c>
      <c r="Y7" s="57">
        <v>110</v>
      </c>
      <c r="Z7" s="57">
        <v>0</v>
      </c>
      <c r="AA7" s="57">
        <v>0</v>
      </c>
      <c r="AB7" s="57">
        <v>0</v>
      </c>
      <c r="AC7" s="57">
        <v>0</v>
      </c>
      <c r="AD7" s="57">
        <v>0</v>
      </c>
      <c r="AE7" s="57">
        <v>0</v>
      </c>
      <c r="AF7" s="57">
        <v>0</v>
      </c>
      <c r="AG7" s="57">
        <v>0</v>
      </c>
      <c r="AH7" s="57">
        <v>2.6243679523468</v>
      </c>
      <c r="AI7" s="57">
        <v>0</v>
      </c>
      <c r="AJ7" s="57">
        <v>0</v>
      </c>
      <c r="AK7" s="57">
        <v>2.6243679523468</v>
      </c>
      <c r="AL7" s="57">
        <v>33047.971514168101</v>
      </c>
      <c r="AM7" s="57">
        <v>0</v>
      </c>
      <c r="AN7" s="57">
        <v>0</v>
      </c>
      <c r="AO7" s="57">
        <v>33047.971514168101</v>
      </c>
      <c r="AP7" s="59">
        <v>0.28933381699999999</v>
      </c>
      <c r="AQ7" s="57">
        <v>20.7</v>
      </c>
      <c r="AR7" s="57">
        <v>7.4985219215408003</v>
      </c>
      <c r="AS7" s="57">
        <v>15268.746239116001</v>
      </c>
      <c r="AT7" s="57">
        <v>35.472745000000003</v>
      </c>
      <c r="AU7" s="57">
        <v>29.4</v>
      </c>
      <c r="AV7" s="57">
        <v>0</v>
      </c>
      <c r="AW7" s="57">
        <v>0</v>
      </c>
      <c r="AX7" s="57">
        <v>0</v>
      </c>
    </row>
    <row r="8" spans="1:50" customFormat="1" ht="15" x14ac:dyDescent="0.25">
      <c r="A8" s="87" t="s">
        <v>163</v>
      </c>
      <c r="B8" s="4" t="s">
        <v>11</v>
      </c>
      <c r="C8" s="4"/>
      <c r="D8" s="193">
        <v>44621</v>
      </c>
      <c r="E8" s="57">
        <v>2782.846</v>
      </c>
      <c r="F8" s="57">
        <v>253028625</v>
      </c>
      <c r="G8" s="57">
        <v>90924.407999999996</v>
      </c>
      <c r="H8" s="57">
        <v>15728.3608935335</v>
      </c>
      <c r="I8" s="57">
        <v>76.572000000000003</v>
      </c>
      <c r="J8" s="57">
        <v>90.072999999999993</v>
      </c>
      <c r="K8" s="57">
        <v>60</v>
      </c>
      <c r="L8" s="57">
        <v>79.395652617142304</v>
      </c>
      <c r="M8" s="58">
        <v>0</v>
      </c>
      <c r="N8" s="58">
        <v>4.3906305972394699E-2</v>
      </c>
      <c r="O8" s="58">
        <v>0</v>
      </c>
      <c r="P8" s="58">
        <v>0</v>
      </c>
      <c r="Q8" s="57">
        <v>0</v>
      </c>
      <c r="R8" s="57">
        <v>0</v>
      </c>
      <c r="S8" s="57">
        <v>0</v>
      </c>
      <c r="T8" s="57">
        <v>0</v>
      </c>
      <c r="U8" s="57">
        <v>0</v>
      </c>
      <c r="V8" s="57">
        <v>0</v>
      </c>
      <c r="W8" s="57">
        <v>0</v>
      </c>
      <c r="X8" s="57">
        <v>0</v>
      </c>
      <c r="Y8" s="57">
        <v>122</v>
      </c>
      <c r="Z8" s="57">
        <v>0</v>
      </c>
      <c r="AA8" s="57">
        <v>0</v>
      </c>
      <c r="AB8" s="57">
        <v>0</v>
      </c>
      <c r="AC8" s="57">
        <v>0</v>
      </c>
      <c r="AD8" s="57">
        <v>0</v>
      </c>
      <c r="AE8" s="57">
        <v>0</v>
      </c>
      <c r="AF8" s="57">
        <v>0</v>
      </c>
      <c r="AG8" s="57">
        <v>0</v>
      </c>
      <c r="AH8" s="57">
        <v>0</v>
      </c>
      <c r="AI8" s="57">
        <v>0</v>
      </c>
      <c r="AJ8" s="57">
        <v>0</v>
      </c>
      <c r="AK8" s="57">
        <v>0</v>
      </c>
      <c r="AL8" s="57">
        <v>0</v>
      </c>
      <c r="AM8" s="57">
        <v>0</v>
      </c>
      <c r="AN8" s="57">
        <v>0</v>
      </c>
      <c r="AO8" s="57">
        <v>0</v>
      </c>
      <c r="AP8" s="59">
        <v>1.854507063</v>
      </c>
      <c r="AQ8" s="57">
        <v>18.899999999999999</v>
      </c>
      <c r="AR8" s="57">
        <v>7.7978651688704002</v>
      </c>
      <c r="AS8" s="57">
        <v>15268.746239116001</v>
      </c>
      <c r="AT8" s="57">
        <v>33.09346</v>
      </c>
      <c r="AU8" s="57">
        <v>29</v>
      </c>
      <c r="AV8" s="57">
        <v>0</v>
      </c>
      <c r="AW8" s="57">
        <v>0</v>
      </c>
      <c r="AX8" s="57">
        <v>0</v>
      </c>
    </row>
    <row r="9" spans="1:50" customFormat="1" ht="15" x14ac:dyDescent="0.25">
      <c r="A9" s="87" t="s">
        <v>163</v>
      </c>
      <c r="B9" s="4" t="s">
        <v>11</v>
      </c>
      <c r="C9" s="4"/>
      <c r="D9" s="193">
        <v>44652</v>
      </c>
      <c r="E9" s="57">
        <v>2487.2640000000001</v>
      </c>
      <c r="F9" s="57">
        <v>225519775</v>
      </c>
      <c r="G9" s="57">
        <v>90669.817999999999</v>
      </c>
      <c r="H9" s="57">
        <v>15970.924457150501</v>
      </c>
      <c r="I9" s="57">
        <v>74.960999999999999</v>
      </c>
      <c r="J9" s="57">
        <v>89.114000000000004</v>
      </c>
      <c r="K9" s="57">
        <v>61.594202899999999</v>
      </c>
      <c r="L9" s="57">
        <v>77.175023564727994</v>
      </c>
      <c r="M9" s="58">
        <v>0</v>
      </c>
      <c r="N9" s="58">
        <v>4.6583385745765198E-2</v>
      </c>
      <c r="O9" s="58">
        <v>0</v>
      </c>
      <c r="P9" s="58">
        <v>0</v>
      </c>
      <c r="Q9" s="57">
        <v>0</v>
      </c>
      <c r="R9" s="57">
        <v>0</v>
      </c>
      <c r="S9" s="57">
        <v>0</v>
      </c>
      <c r="T9" s="57">
        <v>0</v>
      </c>
      <c r="U9" s="57">
        <v>0</v>
      </c>
      <c r="V9" s="57">
        <v>0</v>
      </c>
      <c r="W9" s="57">
        <v>0</v>
      </c>
      <c r="X9" s="57">
        <v>0</v>
      </c>
      <c r="Y9" s="57">
        <v>141</v>
      </c>
      <c r="Z9" s="57">
        <v>0</v>
      </c>
      <c r="AA9" s="57">
        <v>0</v>
      </c>
      <c r="AB9" s="57">
        <v>0</v>
      </c>
      <c r="AC9" s="57">
        <v>0</v>
      </c>
      <c r="AD9" s="57">
        <v>0</v>
      </c>
      <c r="AE9" s="57">
        <v>0</v>
      </c>
      <c r="AF9" s="57">
        <v>0</v>
      </c>
      <c r="AG9" s="57">
        <v>0</v>
      </c>
      <c r="AH9" s="57">
        <v>0</v>
      </c>
      <c r="AI9" s="57">
        <v>0</v>
      </c>
      <c r="AJ9" s="57">
        <v>0</v>
      </c>
      <c r="AK9" s="57">
        <v>0</v>
      </c>
      <c r="AL9" s="57">
        <v>0</v>
      </c>
      <c r="AM9" s="57">
        <v>0</v>
      </c>
      <c r="AN9" s="57">
        <v>0</v>
      </c>
      <c r="AO9" s="57">
        <v>0</v>
      </c>
      <c r="AP9" s="59">
        <v>1.3982786190000001</v>
      </c>
      <c r="AQ9" s="57">
        <v>15</v>
      </c>
      <c r="AR9" s="57">
        <v>7.7474931765825001</v>
      </c>
      <c r="AS9" s="57">
        <v>15268.746239116001</v>
      </c>
      <c r="AT9" s="57">
        <v>31.407419999999998</v>
      </c>
      <c r="AU9" s="57">
        <v>27</v>
      </c>
      <c r="AV9" s="57">
        <v>0</v>
      </c>
      <c r="AW9" s="57">
        <v>0</v>
      </c>
      <c r="AX9" s="57">
        <v>0</v>
      </c>
    </row>
    <row r="10" spans="1:50" customFormat="1" ht="15" x14ac:dyDescent="0.25">
      <c r="A10" s="87" t="s">
        <v>163</v>
      </c>
      <c r="B10" s="4" t="s">
        <v>11</v>
      </c>
      <c r="C10" s="4"/>
      <c r="D10" s="193">
        <v>44682</v>
      </c>
      <c r="E10" s="57">
        <v>3227.268</v>
      </c>
      <c r="F10" s="57">
        <v>289506908</v>
      </c>
      <c r="G10" s="57">
        <v>89706.497000000003</v>
      </c>
      <c r="H10" s="57">
        <v>16601.2195611307</v>
      </c>
      <c r="I10" s="57">
        <v>77.554000000000002</v>
      </c>
      <c r="J10" s="57">
        <v>91.266999999999996</v>
      </c>
      <c r="K10" s="57">
        <v>62.807525300000002</v>
      </c>
      <c r="L10" s="57">
        <v>78.787091140835301</v>
      </c>
      <c r="M10" s="58">
        <v>0</v>
      </c>
      <c r="N10" s="58">
        <v>5.6712955502484001E-2</v>
      </c>
      <c r="O10" s="58">
        <v>5.6712955502484001E-2</v>
      </c>
      <c r="P10" s="58">
        <v>0</v>
      </c>
      <c r="Q10" s="57">
        <v>0</v>
      </c>
      <c r="R10" s="57">
        <v>0</v>
      </c>
      <c r="S10" s="57">
        <v>0</v>
      </c>
      <c r="T10" s="57">
        <v>0</v>
      </c>
      <c r="U10" s="57">
        <v>0</v>
      </c>
      <c r="V10" s="57">
        <v>0</v>
      </c>
      <c r="W10" s="57">
        <v>0</v>
      </c>
      <c r="X10" s="57">
        <v>0</v>
      </c>
      <c r="Y10" s="57">
        <v>222</v>
      </c>
      <c r="Z10" s="57">
        <v>0</v>
      </c>
      <c r="AA10" s="57">
        <v>0</v>
      </c>
      <c r="AB10" s="57">
        <v>0</v>
      </c>
      <c r="AC10" s="57">
        <v>0</v>
      </c>
      <c r="AD10" s="57">
        <v>0</v>
      </c>
      <c r="AE10" s="57">
        <v>0</v>
      </c>
      <c r="AF10" s="57">
        <v>0</v>
      </c>
      <c r="AG10" s="57">
        <v>0</v>
      </c>
      <c r="AH10" s="57">
        <v>0</v>
      </c>
      <c r="AI10" s="57">
        <v>0</v>
      </c>
      <c r="AJ10" s="57">
        <v>0</v>
      </c>
      <c r="AK10" s="57">
        <v>0</v>
      </c>
      <c r="AL10" s="57">
        <v>0</v>
      </c>
      <c r="AM10" s="57">
        <v>0</v>
      </c>
      <c r="AN10" s="57">
        <v>0</v>
      </c>
      <c r="AO10" s="57">
        <v>0</v>
      </c>
      <c r="AP10" s="59">
        <v>1.1988545859999999</v>
      </c>
      <c r="AQ10" s="57">
        <v>11.5</v>
      </c>
      <c r="AR10" s="57">
        <v>7.8039797578748997</v>
      </c>
      <c r="AS10" s="57">
        <v>15268.746239116001</v>
      </c>
      <c r="AT10" s="57">
        <v>29.804635000000001</v>
      </c>
      <c r="AU10" s="57">
        <v>27.1</v>
      </c>
      <c r="AV10" s="57">
        <v>0</v>
      </c>
      <c r="AW10" s="57">
        <v>0</v>
      </c>
      <c r="AX10" s="57">
        <v>0</v>
      </c>
    </row>
    <row r="11" spans="1:50" customFormat="1" ht="15" x14ac:dyDescent="0.25">
      <c r="A11" s="87" t="s">
        <v>163</v>
      </c>
      <c r="B11" s="4" t="s">
        <v>11</v>
      </c>
      <c r="C11" s="4"/>
      <c r="D11" s="193">
        <v>44713</v>
      </c>
      <c r="E11" s="57">
        <v>3720.3150000000001</v>
      </c>
      <c r="F11" s="57">
        <v>348664012</v>
      </c>
      <c r="G11" s="57">
        <v>93718.948999999993</v>
      </c>
      <c r="H11" s="57">
        <v>16463.3690657763</v>
      </c>
      <c r="I11" s="57">
        <v>76.739999999999995</v>
      </c>
      <c r="J11" s="57">
        <v>90.72</v>
      </c>
      <c r="K11" s="57">
        <v>70.404624299999995</v>
      </c>
      <c r="L11" s="57">
        <v>82.993615349299205</v>
      </c>
      <c r="M11" s="58">
        <v>0</v>
      </c>
      <c r="N11" s="58">
        <v>1.4520983740749401E-2</v>
      </c>
      <c r="O11" s="58">
        <v>0</v>
      </c>
      <c r="P11" s="58">
        <v>0</v>
      </c>
      <c r="Q11" s="57">
        <v>0</v>
      </c>
      <c r="R11" s="57">
        <v>0</v>
      </c>
      <c r="S11" s="57">
        <v>0</v>
      </c>
      <c r="T11" s="57">
        <v>0</v>
      </c>
      <c r="U11" s="57">
        <v>0</v>
      </c>
      <c r="V11" s="57">
        <v>0</v>
      </c>
      <c r="W11" s="57">
        <v>0</v>
      </c>
      <c r="X11" s="57">
        <v>0</v>
      </c>
      <c r="Y11" s="57">
        <v>187</v>
      </c>
      <c r="Z11" s="57">
        <v>0</v>
      </c>
      <c r="AA11" s="57">
        <v>0</v>
      </c>
      <c r="AB11" s="57">
        <v>0</v>
      </c>
      <c r="AC11" s="57">
        <v>0</v>
      </c>
      <c r="AD11" s="57">
        <v>0</v>
      </c>
      <c r="AE11" s="57">
        <v>0</v>
      </c>
      <c r="AF11" s="57">
        <v>0</v>
      </c>
      <c r="AG11" s="57">
        <v>0</v>
      </c>
      <c r="AH11" s="57">
        <v>0</v>
      </c>
      <c r="AI11" s="57">
        <v>95.603473067283602</v>
      </c>
      <c r="AJ11" s="57">
        <v>0</v>
      </c>
      <c r="AK11" s="57">
        <v>95.603473067283602</v>
      </c>
      <c r="AL11" s="57">
        <v>0</v>
      </c>
      <c r="AM11" s="57">
        <v>0</v>
      </c>
      <c r="AN11" s="57">
        <v>0</v>
      </c>
      <c r="AO11" s="57">
        <v>0</v>
      </c>
      <c r="AP11" s="59">
        <v>0.93263039800000003</v>
      </c>
      <c r="AQ11" s="57">
        <v>8.8000000000000007</v>
      </c>
      <c r="AR11" s="57">
        <v>7.8114737505624996</v>
      </c>
      <c r="AS11" s="57">
        <v>15268.746239116001</v>
      </c>
      <c r="AT11" s="57">
        <v>29.377175000000001</v>
      </c>
      <c r="AU11" s="57">
        <v>27</v>
      </c>
      <c r="AV11" s="57">
        <v>1</v>
      </c>
      <c r="AW11" s="57">
        <v>0</v>
      </c>
      <c r="AX11" s="57">
        <v>0</v>
      </c>
    </row>
    <row r="12" spans="1:50" customFormat="1" ht="15" x14ac:dyDescent="0.25">
      <c r="A12" s="87" t="s">
        <v>163</v>
      </c>
      <c r="B12" s="4" t="s">
        <v>11</v>
      </c>
      <c r="C12" s="4"/>
      <c r="D12" s="193">
        <v>44743</v>
      </c>
      <c r="E12" s="57">
        <v>2943.4389999999999</v>
      </c>
      <c r="F12" s="57">
        <v>272636324</v>
      </c>
      <c r="G12" s="57">
        <v>92625.096999999994</v>
      </c>
      <c r="H12" s="57">
        <v>16669.437776756498</v>
      </c>
      <c r="I12" s="57">
        <v>76.757000000000005</v>
      </c>
      <c r="J12" s="57">
        <v>89.424999999999997</v>
      </c>
      <c r="K12" s="57">
        <v>72.170151399999995</v>
      </c>
      <c r="L12" s="57">
        <v>82.864962930973505</v>
      </c>
      <c r="M12" s="58">
        <v>0</v>
      </c>
      <c r="N12" s="58">
        <v>2.6023120762081201E-2</v>
      </c>
      <c r="O12" s="58">
        <v>0</v>
      </c>
      <c r="P12" s="58">
        <v>0</v>
      </c>
      <c r="Q12" s="57">
        <v>0</v>
      </c>
      <c r="R12" s="57">
        <v>0</v>
      </c>
      <c r="S12" s="57">
        <v>0</v>
      </c>
      <c r="T12" s="57">
        <v>0</v>
      </c>
      <c r="U12" s="57">
        <v>0</v>
      </c>
      <c r="V12" s="57">
        <v>0</v>
      </c>
      <c r="W12" s="57">
        <v>0</v>
      </c>
      <c r="X12" s="57">
        <v>0</v>
      </c>
      <c r="Y12" s="57">
        <v>189</v>
      </c>
      <c r="Z12" s="57">
        <v>0</v>
      </c>
      <c r="AA12" s="57">
        <v>0</v>
      </c>
      <c r="AB12" s="57">
        <v>0</v>
      </c>
      <c r="AC12" s="57">
        <v>0</v>
      </c>
      <c r="AD12" s="57">
        <v>0</v>
      </c>
      <c r="AE12" s="57">
        <v>0</v>
      </c>
      <c r="AF12" s="57">
        <v>0</v>
      </c>
      <c r="AG12" s="57">
        <v>0</v>
      </c>
      <c r="AH12" s="57">
        <v>812.98695656657196</v>
      </c>
      <c r="AI12" s="57">
        <v>143.057518601418</v>
      </c>
      <c r="AJ12" s="57">
        <v>0</v>
      </c>
      <c r="AK12" s="57">
        <v>956.04447516798996</v>
      </c>
      <c r="AL12" s="57">
        <v>117087725.241722</v>
      </c>
      <c r="AM12" s="57">
        <v>0</v>
      </c>
      <c r="AN12" s="57">
        <v>0</v>
      </c>
      <c r="AO12" s="57">
        <v>117087725.241722</v>
      </c>
      <c r="AP12" s="59">
        <v>1.374756461</v>
      </c>
      <c r="AQ12" s="57">
        <v>8.1999999999999993</v>
      </c>
      <c r="AR12" s="57">
        <v>7.9188115449306</v>
      </c>
      <c r="AS12" s="57">
        <v>15268.746239116001</v>
      </c>
      <c r="AT12" s="57">
        <v>26.919255</v>
      </c>
      <c r="AU12" s="57">
        <v>27</v>
      </c>
      <c r="AV12" s="57">
        <v>0</v>
      </c>
      <c r="AW12" s="57">
        <v>0</v>
      </c>
      <c r="AX12" s="57">
        <v>0</v>
      </c>
    </row>
    <row r="13" spans="1:50" customFormat="1" ht="15" x14ac:dyDescent="0.25">
      <c r="A13" s="87" t="s">
        <v>163</v>
      </c>
      <c r="B13" s="4" t="s">
        <v>11</v>
      </c>
      <c r="C13" s="4"/>
      <c r="D13" s="193">
        <v>44774</v>
      </c>
      <c r="E13" s="57">
        <v>2856.8530000000001</v>
      </c>
      <c r="F13" s="57">
        <v>250400968</v>
      </c>
      <c r="G13" s="57">
        <v>87649.231</v>
      </c>
      <c r="H13" s="57">
        <v>17071.246564923</v>
      </c>
      <c r="I13" s="57">
        <v>76.034000000000006</v>
      </c>
      <c r="J13" s="57">
        <v>89.674999999999997</v>
      </c>
      <c r="K13" s="57">
        <v>71.305595400000001</v>
      </c>
      <c r="L13" s="57">
        <v>80.801766254540397</v>
      </c>
      <c r="M13" s="58">
        <v>7.8345640199616207E-2</v>
      </c>
      <c r="N13" s="58">
        <v>7.8345640199616207E-2</v>
      </c>
      <c r="O13" s="58">
        <v>7.8345640199616207E-2</v>
      </c>
      <c r="P13" s="58">
        <v>7.8345640199616207E-2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0</v>
      </c>
      <c r="W13" s="57">
        <v>0</v>
      </c>
      <c r="X13" s="57">
        <v>0</v>
      </c>
      <c r="Y13" s="57">
        <v>169</v>
      </c>
      <c r="Z13" s="57">
        <v>0</v>
      </c>
      <c r="AA13" s="57">
        <v>0</v>
      </c>
      <c r="AB13" s="57">
        <v>0</v>
      </c>
      <c r="AC13" s="57">
        <v>0</v>
      </c>
      <c r="AD13" s="57">
        <v>0</v>
      </c>
      <c r="AE13" s="57">
        <v>0</v>
      </c>
      <c r="AF13" s="57">
        <v>0</v>
      </c>
      <c r="AG13" s="57">
        <v>0</v>
      </c>
      <c r="AH13" s="57">
        <v>584.78638236969698</v>
      </c>
      <c r="AI13" s="57">
        <v>151.19718599319501</v>
      </c>
      <c r="AJ13" s="57">
        <v>44.969405710697202</v>
      </c>
      <c r="AK13" s="57">
        <v>780.95297407358896</v>
      </c>
      <c r="AL13" s="57">
        <v>109620415.514465</v>
      </c>
      <c r="AM13" s="57">
        <v>0</v>
      </c>
      <c r="AN13" s="57">
        <v>0</v>
      </c>
      <c r="AO13" s="57">
        <v>109620415.514465</v>
      </c>
      <c r="AP13" s="59">
        <v>1.2109226390000001</v>
      </c>
      <c r="AQ13" s="57">
        <v>9.6999999999999993</v>
      </c>
      <c r="AR13" s="57">
        <v>7.9293997650866999</v>
      </c>
      <c r="AS13" s="57">
        <v>15268.746239116001</v>
      </c>
      <c r="AT13" s="57">
        <v>26.222545</v>
      </c>
      <c r="AU13" s="57">
        <v>26.9</v>
      </c>
      <c r="AV13" s="57">
        <v>0</v>
      </c>
      <c r="AW13" s="57">
        <v>0</v>
      </c>
      <c r="AX13" s="57">
        <v>0</v>
      </c>
    </row>
    <row r="14" spans="1:50" customFormat="1" ht="15" x14ac:dyDescent="0.25">
      <c r="A14" s="87" t="s">
        <v>163</v>
      </c>
      <c r="B14" s="4" t="s">
        <v>15</v>
      </c>
      <c r="C14" s="4"/>
      <c r="D14" s="193">
        <v>44805</v>
      </c>
      <c r="E14" s="57">
        <v>3721.873</v>
      </c>
      <c r="F14" s="57">
        <v>318360950</v>
      </c>
      <c r="G14" s="57">
        <v>85537.832999999999</v>
      </c>
      <c r="H14" s="57">
        <v>18434.417778250499</v>
      </c>
      <c r="I14" s="57">
        <v>75.992999999999995</v>
      </c>
      <c r="J14" s="57">
        <v>89.911000000000001</v>
      </c>
      <c r="K14" s="57">
        <v>70.497427099999996</v>
      </c>
      <c r="L14" s="57">
        <v>78.881354609602397</v>
      </c>
      <c r="M14" s="58">
        <v>0.14928681098591501</v>
      </c>
      <c r="N14" s="58">
        <v>0.14928681098591501</v>
      </c>
      <c r="O14" s="58">
        <v>0.14928681098591501</v>
      </c>
      <c r="P14" s="58">
        <v>0.14928681098591501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57">
        <v>0</v>
      </c>
      <c r="W14" s="57">
        <v>0</v>
      </c>
      <c r="X14" s="57">
        <v>0</v>
      </c>
      <c r="Y14" s="57">
        <v>109</v>
      </c>
      <c r="Z14" s="57">
        <v>0</v>
      </c>
      <c r="AA14" s="57">
        <v>0</v>
      </c>
      <c r="AB14" s="57">
        <v>0</v>
      </c>
      <c r="AC14" s="57">
        <v>0</v>
      </c>
      <c r="AD14" s="57">
        <v>0</v>
      </c>
      <c r="AE14" s="57">
        <v>0</v>
      </c>
      <c r="AF14" s="57">
        <v>0</v>
      </c>
      <c r="AG14" s="57">
        <v>0</v>
      </c>
      <c r="AH14" s="57">
        <v>23.615302264690399</v>
      </c>
      <c r="AI14" s="57">
        <v>122.36849935352799</v>
      </c>
      <c r="AJ14" s="57">
        <v>122.168742567301</v>
      </c>
      <c r="AK14" s="57">
        <v>268.15254418551899</v>
      </c>
      <c r="AL14" s="57">
        <v>1748340.1651610499</v>
      </c>
      <c r="AM14" s="57">
        <v>0</v>
      </c>
      <c r="AN14" s="57">
        <v>117541.38097270401</v>
      </c>
      <c r="AO14" s="57">
        <v>1865881.5461337499</v>
      </c>
      <c r="AP14" s="59">
        <v>0.86452077000000005</v>
      </c>
      <c r="AQ14" s="57">
        <v>12.1</v>
      </c>
      <c r="AR14" s="57">
        <v>8.0400244066343998</v>
      </c>
      <c r="AS14" s="57">
        <v>15268.746239116001</v>
      </c>
      <c r="AT14" s="57">
        <v>25.805785</v>
      </c>
      <c r="AU14" s="57">
        <v>26.8</v>
      </c>
      <c r="AV14" s="57">
        <v>0</v>
      </c>
      <c r="AW14" s="57">
        <v>1</v>
      </c>
      <c r="AX14" s="57">
        <v>0</v>
      </c>
    </row>
    <row r="15" spans="1:50" customFormat="1" ht="15" x14ac:dyDescent="0.25">
      <c r="A15" s="87" t="s">
        <v>163</v>
      </c>
      <c r="B15" s="4" t="s">
        <v>15</v>
      </c>
      <c r="C15" s="4"/>
      <c r="D15" s="193">
        <v>44835</v>
      </c>
      <c r="E15" s="57">
        <v>2659.5039999999999</v>
      </c>
      <c r="F15" s="57">
        <v>233408531</v>
      </c>
      <c r="G15" s="57">
        <v>87763.933000000005</v>
      </c>
      <c r="H15" s="57">
        <v>17321.432961463299</v>
      </c>
      <c r="I15" s="57">
        <v>78.453000000000003</v>
      </c>
      <c r="J15" s="57">
        <v>89.152000000000001</v>
      </c>
      <c r="K15" s="57">
        <v>68.928571399999996</v>
      </c>
      <c r="L15" s="57">
        <v>75.060216132855601</v>
      </c>
      <c r="M15" s="58">
        <v>0.12714722007455501</v>
      </c>
      <c r="N15" s="58">
        <v>0.12714722007455501</v>
      </c>
      <c r="O15" s="58">
        <v>0.12714722007455501</v>
      </c>
      <c r="P15" s="58">
        <v>0.12714722007455501</v>
      </c>
      <c r="Q15" s="57">
        <v>0</v>
      </c>
      <c r="R15" s="57">
        <v>0</v>
      </c>
      <c r="S15" s="57">
        <v>0</v>
      </c>
      <c r="T15" s="57">
        <v>0</v>
      </c>
      <c r="U15" s="57">
        <v>0</v>
      </c>
      <c r="V15" s="57">
        <v>0</v>
      </c>
      <c r="W15" s="57">
        <v>0</v>
      </c>
      <c r="X15" s="57">
        <v>0</v>
      </c>
      <c r="Y15" s="57">
        <v>146</v>
      </c>
      <c r="Z15" s="57">
        <v>0</v>
      </c>
      <c r="AA15" s="57">
        <v>0</v>
      </c>
      <c r="AB15" s="57">
        <v>0</v>
      </c>
      <c r="AC15" s="57">
        <v>0</v>
      </c>
      <c r="AD15" s="57">
        <v>0</v>
      </c>
      <c r="AE15" s="57">
        <v>0</v>
      </c>
      <c r="AF15" s="57">
        <v>0</v>
      </c>
      <c r="AG15" s="57">
        <v>0</v>
      </c>
      <c r="AH15" s="57">
        <v>866.21580457687401</v>
      </c>
      <c r="AI15" s="57">
        <v>239.35256373882299</v>
      </c>
      <c r="AJ15" s="57">
        <v>54.885873660445199</v>
      </c>
      <c r="AK15" s="57">
        <v>1160.4542419761401</v>
      </c>
      <c r="AL15" s="57">
        <v>144893469.767023</v>
      </c>
      <c r="AM15" s="57">
        <v>12648817.731308</v>
      </c>
      <c r="AN15" s="57">
        <v>232111.85398403101</v>
      </c>
      <c r="AO15" s="57">
        <v>157774399.35231501</v>
      </c>
      <c r="AP15" s="59">
        <v>0.51706151499999997</v>
      </c>
      <c r="AQ15" s="57">
        <v>14.8</v>
      </c>
      <c r="AR15" s="57">
        <v>7.9683805988207004</v>
      </c>
      <c r="AS15" s="57">
        <v>15268.746239116001</v>
      </c>
      <c r="AT15" s="57">
        <v>26.849720000000001</v>
      </c>
      <c r="AU15" s="57">
        <v>14.3</v>
      </c>
      <c r="AV15" s="57">
        <v>0</v>
      </c>
      <c r="AW15" s="57">
        <v>0</v>
      </c>
      <c r="AX15" s="57">
        <v>0</v>
      </c>
    </row>
    <row r="16" spans="1:50" customFormat="1" ht="15" x14ac:dyDescent="0.25">
      <c r="A16" s="87" t="s">
        <v>163</v>
      </c>
      <c r="B16" s="4" t="s">
        <v>15</v>
      </c>
      <c r="C16" s="4"/>
      <c r="D16" s="193">
        <v>44866</v>
      </c>
      <c r="E16" s="57">
        <v>2149.636</v>
      </c>
      <c r="F16" s="57">
        <v>202086883</v>
      </c>
      <c r="G16" s="57">
        <v>94009.815000000002</v>
      </c>
      <c r="H16" s="57">
        <v>17639.501499488499</v>
      </c>
      <c r="I16" s="57">
        <v>78.061000000000007</v>
      </c>
      <c r="J16" s="57">
        <v>90.135999999999996</v>
      </c>
      <c r="K16" s="57">
        <v>69.714285700000005</v>
      </c>
      <c r="L16" s="57">
        <v>76.420714904506895</v>
      </c>
      <c r="M16" s="58">
        <v>0</v>
      </c>
      <c r="N16" s="58">
        <v>6.5029043729993505E-2</v>
      </c>
      <c r="O16" s="58">
        <v>6.5029043729993505E-2</v>
      </c>
      <c r="P16" s="58">
        <v>6.5029043729993505E-2</v>
      </c>
      <c r="Q16" s="57">
        <v>0</v>
      </c>
      <c r="R16" s="57">
        <v>0</v>
      </c>
      <c r="S16" s="57">
        <v>0</v>
      </c>
      <c r="T16" s="57">
        <v>0</v>
      </c>
      <c r="U16" s="57">
        <v>0</v>
      </c>
      <c r="V16" s="57">
        <v>0</v>
      </c>
      <c r="W16" s="57">
        <v>0</v>
      </c>
      <c r="X16" s="57">
        <v>0</v>
      </c>
      <c r="Y16" s="57">
        <v>73</v>
      </c>
      <c r="Z16" s="57">
        <v>0</v>
      </c>
      <c r="AA16" s="57">
        <v>0</v>
      </c>
      <c r="AB16" s="57">
        <v>0</v>
      </c>
      <c r="AC16" s="57">
        <v>0</v>
      </c>
      <c r="AD16" s="57">
        <v>0</v>
      </c>
      <c r="AE16" s="57">
        <v>0</v>
      </c>
      <c r="AF16" s="57">
        <v>0</v>
      </c>
      <c r="AG16" s="57">
        <v>0</v>
      </c>
      <c r="AH16" s="57">
        <v>168.28169582039101</v>
      </c>
      <c r="AI16" s="57">
        <v>629.25394311547302</v>
      </c>
      <c r="AJ16" s="57">
        <v>0</v>
      </c>
      <c r="AK16" s="57">
        <v>797.53563893586397</v>
      </c>
      <c r="AL16" s="57">
        <v>23249681.588681601</v>
      </c>
      <c r="AM16" s="57">
        <v>45451026.529362597</v>
      </c>
      <c r="AN16" s="57">
        <v>0</v>
      </c>
      <c r="AO16" s="57">
        <v>68700708.118044302</v>
      </c>
      <c r="AP16" s="59">
        <v>0.97524505800000005</v>
      </c>
      <c r="AQ16" s="57">
        <v>17.8</v>
      </c>
      <c r="AR16" s="57">
        <v>7.9488231355873999</v>
      </c>
      <c r="AS16" s="57">
        <v>15268.746239116001</v>
      </c>
      <c r="AT16" s="57">
        <v>26.413865000000001</v>
      </c>
      <c r="AU16" s="57">
        <v>14</v>
      </c>
      <c r="AV16" s="57">
        <v>0</v>
      </c>
      <c r="AW16" s="57">
        <v>0</v>
      </c>
      <c r="AX16" s="57">
        <v>0</v>
      </c>
    </row>
    <row r="17" spans="1:50" customFormat="1" ht="15" x14ac:dyDescent="0.25">
      <c r="A17" s="87" t="s">
        <v>163</v>
      </c>
      <c r="B17" s="4" t="s">
        <v>15</v>
      </c>
      <c r="C17" s="4"/>
      <c r="D17" s="193">
        <v>44896</v>
      </c>
      <c r="E17" s="57">
        <v>2506.8000000000002</v>
      </c>
      <c r="F17" s="57">
        <v>242719844</v>
      </c>
      <c r="G17" s="57">
        <v>96824.574999999997</v>
      </c>
      <c r="H17" s="57">
        <v>18202.7902207882</v>
      </c>
      <c r="I17" s="57">
        <v>76.557000000000002</v>
      </c>
      <c r="J17" s="57">
        <v>90.326999999999998</v>
      </c>
      <c r="K17" s="57">
        <v>70.285714299999995</v>
      </c>
      <c r="L17" s="57">
        <v>79.252471412558194</v>
      </c>
      <c r="M17" s="58">
        <v>0</v>
      </c>
      <c r="N17" s="58">
        <v>3.70349576989705E-2</v>
      </c>
      <c r="O17" s="58">
        <v>0</v>
      </c>
      <c r="P17" s="58">
        <v>0</v>
      </c>
      <c r="Q17" s="57">
        <v>0</v>
      </c>
      <c r="R17" s="57">
        <v>0</v>
      </c>
      <c r="S17" s="57">
        <v>0</v>
      </c>
      <c r="T17" s="57">
        <v>0</v>
      </c>
      <c r="U17" s="57">
        <v>0</v>
      </c>
      <c r="V17" s="57">
        <v>0</v>
      </c>
      <c r="W17" s="57">
        <v>0</v>
      </c>
      <c r="X17" s="57">
        <v>0</v>
      </c>
      <c r="Y17" s="57">
        <v>135</v>
      </c>
      <c r="Z17" s="57">
        <v>0</v>
      </c>
      <c r="AA17" s="57">
        <v>0</v>
      </c>
      <c r="AB17" s="57">
        <v>0</v>
      </c>
      <c r="AC17" s="57">
        <v>0</v>
      </c>
      <c r="AD17" s="57">
        <v>0</v>
      </c>
      <c r="AE17" s="57">
        <v>0</v>
      </c>
      <c r="AF17" s="57">
        <v>0</v>
      </c>
      <c r="AG17" s="57">
        <v>0</v>
      </c>
      <c r="AH17" s="57">
        <v>7.5850769802927998</v>
      </c>
      <c r="AI17" s="57">
        <v>394.18275453895302</v>
      </c>
      <c r="AJ17" s="57">
        <v>0</v>
      </c>
      <c r="AK17" s="57">
        <v>401.76783151924599</v>
      </c>
      <c r="AL17" s="57">
        <v>542905.78375459602</v>
      </c>
      <c r="AM17" s="57">
        <v>40322277.529295199</v>
      </c>
      <c r="AN17" s="57">
        <v>0</v>
      </c>
      <c r="AO17" s="57">
        <v>40865183.313049801</v>
      </c>
      <c r="AP17" s="59">
        <v>0.28363458699999999</v>
      </c>
      <c r="AQ17" s="57">
        <v>20</v>
      </c>
      <c r="AR17" s="57">
        <v>7.8627488308129001</v>
      </c>
      <c r="AS17" s="57">
        <v>15268.746239116001</v>
      </c>
      <c r="AT17" s="57">
        <v>27.182849999999998</v>
      </c>
      <c r="AU17" s="57">
        <v>13.9</v>
      </c>
      <c r="AV17" s="57">
        <v>0</v>
      </c>
      <c r="AW17" s="57">
        <v>0</v>
      </c>
      <c r="AX17" s="57">
        <v>1</v>
      </c>
    </row>
    <row r="18" spans="1:50" customFormat="1" ht="15" x14ac:dyDescent="0.25">
      <c r="A18" s="87" t="s">
        <v>163</v>
      </c>
      <c r="B18" s="4" t="s">
        <v>15</v>
      </c>
      <c r="C18" s="4"/>
      <c r="D18" s="193">
        <v>44927</v>
      </c>
      <c r="E18" s="57">
        <v>1772.6769999999999</v>
      </c>
      <c r="F18" s="57">
        <v>160459373</v>
      </c>
      <c r="G18" s="57">
        <v>90518.111000000004</v>
      </c>
      <c r="H18" s="57">
        <v>17885.538256979002</v>
      </c>
      <c r="I18" s="57">
        <v>75.703999999999994</v>
      </c>
      <c r="J18" s="57">
        <v>90.173000000000002</v>
      </c>
      <c r="K18" s="57">
        <v>70.558739299999999</v>
      </c>
      <c r="L18" s="57">
        <v>80.413986662390798</v>
      </c>
      <c r="M18" s="58">
        <v>9.9755649966712504E-2</v>
      </c>
      <c r="N18" s="58">
        <v>9.9755649966712504E-2</v>
      </c>
      <c r="O18" s="58">
        <v>9.9755649966712504E-2</v>
      </c>
      <c r="P18" s="58">
        <v>9.9755649966712504E-2</v>
      </c>
      <c r="Q18" s="57">
        <v>0</v>
      </c>
      <c r="R18" s="57">
        <v>0</v>
      </c>
      <c r="S18" s="57">
        <v>0</v>
      </c>
      <c r="T18" s="57">
        <v>0</v>
      </c>
      <c r="U18" s="57">
        <v>0</v>
      </c>
      <c r="V18" s="57">
        <v>0</v>
      </c>
      <c r="W18" s="57">
        <v>0</v>
      </c>
      <c r="X18" s="57">
        <v>0</v>
      </c>
      <c r="Y18" s="57">
        <v>126</v>
      </c>
      <c r="Z18" s="57">
        <v>0</v>
      </c>
      <c r="AA18" s="57">
        <v>0</v>
      </c>
      <c r="AB18" s="57">
        <v>0</v>
      </c>
      <c r="AC18" s="57">
        <v>0</v>
      </c>
      <c r="AD18" s="57">
        <v>0</v>
      </c>
      <c r="AE18" s="57">
        <v>0</v>
      </c>
      <c r="AF18" s="57">
        <v>0</v>
      </c>
      <c r="AG18" s="57">
        <v>0</v>
      </c>
      <c r="AH18" s="57">
        <v>0</v>
      </c>
      <c r="AI18" s="57">
        <v>0.30961939692497298</v>
      </c>
      <c r="AJ18" s="57">
        <v>0</v>
      </c>
      <c r="AK18" s="57">
        <v>0.30961939692497298</v>
      </c>
      <c r="AL18" s="57">
        <v>0</v>
      </c>
      <c r="AM18" s="57">
        <v>35093.7912</v>
      </c>
      <c r="AN18" s="57">
        <v>0</v>
      </c>
      <c r="AO18" s="57">
        <v>35093.7912</v>
      </c>
      <c r="AP18" s="59">
        <v>0.805109678</v>
      </c>
      <c r="AQ18" s="57">
        <v>21.4</v>
      </c>
      <c r="AR18" s="57">
        <v>8.0372443026616001</v>
      </c>
      <c r="AS18" s="57">
        <v>16832.887967938001</v>
      </c>
      <c r="AT18" s="57">
        <v>27.889939999999999</v>
      </c>
      <c r="AU18" s="57">
        <v>0</v>
      </c>
      <c r="AV18" s="57">
        <v>0</v>
      </c>
      <c r="AW18" s="57">
        <v>0</v>
      </c>
      <c r="AX18" s="57">
        <v>0</v>
      </c>
    </row>
    <row r="19" spans="1:50" customFormat="1" ht="15" x14ac:dyDescent="0.25">
      <c r="A19" s="87" t="s">
        <v>163</v>
      </c>
      <c r="B19" s="4" t="s">
        <v>15</v>
      </c>
      <c r="C19" s="4"/>
      <c r="D19" s="193">
        <v>44958</v>
      </c>
      <c r="E19" s="57">
        <v>1399.56</v>
      </c>
      <c r="F19" s="57">
        <v>135508963</v>
      </c>
      <c r="G19" s="57">
        <v>96822.546000000002</v>
      </c>
      <c r="H19" s="57">
        <v>17005.583659805099</v>
      </c>
      <c r="I19" s="57">
        <v>76.778000000000006</v>
      </c>
      <c r="J19" s="57">
        <v>89.367999999999995</v>
      </c>
      <c r="K19" s="57">
        <v>69.010042999999996</v>
      </c>
      <c r="L19" s="57">
        <v>77.998475378470502</v>
      </c>
      <c r="M19" s="58">
        <v>0</v>
      </c>
      <c r="N19" s="58">
        <v>3.7055137039502799E-2</v>
      </c>
      <c r="O19" s="58">
        <v>0</v>
      </c>
      <c r="P19" s="58">
        <v>0</v>
      </c>
      <c r="Q19" s="57">
        <v>0</v>
      </c>
      <c r="R19" s="57">
        <v>0</v>
      </c>
      <c r="S19" s="57">
        <v>0</v>
      </c>
      <c r="T19" s="57">
        <v>0</v>
      </c>
      <c r="U19" s="57">
        <v>0</v>
      </c>
      <c r="V19" s="57">
        <v>0</v>
      </c>
      <c r="W19" s="57">
        <v>0</v>
      </c>
      <c r="X19" s="57">
        <v>0</v>
      </c>
      <c r="Y19" s="57">
        <v>113</v>
      </c>
      <c r="Z19" s="57">
        <v>0</v>
      </c>
      <c r="AA19" s="57">
        <v>0</v>
      </c>
      <c r="AB19" s="57">
        <v>0</v>
      </c>
      <c r="AC19" s="57">
        <v>0</v>
      </c>
      <c r="AD19" s="57">
        <v>0</v>
      </c>
      <c r="AE19" s="57">
        <v>0</v>
      </c>
      <c r="AF19" s="57">
        <v>0</v>
      </c>
      <c r="AG19" s="57">
        <v>0</v>
      </c>
      <c r="AH19" s="57">
        <v>0</v>
      </c>
      <c r="AI19" s="57">
        <v>0</v>
      </c>
      <c r="AJ19" s="57">
        <v>0</v>
      </c>
      <c r="AK19" s="57">
        <v>0</v>
      </c>
      <c r="AL19" s="57">
        <v>0</v>
      </c>
      <c r="AM19" s="57">
        <v>0</v>
      </c>
      <c r="AN19" s="57">
        <v>0</v>
      </c>
      <c r="AO19" s="57">
        <v>0</v>
      </c>
      <c r="AP19" s="59">
        <v>0.265100328</v>
      </c>
      <c r="AQ19" s="57">
        <v>20.7</v>
      </c>
      <c r="AR19" s="57">
        <v>8.3676406179057992</v>
      </c>
      <c r="AS19" s="57">
        <v>16832.887967938001</v>
      </c>
      <c r="AT19" s="57">
        <v>27.294274999999999</v>
      </c>
      <c r="AU19" s="57">
        <v>0</v>
      </c>
      <c r="AV19" s="57">
        <v>0</v>
      </c>
      <c r="AW19" s="57">
        <v>0</v>
      </c>
      <c r="AX19" s="57">
        <v>0</v>
      </c>
    </row>
    <row r="20" spans="1:50" customFormat="1" ht="15" x14ac:dyDescent="0.25">
      <c r="A20" s="87" t="s">
        <v>163</v>
      </c>
      <c r="B20" s="4" t="s">
        <v>15</v>
      </c>
      <c r="C20" s="4"/>
      <c r="D20" s="193">
        <v>44986</v>
      </c>
      <c r="E20" s="57">
        <v>2456.0509999999999</v>
      </c>
      <c r="F20" s="57">
        <v>225901821</v>
      </c>
      <c r="G20" s="57">
        <v>91977.659</v>
      </c>
      <c r="H20" s="57">
        <v>18192.8016550416</v>
      </c>
      <c r="I20" s="57">
        <v>76.503</v>
      </c>
      <c r="J20" s="57">
        <v>90.572999999999993</v>
      </c>
      <c r="K20" s="57">
        <v>69.672601999999998</v>
      </c>
      <c r="L20" s="57">
        <v>79.387473728966299</v>
      </c>
      <c r="M20" s="58">
        <v>8.52397721375521E-2</v>
      </c>
      <c r="N20" s="58">
        <v>8.52397721375521E-2</v>
      </c>
      <c r="O20" s="58">
        <v>8.52397721375521E-2</v>
      </c>
      <c r="P20" s="58">
        <v>8.52397721375521E-2</v>
      </c>
      <c r="Q20" s="57">
        <v>0</v>
      </c>
      <c r="R20" s="57">
        <v>0</v>
      </c>
      <c r="S20" s="57">
        <v>0</v>
      </c>
      <c r="T20" s="57">
        <v>0</v>
      </c>
      <c r="U20" s="57">
        <v>0</v>
      </c>
      <c r="V20" s="57">
        <v>0</v>
      </c>
      <c r="W20" s="57">
        <v>0</v>
      </c>
      <c r="X20" s="57">
        <v>0</v>
      </c>
      <c r="Y20" s="57">
        <v>130</v>
      </c>
      <c r="Z20" s="57">
        <v>0</v>
      </c>
      <c r="AA20" s="57">
        <v>0</v>
      </c>
      <c r="AB20" s="57">
        <v>0</v>
      </c>
      <c r="AC20" s="57">
        <v>0</v>
      </c>
      <c r="AD20" s="57">
        <v>0</v>
      </c>
      <c r="AE20" s="57">
        <v>0</v>
      </c>
      <c r="AF20" s="57">
        <v>0</v>
      </c>
      <c r="AG20" s="57">
        <v>0</v>
      </c>
      <c r="AH20" s="57">
        <v>0</v>
      </c>
      <c r="AI20" s="57">
        <v>0</v>
      </c>
      <c r="AJ20" s="57">
        <v>0</v>
      </c>
      <c r="AK20" s="57">
        <v>0</v>
      </c>
      <c r="AL20" s="57">
        <v>0</v>
      </c>
      <c r="AM20" s="57">
        <v>0</v>
      </c>
      <c r="AN20" s="57">
        <v>0</v>
      </c>
      <c r="AO20" s="57">
        <v>0</v>
      </c>
      <c r="AP20" s="59">
        <v>0.72546168300000002</v>
      </c>
      <c r="AQ20" s="57">
        <v>18.899999999999999</v>
      </c>
      <c r="AR20" s="57">
        <v>8.8084787609359996</v>
      </c>
      <c r="AS20" s="57">
        <v>16832.887967938001</v>
      </c>
      <c r="AT20" s="57">
        <v>28.839040000000001</v>
      </c>
      <c r="AU20" s="57">
        <v>0</v>
      </c>
      <c r="AV20" s="57">
        <v>0</v>
      </c>
      <c r="AW20" s="57">
        <v>0</v>
      </c>
      <c r="AX20" s="57">
        <v>0</v>
      </c>
    </row>
    <row r="21" spans="1:50" customFormat="1" ht="15" x14ac:dyDescent="0.25">
      <c r="A21" s="87" t="s">
        <v>163</v>
      </c>
      <c r="B21" s="4" t="s">
        <v>15</v>
      </c>
      <c r="C21" s="4"/>
      <c r="D21" s="193">
        <v>45017</v>
      </c>
      <c r="E21" s="57">
        <v>2132.3560000000002</v>
      </c>
      <c r="F21" s="57">
        <v>214404942</v>
      </c>
      <c r="G21" s="57">
        <v>100548.38</v>
      </c>
      <c r="H21" s="57">
        <v>18707.710042154598</v>
      </c>
      <c r="I21" s="57">
        <v>76.123999999999995</v>
      </c>
      <c r="J21" s="57">
        <v>90.132000000000005</v>
      </c>
      <c r="K21" s="57">
        <v>69.956772299999997</v>
      </c>
      <c r="L21" s="57">
        <v>79.690670662533094</v>
      </c>
      <c r="M21" s="58">
        <v>0</v>
      </c>
      <c r="N21" s="58">
        <v>0</v>
      </c>
      <c r="O21" s="58">
        <v>0</v>
      </c>
      <c r="P21" s="58">
        <v>0</v>
      </c>
      <c r="Q21" s="57">
        <v>0</v>
      </c>
      <c r="R21" s="57">
        <v>0</v>
      </c>
      <c r="S21" s="57">
        <v>0</v>
      </c>
      <c r="T21" s="57">
        <v>0</v>
      </c>
      <c r="U21" s="57">
        <v>0</v>
      </c>
      <c r="V21" s="57">
        <v>0</v>
      </c>
      <c r="W21" s="57">
        <v>0</v>
      </c>
      <c r="X21" s="57">
        <v>0</v>
      </c>
      <c r="Y21" s="57">
        <v>203</v>
      </c>
      <c r="Z21" s="57">
        <v>0</v>
      </c>
      <c r="AA21" s="57">
        <v>0</v>
      </c>
      <c r="AB21" s="57">
        <v>0</v>
      </c>
      <c r="AC21" s="57">
        <v>0</v>
      </c>
      <c r="AD21" s="57">
        <v>0</v>
      </c>
      <c r="AE21" s="57">
        <v>0</v>
      </c>
      <c r="AF21" s="57">
        <v>0</v>
      </c>
      <c r="AG21" s="57">
        <v>0</v>
      </c>
      <c r="AH21" s="57">
        <v>1.1075814664363901</v>
      </c>
      <c r="AI21" s="57">
        <v>0</v>
      </c>
      <c r="AJ21" s="57">
        <v>0</v>
      </c>
      <c r="AK21" s="57">
        <v>1.1075814664363901</v>
      </c>
      <c r="AL21" s="57">
        <v>163385.652</v>
      </c>
      <c r="AM21" s="57">
        <v>0</v>
      </c>
      <c r="AN21" s="57">
        <v>0</v>
      </c>
      <c r="AO21" s="57">
        <v>163385.652</v>
      </c>
      <c r="AP21" s="59">
        <v>0.26269868099999999</v>
      </c>
      <c r="AQ21" s="57">
        <v>15</v>
      </c>
      <c r="AR21" s="57">
        <v>8.6597088797410997</v>
      </c>
      <c r="AS21" s="57">
        <v>16832.887967938001</v>
      </c>
      <c r="AT21" s="57">
        <v>29.284051860719199</v>
      </c>
      <c r="AU21" s="57">
        <v>0</v>
      </c>
      <c r="AV21" s="57">
        <v>0</v>
      </c>
      <c r="AW21" s="57">
        <v>0</v>
      </c>
      <c r="AX21" s="57">
        <v>0</v>
      </c>
    </row>
    <row r="22" spans="1:50" customFormat="1" ht="15" x14ac:dyDescent="0.25">
      <c r="A22" s="87" t="s">
        <v>163</v>
      </c>
      <c r="B22" s="4" t="s">
        <v>15</v>
      </c>
      <c r="C22" s="4"/>
      <c r="D22" s="193">
        <v>45047</v>
      </c>
      <c r="E22" s="57">
        <v>2729.991</v>
      </c>
      <c r="F22" s="57">
        <v>253735489</v>
      </c>
      <c r="G22" s="57">
        <v>92943.709000000003</v>
      </c>
      <c r="H22" s="57">
        <v>18840.959367049199</v>
      </c>
      <c r="I22" s="57">
        <v>75.503</v>
      </c>
      <c r="J22" s="57">
        <v>88.625</v>
      </c>
      <c r="K22" s="57">
        <v>71.685879</v>
      </c>
      <c r="L22" s="57">
        <v>78.929354176863896</v>
      </c>
      <c r="M22" s="58">
        <v>7.56319594607094E-2</v>
      </c>
      <c r="N22" s="58">
        <v>7.56319594607094E-2</v>
      </c>
      <c r="O22" s="58">
        <v>7.56319594607094E-2</v>
      </c>
      <c r="P22" s="58">
        <v>7.56319594607094E-2</v>
      </c>
      <c r="Q22" s="57">
        <v>0</v>
      </c>
      <c r="R22" s="57">
        <v>0</v>
      </c>
      <c r="S22" s="57">
        <v>0</v>
      </c>
      <c r="T22" s="57">
        <v>0</v>
      </c>
      <c r="U22" s="57">
        <v>0</v>
      </c>
      <c r="V22" s="57">
        <v>0</v>
      </c>
      <c r="W22" s="57">
        <v>0</v>
      </c>
      <c r="X22" s="57">
        <v>0</v>
      </c>
      <c r="Y22" s="57">
        <v>225</v>
      </c>
      <c r="Z22" s="57">
        <v>0</v>
      </c>
      <c r="AA22" s="57">
        <v>0</v>
      </c>
      <c r="AB22" s="57">
        <v>0</v>
      </c>
      <c r="AC22" s="57">
        <v>0</v>
      </c>
      <c r="AD22" s="57">
        <v>0</v>
      </c>
      <c r="AE22" s="57">
        <v>0</v>
      </c>
      <c r="AF22" s="57">
        <v>0</v>
      </c>
      <c r="AG22" s="57">
        <v>0</v>
      </c>
      <c r="AH22" s="57">
        <v>1.65242683887482</v>
      </c>
      <c r="AI22" s="57">
        <v>52.323664665222203</v>
      </c>
      <c r="AJ22" s="57">
        <v>0</v>
      </c>
      <c r="AK22" s="57">
        <v>53.976091504096999</v>
      </c>
      <c r="AL22" s="57">
        <v>318745.27</v>
      </c>
      <c r="AM22" s="57">
        <v>911880</v>
      </c>
      <c r="AN22" s="57">
        <v>0</v>
      </c>
      <c r="AO22" s="57">
        <v>1230625.27</v>
      </c>
      <c r="AP22" s="59">
        <v>0.32152854199999997</v>
      </c>
      <c r="AQ22" s="57">
        <v>11.5</v>
      </c>
      <c r="AR22" s="57">
        <v>8.5247377029714002</v>
      </c>
      <c r="AS22" s="57">
        <v>16832.887967938001</v>
      </c>
      <c r="AT22" s="57">
        <v>29.283433113892698</v>
      </c>
      <c r="AU22" s="57">
        <v>0</v>
      </c>
      <c r="AV22" s="57">
        <v>0</v>
      </c>
      <c r="AW22" s="57">
        <v>0</v>
      </c>
      <c r="AX22" s="57">
        <v>0</v>
      </c>
    </row>
    <row r="23" spans="1:50" customFormat="1" ht="15" x14ac:dyDescent="0.25">
      <c r="A23" s="87" t="s">
        <v>163</v>
      </c>
      <c r="B23" s="4" t="s">
        <v>15</v>
      </c>
      <c r="C23" s="4" t="s">
        <v>79</v>
      </c>
      <c r="D23" s="193">
        <v>45078</v>
      </c>
      <c r="E23" s="57">
        <v>3845.5189999999998</v>
      </c>
      <c r="F23" s="57">
        <v>349632031</v>
      </c>
      <c r="G23" s="57">
        <v>90919.335000000006</v>
      </c>
      <c r="H23" s="57">
        <v>18679.785656377</v>
      </c>
      <c r="I23" s="57">
        <v>76.620999999999995</v>
      </c>
      <c r="J23" s="57">
        <v>87.596999999999994</v>
      </c>
      <c r="K23" s="57">
        <v>74.425287400000002</v>
      </c>
      <c r="L23" s="57">
        <v>80.690320167212406</v>
      </c>
      <c r="M23" s="58">
        <v>9.5765292290139303E-2</v>
      </c>
      <c r="N23" s="58">
        <v>9.5765292290139303E-2</v>
      </c>
      <c r="O23" s="58">
        <v>9.5765292290139303E-2</v>
      </c>
      <c r="P23" s="58">
        <v>9.5765292290139303E-2</v>
      </c>
      <c r="Q23" s="57">
        <v>22690032</v>
      </c>
      <c r="R23" s="57">
        <v>9834237</v>
      </c>
      <c r="S23" s="57">
        <v>6130482</v>
      </c>
      <c r="T23" s="57">
        <v>10478488</v>
      </c>
      <c r="U23" s="57">
        <v>28820514</v>
      </c>
      <c r="V23" s="57">
        <v>20312725</v>
      </c>
      <c r="W23" s="57">
        <v>16340</v>
      </c>
      <c r="X23" s="57">
        <v>2420275</v>
      </c>
      <c r="Y23" s="57">
        <v>222</v>
      </c>
      <c r="Z23" s="57">
        <v>1194909</v>
      </c>
      <c r="AA23" s="57">
        <v>7700000</v>
      </c>
      <c r="AB23" s="57">
        <v>26962827.666666701</v>
      </c>
      <c r="AC23" s="57">
        <v>272.21156777819999</v>
      </c>
      <c r="AD23" s="57">
        <v>5052632</v>
      </c>
      <c r="AE23" s="57">
        <v>51.010408779300001</v>
      </c>
      <c r="AF23" s="57">
        <v>0</v>
      </c>
      <c r="AG23" s="57">
        <v>0</v>
      </c>
      <c r="AH23" s="57">
        <v>435.17109516263002</v>
      </c>
      <c r="AI23" s="57">
        <v>164.08155170083</v>
      </c>
      <c r="AJ23" s="57">
        <v>72.711060211062403</v>
      </c>
      <c r="AK23" s="57">
        <v>671.96370707452297</v>
      </c>
      <c r="AL23" s="57">
        <v>82233588.849630103</v>
      </c>
      <c r="AM23" s="57">
        <v>14458293.743519999</v>
      </c>
      <c r="AN23" s="57">
        <v>14112405.4117199</v>
      </c>
      <c r="AO23" s="57">
        <v>110804288.00487</v>
      </c>
      <c r="AP23" s="59">
        <v>-0.43174433299999998</v>
      </c>
      <c r="AQ23" s="57">
        <v>8.8000000000000007</v>
      </c>
      <c r="AR23" s="57">
        <v>8.5275846527762003</v>
      </c>
      <c r="AS23" s="57">
        <v>16832.887967938001</v>
      </c>
      <c r="AT23" s="57">
        <v>29.414292493653001</v>
      </c>
      <c r="AU23" s="57">
        <v>0</v>
      </c>
      <c r="AV23" s="57">
        <v>1</v>
      </c>
      <c r="AW23" s="57">
        <v>0</v>
      </c>
      <c r="AX23" s="57">
        <v>0</v>
      </c>
    </row>
    <row r="24" spans="1:50" customFormat="1" ht="15" x14ac:dyDescent="0.25">
      <c r="A24" s="87" t="s">
        <v>163</v>
      </c>
      <c r="B24" s="4" t="s">
        <v>15</v>
      </c>
      <c r="C24" s="4" t="s">
        <v>79</v>
      </c>
      <c r="D24" s="193">
        <v>45108</v>
      </c>
      <c r="E24" s="57">
        <v>3143.1770000000001</v>
      </c>
      <c r="F24" s="57">
        <v>280942518</v>
      </c>
      <c r="G24" s="57">
        <v>89381.705000000002</v>
      </c>
      <c r="H24" s="57">
        <v>18925.095155724401</v>
      </c>
      <c r="I24" s="57">
        <v>77.260000000000005</v>
      </c>
      <c r="J24" s="57">
        <v>88.471999999999994</v>
      </c>
      <c r="K24" s="57">
        <v>77.992831499999994</v>
      </c>
      <c r="L24" s="57">
        <v>81.382938691147501</v>
      </c>
      <c r="M24" s="58">
        <v>0.111057731611389</v>
      </c>
      <c r="N24" s="58">
        <v>0.111057731611389</v>
      </c>
      <c r="O24" s="58">
        <v>0.111057731611389</v>
      </c>
      <c r="P24" s="58">
        <v>0.111057731611389</v>
      </c>
      <c r="Q24" s="57">
        <v>27844032</v>
      </c>
      <c r="R24" s="57">
        <v>7815954</v>
      </c>
      <c r="S24" s="57">
        <v>4602267</v>
      </c>
      <c r="T24" s="57">
        <v>8528999</v>
      </c>
      <c r="U24" s="57">
        <v>32446299</v>
      </c>
      <c r="V24" s="57">
        <v>16344953</v>
      </c>
      <c r="W24" s="57">
        <v>32735</v>
      </c>
      <c r="X24" s="57">
        <v>2257577</v>
      </c>
      <c r="Y24" s="57">
        <v>323</v>
      </c>
      <c r="Z24" s="57">
        <v>1460318</v>
      </c>
      <c r="AA24" s="57">
        <v>5765930</v>
      </c>
      <c r="AB24" s="57">
        <v>14661064.380952399</v>
      </c>
      <c r="AC24" s="57">
        <v>148.01530524680001</v>
      </c>
      <c r="AD24" s="57">
        <v>5518796.1428571399</v>
      </c>
      <c r="AE24" s="57">
        <v>55.716711592999999</v>
      </c>
      <c r="AF24" s="57">
        <v>28109064.904761899</v>
      </c>
      <c r="AG24" s="57">
        <v>80</v>
      </c>
      <c r="AH24" s="57">
        <v>370.387746207416</v>
      </c>
      <c r="AI24" s="57">
        <v>369.04219854623102</v>
      </c>
      <c r="AJ24" s="57">
        <v>132.59826133400199</v>
      </c>
      <c r="AK24" s="57">
        <v>872.02820608764898</v>
      </c>
      <c r="AL24" s="57">
        <v>50374619.301699899</v>
      </c>
      <c r="AM24" s="57">
        <v>37212823.676030099</v>
      </c>
      <c r="AN24" s="57">
        <v>30330316.905140299</v>
      </c>
      <c r="AO24" s="57">
        <v>117917759.88287</v>
      </c>
      <c r="AP24" s="59">
        <v>0.119496138</v>
      </c>
      <c r="AQ24" s="57">
        <v>8.1999999999999993</v>
      </c>
      <c r="AR24" s="57">
        <v>8.7722140467169005</v>
      </c>
      <c r="AS24" s="57">
        <v>16832.887967938001</v>
      </c>
      <c r="AT24" s="57">
        <v>29.911715000000001</v>
      </c>
      <c r="AU24" s="57">
        <v>0</v>
      </c>
      <c r="AV24" s="57">
        <v>0</v>
      </c>
      <c r="AW24" s="57">
        <v>0</v>
      </c>
      <c r="AX24" s="57">
        <v>0</v>
      </c>
    </row>
    <row r="25" spans="1:50" customFormat="1" ht="15" x14ac:dyDescent="0.25">
      <c r="A25" s="87" t="s">
        <v>163</v>
      </c>
      <c r="B25" s="195" t="s">
        <v>15</v>
      </c>
      <c r="C25" s="195" t="s">
        <v>79</v>
      </c>
      <c r="D25" s="193">
        <v>45139</v>
      </c>
      <c r="E25" s="57">
        <v>2766.826</v>
      </c>
      <c r="F25" s="57">
        <v>259483176</v>
      </c>
      <c r="G25" s="57">
        <v>93783.698999999993</v>
      </c>
      <c r="H25" s="57">
        <v>18915.8576771562</v>
      </c>
      <c r="I25" s="57">
        <v>75.727999999999994</v>
      </c>
      <c r="J25" s="57">
        <v>86.072000000000003</v>
      </c>
      <c r="K25" s="57">
        <v>89.008620699999994</v>
      </c>
      <c r="L25" s="57">
        <v>88.029149199020395</v>
      </c>
      <c r="M25" s="58">
        <v>0</v>
      </c>
      <c r="N25" s="58">
        <v>6.7277871607677897E-2</v>
      </c>
      <c r="O25" s="58">
        <v>6.7277871607677897E-2</v>
      </c>
      <c r="P25" s="58">
        <v>6.7277871607677897E-2</v>
      </c>
      <c r="Q25" s="57">
        <v>13093405</v>
      </c>
      <c r="R25" s="57">
        <v>4838705</v>
      </c>
      <c r="S25" s="57">
        <v>3936908</v>
      </c>
      <c r="T25" s="57">
        <v>8579511</v>
      </c>
      <c r="U25" s="57">
        <v>17030313</v>
      </c>
      <c r="V25" s="57">
        <v>13418216</v>
      </c>
      <c r="W25" s="57">
        <v>11260</v>
      </c>
      <c r="X25" s="57">
        <v>2334401</v>
      </c>
      <c r="Y25" s="57">
        <v>204</v>
      </c>
      <c r="Z25" s="57">
        <v>877715</v>
      </c>
      <c r="AA25" s="57">
        <v>4908888</v>
      </c>
      <c r="AB25" s="57">
        <v>3951030.7142857201</v>
      </c>
      <c r="AC25" s="57">
        <v>39.888855236200001</v>
      </c>
      <c r="AD25" s="57">
        <v>7954658.3850931702</v>
      </c>
      <c r="AE25" s="57">
        <v>80.308709654599994</v>
      </c>
      <c r="AF25" s="57">
        <v>0</v>
      </c>
      <c r="AG25" s="57">
        <v>0</v>
      </c>
      <c r="AH25" s="57">
        <v>14.811962366104099</v>
      </c>
      <c r="AI25" s="57">
        <v>688.49309452623095</v>
      </c>
      <c r="AJ25" s="57">
        <v>12.527611494064301</v>
      </c>
      <c r="AK25" s="57">
        <v>715.83266838639997</v>
      </c>
      <c r="AL25" s="57">
        <v>775072.59549999796</v>
      </c>
      <c r="AM25" s="57">
        <v>90192422.098880097</v>
      </c>
      <c r="AN25" s="57">
        <v>642561.34525000001</v>
      </c>
      <c r="AO25" s="57">
        <v>91610056.039629996</v>
      </c>
      <c r="AP25" s="59">
        <v>0.117877657</v>
      </c>
      <c r="AQ25" s="57">
        <v>9.6999999999999993</v>
      </c>
      <c r="AR25" s="57">
        <v>8.9956512830771995</v>
      </c>
      <c r="AS25" s="57">
        <v>16832.887967938001</v>
      </c>
      <c r="AT25" s="57">
        <v>29.701405000000001</v>
      </c>
      <c r="AU25" s="57">
        <v>0</v>
      </c>
      <c r="AV25" s="57">
        <v>0</v>
      </c>
      <c r="AW25" s="57">
        <v>0</v>
      </c>
      <c r="AX25" s="57">
        <v>0</v>
      </c>
    </row>
    <row r="26" spans="1:50" customFormat="1" ht="15" x14ac:dyDescent="0.25">
      <c r="A26" s="87" t="s">
        <v>163</v>
      </c>
      <c r="B26" s="4" t="s">
        <v>17</v>
      </c>
      <c r="C26" s="4" t="s">
        <v>79</v>
      </c>
      <c r="D26" s="197">
        <v>45170</v>
      </c>
      <c r="E26" s="198">
        <v>3379.2</v>
      </c>
      <c r="F26" s="198">
        <v>314390273</v>
      </c>
      <c r="G26" s="198">
        <v>93036.894</v>
      </c>
      <c r="H26" s="198">
        <v>19391.708870976501</v>
      </c>
      <c r="I26" s="198">
        <v>76.477999999999994</v>
      </c>
      <c r="J26" s="198">
        <v>85.096999999999994</v>
      </c>
      <c r="K26" s="198">
        <v>84.147041900000005</v>
      </c>
      <c r="L26" s="198">
        <v>84.447312906180301</v>
      </c>
      <c r="M26" s="199">
        <v>0</v>
      </c>
      <c r="N26" s="199">
        <v>5.4584152262964002E-2</v>
      </c>
      <c r="O26" s="199">
        <v>5.4584152262964002E-2</v>
      </c>
      <c r="P26" s="199">
        <v>0</v>
      </c>
      <c r="Q26" s="198">
        <v>0</v>
      </c>
      <c r="R26" s="198">
        <v>0</v>
      </c>
      <c r="S26" s="198">
        <v>0</v>
      </c>
      <c r="T26" s="198">
        <v>0</v>
      </c>
      <c r="U26" s="198">
        <v>0</v>
      </c>
      <c r="V26" s="198">
        <v>0</v>
      </c>
      <c r="W26" s="198">
        <v>0</v>
      </c>
      <c r="X26" s="198">
        <v>0</v>
      </c>
      <c r="Y26" s="198">
        <v>211</v>
      </c>
      <c r="Z26" s="198">
        <v>0</v>
      </c>
      <c r="AA26" s="198">
        <v>0</v>
      </c>
      <c r="AB26" s="198">
        <v>0</v>
      </c>
      <c r="AC26" s="198">
        <v>0</v>
      </c>
      <c r="AD26" s="198">
        <v>1173913.04347826</v>
      </c>
      <c r="AE26" s="198">
        <v>11.8516017001</v>
      </c>
      <c r="AF26" s="198">
        <v>0</v>
      </c>
      <c r="AG26" s="198">
        <v>0</v>
      </c>
      <c r="AH26" s="198">
        <v>18.559028513729601</v>
      </c>
      <c r="AI26" s="198">
        <v>183.507558047771</v>
      </c>
      <c r="AJ26" s="198">
        <v>1.5644068419933299</v>
      </c>
      <c r="AK26" s="198">
        <v>203.63099340349399</v>
      </c>
      <c r="AL26" s="198">
        <v>685153.25599999796</v>
      </c>
      <c r="AM26" s="198">
        <v>14082944.136399999</v>
      </c>
      <c r="AN26" s="198">
        <v>0</v>
      </c>
      <c r="AO26" s="198">
        <v>14768097.3924</v>
      </c>
      <c r="AP26" s="200">
        <v>0.63557056499999998</v>
      </c>
      <c r="AQ26" s="198">
        <v>12.1</v>
      </c>
      <c r="AR26" s="198">
        <v>8.9130085719370005</v>
      </c>
      <c r="AS26" s="198">
        <v>16832.887967938001</v>
      </c>
      <c r="AT26" s="198">
        <v>30.165970000000002</v>
      </c>
      <c r="AU26" s="198">
        <v>0</v>
      </c>
      <c r="AV26" s="198">
        <v>0</v>
      </c>
      <c r="AW26" s="198">
        <v>1</v>
      </c>
      <c r="AX26" s="201">
        <v>0</v>
      </c>
    </row>
    <row r="27" spans="1:50" customFormat="1" ht="15" x14ac:dyDescent="0.25">
      <c r="A27" s="87" t="s">
        <v>163</v>
      </c>
      <c r="B27" s="4" t="s">
        <v>17</v>
      </c>
      <c r="C27" s="4" t="s">
        <v>79</v>
      </c>
      <c r="D27" s="193">
        <v>45200</v>
      </c>
      <c r="E27" s="57">
        <v>2507.8960000000002</v>
      </c>
      <c r="F27" s="57">
        <v>235267090.59200001</v>
      </c>
      <c r="G27" s="57">
        <v>93810.544999999998</v>
      </c>
      <c r="H27" s="57">
        <v>18725.548950472501</v>
      </c>
      <c r="I27" s="57">
        <v>78.486000000000004</v>
      </c>
      <c r="J27" s="57">
        <v>86.551000000000002</v>
      </c>
      <c r="K27" s="57">
        <v>90.732758599999997</v>
      </c>
      <c r="L27" s="57">
        <v>89.673683836074005</v>
      </c>
      <c r="M27" s="58">
        <v>0</v>
      </c>
      <c r="N27" s="58">
        <v>4.6722519263719599E-2</v>
      </c>
      <c r="O27" s="58">
        <v>0</v>
      </c>
      <c r="P27" s="58">
        <v>0</v>
      </c>
      <c r="Q27" s="57">
        <v>0</v>
      </c>
      <c r="R27" s="57">
        <v>0</v>
      </c>
      <c r="S27" s="57">
        <v>0</v>
      </c>
      <c r="T27" s="57">
        <v>0</v>
      </c>
      <c r="U27" s="57">
        <v>0</v>
      </c>
      <c r="V27" s="57">
        <v>0</v>
      </c>
      <c r="W27" s="57">
        <v>0</v>
      </c>
      <c r="X27" s="57">
        <v>0</v>
      </c>
      <c r="Y27" s="57">
        <v>222</v>
      </c>
      <c r="Z27" s="57">
        <v>0</v>
      </c>
      <c r="AA27" s="57">
        <v>0</v>
      </c>
      <c r="AB27" s="57">
        <v>0</v>
      </c>
      <c r="AC27" s="57">
        <v>0</v>
      </c>
      <c r="AD27" s="57">
        <v>0</v>
      </c>
      <c r="AE27" s="57">
        <v>0</v>
      </c>
      <c r="AF27" s="57">
        <v>0</v>
      </c>
      <c r="AG27" s="57">
        <v>0</v>
      </c>
      <c r="AH27" s="57">
        <v>231.12173764407601</v>
      </c>
      <c r="AI27" s="57">
        <v>244.59651529788999</v>
      </c>
      <c r="AJ27" s="57">
        <v>0</v>
      </c>
      <c r="AK27" s="57">
        <v>475.718252941966</v>
      </c>
      <c r="AL27" s="57">
        <v>95017349.716829807</v>
      </c>
      <c r="AM27" s="57">
        <v>26099958.000640001</v>
      </c>
      <c r="AN27" s="57">
        <v>0</v>
      </c>
      <c r="AO27" s="57">
        <v>121117307.71747001</v>
      </c>
      <c r="AP27" s="59">
        <v>0.29292643499999999</v>
      </c>
      <c r="AQ27" s="57">
        <v>14.8</v>
      </c>
      <c r="AR27" s="57">
        <v>8.8864690786626994</v>
      </c>
      <c r="AS27" s="57">
        <v>16832.887967938001</v>
      </c>
      <c r="AT27" s="57">
        <v>31.556535</v>
      </c>
      <c r="AU27" s="57">
        <v>0</v>
      </c>
      <c r="AV27" s="57">
        <v>0</v>
      </c>
      <c r="AW27" s="57">
        <v>0</v>
      </c>
      <c r="AX27" s="202">
        <v>0</v>
      </c>
    </row>
    <row r="28" spans="1:50" customFormat="1" ht="15" x14ac:dyDescent="0.25">
      <c r="A28" s="87" t="s">
        <v>163</v>
      </c>
      <c r="B28" s="4" t="s">
        <v>17</v>
      </c>
      <c r="C28" s="4"/>
      <c r="D28" s="193">
        <v>45231</v>
      </c>
      <c r="E28" s="57">
        <v>2223.8180000000002</v>
      </c>
      <c r="F28" s="57">
        <v>215041756.66600001</v>
      </c>
      <c r="G28" s="57">
        <v>96699.350999999995</v>
      </c>
      <c r="H28" s="57">
        <v>18875.669116499499</v>
      </c>
      <c r="I28" s="57">
        <v>77.63</v>
      </c>
      <c r="J28" s="57">
        <v>86.32</v>
      </c>
      <c r="K28" s="57">
        <v>90.459110499999994</v>
      </c>
      <c r="L28" s="57">
        <v>89.434417294454505</v>
      </c>
      <c r="M28" s="58">
        <v>0</v>
      </c>
      <c r="N28" s="58">
        <v>1.7367251089807498E-2</v>
      </c>
      <c r="O28" s="58">
        <v>0</v>
      </c>
      <c r="P28" s="58">
        <v>0</v>
      </c>
      <c r="Q28" s="57">
        <v>0</v>
      </c>
      <c r="R28" s="57">
        <v>0</v>
      </c>
      <c r="S28" s="57">
        <v>0</v>
      </c>
      <c r="T28" s="57">
        <v>0</v>
      </c>
      <c r="U28" s="57">
        <v>0</v>
      </c>
      <c r="V28" s="57">
        <v>0</v>
      </c>
      <c r="W28" s="57">
        <v>0</v>
      </c>
      <c r="X28" s="57">
        <v>0</v>
      </c>
      <c r="Y28" s="57">
        <v>173</v>
      </c>
      <c r="Z28" s="57">
        <v>0</v>
      </c>
      <c r="AA28" s="57">
        <v>0</v>
      </c>
      <c r="AB28" s="57">
        <v>0</v>
      </c>
      <c r="AC28" s="57">
        <v>0</v>
      </c>
      <c r="AD28" s="57">
        <v>0</v>
      </c>
      <c r="AE28" s="57">
        <v>0</v>
      </c>
      <c r="AF28" s="57">
        <v>0</v>
      </c>
      <c r="AG28" s="57">
        <v>0</v>
      </c>
      <c r="AH28" s="57">
        <v>108.977240338922</v>
      </c>
      <c r="AI28" s="57">
        <v>253.36195962131001</v>
      </c>
      <c r="AJ28" s="57">
        <v>0</v>
      </c>
      <c r="AK28" s="57">
        <v>362.33919996023201</v>
      </c>
      <c r="AL28" s="57">
        <v>34672575.799000002</v>
      </c>
      <c r="AM28" s="57">
        <v>34127658.35108</v>
      </c>
      <c r="AN28" s="57">
        <v>0</v>
      </c>
      <c r="AO28" s="57">
        <v>68800234.150079995</v>
      </c>
      <c r="AP28" s="59">
        <v>0.74525501500000002</v>
      </c>
      <c r="AQ28" s="57">
        <v>17.8</v>
      </c>
      <c r="AR28" s="57">
        <v>8.7324121337560001</v>
      </c>
      <c r="AS28" s="57">
        <v>16832.887967938001</v>
      </c>
      <c r="AT28" s="57">
        <v>33.022064999999998</v>
      </c>
      <c r="AU28" s="57">
        <v>0</v>
      </c>
      <c r="AV28" s="57">
        <v>0</v>
      </c>
      <c r="AW28" s="57">
        <v>0</v>
      </c>
      <c r="AX28" s="202">
        <v>0</v>
      </c>
    </row>
    <row r="29" spans="1:50" customFormat="1" ht="15" x14ac:dyDescent="0.25">
      <c r="A29" s="87" t="s">
        <v>163</v>
      </c>
      <c r="B29" s="4" t="s">
        <v>17</v>
      </c>
      <c r="C29" s="4"/>
      <c r="D29" s="193">
        <v>45261</v>
      </c>
      <c r="E29" s="57">
        <v>2936.4380000000001</v>
      </c>
      <c r="F29" s="57">
        <v>269706267.579</v>
      </c>
      <c r="G29" s="57">
        <v>91848.106</v>
      </c>
      <c r="H29" s="57">
        <v>19578.5227756895</v>
      </c>
      <c r="I29" s="57">
        <v>77.311999999999998</v>
      </c>
      <c r="J29" s="57">
        <v>88.424000000000007</v>
      </c>
      <c r="K29" s="57">
        <v>90.598290599999999</v>
      </c>
      <c r="L29" s="57">
        <v>89.962711843075397</v>
      </c>
      <c r="M29" s="58">
        <v>0</v>
      </c>
      <c r="N29" s="58">
        <v>6.6664295596205694E-2</v>
      </c>
      <c r="O29" s="58">
        <v>6.6664295596205694E-2</v>
      </c>
      <c r="P29" s="58">
        <v>6.6664295596205694E-2</v>
      </c>
      <c r="Q29" s="57">
        <v>0</v>
      </c>
      <c r="R29" s="57">
        <v>0</v>
      </c>
      <c r="S29" s="57">
        <v>0</v>
      </c>
      <c r="T29" s="57">
        <v>0</v>
      </c>
      <c r="U29" s="57">
        <v>0</v>
      </c>
      <c r="V29" s="57">
        <v>0</v>
      </c>
      <c r="W29" s="57">
        <v>0</v>
      </c>
      <c r="X29" s="57">
        <v>0</v>
      </c>
      <c r="Y29" s="57">
        <v>191</v>
      </c>
      <c r="Z29" s="57">
        <v>0</v>
      </c>
      <c r="AA29" s="57">
        <v>0</v>
      </c>
      <c r="AB29" s="57">
        <v>0</v>
      </c>
      <c r="AC29" s="57">
        <v>0</v>
      </c>
      <c r="AD29" s="57">
        <v>0</v>
      </c>
      <c r="AE29" s="57">
        <v>0</v>
      </c>
      <c r="AF29" s="57">
        <v>0</v>
      </c>
      <c r="AG29" s="57">
        <v>0</v>
      </c>
      <c r="AH29" s="57">
        <v>0</v>
      </c>
      <c r="AI29" s="57">
        <v>153.07650579512099</v>
      </c>
      <c r="AJ29" s="57">
        <v>0</v>
      </c>
      <c r="AK29" s="57">
        <v>153.07650579512099</v>
      </c>
      <c r="AL29" s="57">
        <v>0</v>
      </c>
      <c r="AM29" s="57">
        <v>24482274.393599998</v>
      </c>
      <c r="AN29" s="57">
        <v>0</v>
      </c>
      <c r="AO29" s="57">
        <v>24482274.393599998</v>
      </c>
      <c r="AP29" s="59">
        <v>-0.52574812199999998</v>
      </c>
      <c r="AQ29" s="57">
        <v>20</v>
      </c>
      <c r="AR29" s="57">
        <v>8.4756393474728</v>
      </c>
      <c r="AS29" s="57">
        <v>16832.887967938001</v>
      </c>
      <c r="AT29" s="57">
        <v>31.835284999999999</v>
      </c>
      <c r="AU29" s="57">
        <v>0</v>
      </c>
      <c r="AV29" s="57">
        <v>0</v>
      </c>
      <c r="AW29" s="57">
        <v>0</v>
      </c>
      <c r="AX29" s="202">
        <v>1</v>
      </c>
    </row>
    <row r="30" spans="1:50" customFormat="1" ht="15" x14ac:dyDescent="0.25">
      <c r="A30" s="87" t="s">
        <v>163</v>
      </c>
      <c r="B30" s="4" t="s">
        <v>17</v>
      </c>
      <c r="C30" s="4"/>
      <c r="D30" s="193">
        <v>45292</v>
      </c>
      <c r="E30" s="57">
        <v>1650.241</v>
      </c>
      <c r="F30" s="57">
        <v>157193389</v>
      </c>
      <c r="G30" s="57">
        <v>95254.808000000005</v>
      </c>
      <c r="H30" s="57">
        <v>19794.411072665898</v>
      </c>
      <c r="I30" s="57">
        <v>77.138000000000005</v>
      </c>
      <c r="J30" s="57">
        <v>88.563000000000002</v>
      </c>
      <c r="K30" s="57">
        <v>85.724431800000005</v>
      </c>
      <c r="L30" s="57">
        <v>86.771128835716098</v>
      </c>
      <c r="M30" s="58">
        <v>0</v>
      </c>
      <c r="N30" s="58">
        <v>3.2046307819039999E-2</v>
      </c>
      <c r="O30" s="58">
        <v>0</v>
      </c>
      <c r="P30" s="58">
        <v>0</v>
      </c>
      <c r="Q30" s="57">
        <v>0</v>
      </c>
      <c r="R30" s="57">
        <v>0</v>
      </c>
      <c r="S30" s="57">
        <v>0</v>
      </c>
      <c r="T30" s="57">
        <v>0</v>
      </c>
      <c r="U30" s="57">
        <v>0</v>
      </c>
      <c r="V30" s="57">
        <v>0</v>
      </c>
      <c r="W30" s="57">
        <v>0</v>
      </c>
      <c r="X30" s="57">
        <v>0</v>
      </c>
      <c r="Y30" s="57">
        <v>143</v>
      </c>
      <c r="Z30" s="57">
        <v>0</v>
      </c>
      <c r="AA30" s="57">
        <v>0</v>
      </c>
      <c r="AB30" s="57">
        <v>0</v>
      </c>
      <c r="AC30" s="57">
        <v>0</v>
      </c>
      <c r="AD30" s="57">
        <v>0</v>
      </c>
      <c r="AE30" s="57">
        <v>0</v>
      </c>
      <c r="AF30" s="57">
        <v>0</v>
      </c>
      <c r="AG30" s="57">
        <v>0</v>
      </c>
      <c r="AH30" s="57">
        <v>183.29922904819301</v>
      </c>
      <c r="AI30" s="57">
        <v>59.288105607032797</v>
      </c>
      <c r="AJ30" s="57">
        <v>0</v>
      </c>
      <c r="AK30" s="57">
        <v>242.58733465522499</v>
      </c>
      <c r="AL30" s="57">
        <v>13930062.6464535</v>
      </c>
      <c r="AM30" s="57">
        <v>0</v>
      </c>
      <c r="AN30" s="57">
        <v>0</v>
      </c>
      <c r="AO30" s="57">
        <v>13930062.6464535</v>
      </c>
      <c r="AP30" s="59">
        <v>0.66854217100000002</v>
      </c>
      <c r="AQ30" s="57">
        <v>21.4</v>
      </c>
      <c r="AR30" s="57">
        <v>8.4356310785176003</v>
      </c>
      <c r="AS30" s="57">
        <v>0</v>
      </c>
      <c r="AT30" s="57">
        <v>32.581690000000002</v>
      </c>
      <c r="AU30" s="57">
        <v>0</v>
      </c>
      <c r="AV30" s="57">
        <v>0</v>
      </c>
      <c r="AW30" s="57">
        <v>0</v>
      </c>
      <c r="AX30" s="202">
        <v>0</v>
      </c>
    </row>
    <row r="31" spans="1:50" customFormat="1" ht="15" x14ac:dyDescent="0.25">
      <c r="A31" s="87" t="s">
        <v>163</v>
      </c>
      <c r="B31" s="4" t="s">
        <v>17</v>
      </c>
      <c r="C31" s="4"/>
      <c r="D31" s="193">
        <v>45323</v>
      </c>
      <c r="E31" s="57">
        <v>1507.9079999999999</v>
      </c>
      <c r="F31" s="57">
        <v>146873209.44100001</v>
      </c>
      <c r="G31" s="57">
        <v>97401.97</v>
      </c>
      <c r="H31" s="57">
        <v>18880.0529267684</v>
      </c>
      <c r="I31" s="57">
        <v>77.153000000000006</v>
      </c>
      <c r="J31" s="57">
        <v>88.054000000000002</v>
      </c>
      <c r="K31" s="57">
        <v>85.653409100000005</v>
      </c>
      <c r="L31" s="57">
        <v>86.506583912224798</v>
      </c>
      <c r="M31" s="58">
        <v>0</v>
      </c>
      <c r="N31" s="58">
        <v>1.02274261347617E-2</v>
      </c>
      <c r="O31" s="58">
        <v>0</v>
      </c>
      <c r="P31" s="58">
        <v>0</v>
      </c>
      <c r="Q31" s="57">
        <v>0</v>
      </c>
      <c r="R31" s="57">
        <v>0</v>
      </c>
      <c r="S31" s="57">
        <v>0</v>
      </c>
      <c r="T31" s="57">
        <v>0</v>
      </c>
      <c r="U31" s="57">
        <v>0</v>
      </c>
      <c r="V31" s="57">
        <v>0</v>
      </c>
      <c r="W31" s="57">
        <v>0</v>
      </c>
      <c r="X31" s="57">
        <v>0</v>
      </c>
      <c r="Y31" s="57">
        <v>182</v>
      </c>
      <c r="Z31" s="57">
        <v>0</v>
      </c>
      <c r="AA31" s="57">
        <v>0</v>
      </c>
      <c r="AB31" s="57">
        <v>0</v>
      </c>
      <c r="AC31" s="57">
        <v>0</v>
      </c>
      <c r="AD31" s="57">
        <v>0</v>
      </c>
      <c r="AE31" s="57">
        <v>0</v>
      </c>
      <c r="AF31" s="57">
        <v>0</v>
      </c>
      <c r="AG31" s="57">
        <v>0</v>
      </c>
      <c r="AH31" s="57">
        <v>186.68655154854099</v>
      </c>
      <c r="AI31" s="57">
        <v>41.287168830633199</v>
      </c>
      <c r="AJ31" s="57">
        <v>0</v>
      </c>
      <c r="AK31" s="57">
        <v>227.97372037917401</v>
      </c>
      <c r="AL31" s="57">
        <v>18086455.775842499</v>
      </c>
      <c r="AM31" s="57">
        <v>0</v>
      </c>
      <c r="AN31" s="57">
        <v>0</v>
      </c>
      <c r="AO31" s="57">
        <v>18086455.775842499</v>
      </c>
      <c r="AP31" s="59">
        <v>0.58774999999999999</v>
      </c>
      <c r="AQ31" s="57">
        <v>20.7</v>
      </c>
      <c r="AR31" s="57">
        <v>8.5042567185625995</v>
      </c>
      <c r="AS31" s="57">
        <v>0</v>
      </c>
      <c r="AT31" s="57">
        <v>33.313090000000003</v>
      </c>
      <c r="AU31" s="57">
        <v>0</v>
      </c>
      <c r="AV31" s="57">
        <v>0</v>
      </c>
      <c r="AW31" s="57">
        <v>0</v>
      </c>
      <c r="AX31" s="202">
        <v>0</v>
      </c>
    </row>
    <row r="32" spans="1:50" customFormat="1" ht="15" x14ac:dyDescent="0.25">
      <c r="A32" s="87" t="s">
        <v>163</v>
      </c>
      <c r="B32" s="4" t="s">
        <v>17</v>
      </c>
      <c r="C32" s="4"/>
      <c r="D32" s="193">
        <v>45352</v>
      </c>
      <c r="E32" s="57">
        <v>2850.96</v>
      </c>
      <c r="F32" s="57">
        <v>259562728.125</v>
      </c>
      <c r="G32" s="57">
        <v>91043.974000000002</v>
      </c>
      <c r="H32" s="57">
        <v>19268.877065845601</v>
      </c>
      <c r="I32" s="57">
        <v>78.924000000000007</v>
      </c>
      <c r="J32" s="57">
        <v>89.37</v>
      </c>
      <c r="K32" s="57">
        <v>88.125</v>
      </c>
      <c r="L32" s="57">
        <v>88.620527996307899</v>
      </c>
      <c r="M32" s="58">
        <v>7.48356683042464E-2</v>
      </c>
      <c r="N32" s="58">
        <v>7.48356683042464E-2</v>
      </c>
      <c r="O32" s="58">
        <v>7.48356683042464E-2</v>
      </c>
      <c r="P32" s="58">
        <v>7.48356683042464E-2</v>
      </c>
      <c r="Q32" s="57">
        <v>0</v>
      </c>
      <c r="R32" s="57">
        <v>0</v>
      </c>
      <c r="S32" s="57">
        <v>0</v>
      </c>
      <c r="T32" s="57">
        <v>0</v>
      </c>
      <c r="U32" s="57">
        <v>0</v>
      </c>
      <c r="V32" s="57">
        <v>0</v>
      </c>
      <c r="W32" s="57">
        <v>0</v>
      </c>
      <c r="X32" s="57">
        <v>0</v>
      </c>
      <c r="Y32" s="57">
        <v>220</v>
      </c>
      <c r="Z32" s="57">
        <v>0</v>
      </c>
      <c r="AA32" s="57">
        <v>0</v>
      </c>
      <c r="AB32" s="57">
        <v>0</v>
      </c>
      <c r="AC32" s="57">
        <v>0</v>
      </c>
      <c r="AD32" s="57">
        <v>0</v>
      </c>
      <c r="AE32" s="57">
        <v>0</v>
      </c>
      <c r="AF32" s="57">
        <v>0</v>
      </c>
      <c r="AG32" s="57">
        <v>0</v>
      </c>
      <c r="AH32" s="57">
        <v>131.463702984154</v>
      </c>
      <c r="AI32" s="57">
        <v>152.35423210263301</v>
      </c>
      <c r="AJ32" s="57">
        <v>0</v>
      </c>
      <c r="AK32" s="57">
        <v>283.81793508678697</v>
      </c>
      <c r="AL32" s="57">
        <v>13837747.051139399</v>
      </c>
      <c r="AM32" s="57">
        <v>25101847.133453202</v>
      </c>
      <c r="AN32" s="57">
        <v>0</v>
      </c>
      <c r="AO32" s="57">
        <v>38939594.1845925</v>
      </c>
      <c r="AP32" s="59">
        <v>0.37822706699999997</v>
      </c>
      <c r="AQ32" s="57">
        <v>18.899999999999999</v>
      </c>
      <c r="AR32" s="57">
        <v>8.6777779966084996</v>
      </c>
      <c r="AS32" s="57">
        <v>0</v>
      </c>
      <c r="AT32" s="57">
        <v>33.544739999999997</v>
      </c>
      <c r="AU32" s="57">
        <v>0</v>
      </c>
      <c r="AV32" s="57">
        <v>0</v>
      </c>
      <c r="AW32" s="57">
        <v>0</v>
      </c>
      <c r="AX32" s="202">
        <v>0</v>
      </c>
    </row>
    <row r="33" spans="1:50" customFormat="1" ht="15" x14ac:dyDescent="0.25">
      <c r="A33" s="87" t="s">
        <v>163</v>
      </c>
      <c r="B33" s="4" t="s">
        <v>17</v>
      </c>
      <c r="C33" s="4" t="s">
        <v>80</v>
      </c>
      <c r="D33" s="193">
        <v>45383</v>
      </c>
      <c r="E33" s="57">
        <v>2431.1709999999998</v>
      </c>
      <c r="F33" s="57">
        <v>239247734.16</v>
      </c>
      <c r="G33" s="57">
        <v>98408.434999999998</v>
      </c>
      <c r="H33" s="57">
        <v>20256.0235035769</v>
      </c>
      <c r="I33" s="57">
        <v>79.179000000000002</v>
      </c>
      <c r="J33" s="57">
        <v>89.558000000000007</v>
      </c>
      <c r="K33" s="57">
        <v>88.896797199999995</v>
      </c>
      <c r="L33" s="57">
        <v>89.187412067126104</v>
      </c>
      <c r="M33" s="58">
        <v>0</v>
      </c>
      <c r="N33" s="58">
        <v>0</v>
      </c>
      <c r="O33" s="58">
        <v>0</v>
      </c>
      <c r="P33" s="58">
        <v>0</v>
      </c>
      <c r="Q33" s="57">
        <v>9853942.2857142892</v>
      </c>
      <c r="R33" s="57">
        <v>4856684.9365234403</v>
      </c>
      <c r="S33" s="57">
        <v>3076005</v>
      </c>
      <c r="T33" s="57">
        <v>5955932</v>
      </c>
      <c r="U33" s="57">
        <v>12929947.2857143</v>
      </c>
      <c r="V33" s="57">
        <v>10812616.9365234</v>
      </c>
      <c r="W33" s="57">
        <v>0</v>
      </c>
      <c r="X33" s="57">
        <v>0</v>
      </c>
      <c r="Y33" s="57">
        <v>227</v>
      </c>
      <c r="Z33" s="57">
        <v>0</v>
      </c>
      <c r="AA33" s="57">
        <v>0</v>
      </c>
      <c r="AB33" s="57">
        <v>0</v>
      </c>
      <c r="AC33" s="57">
        <v>0</v>
      </c>
      <c r="AD33" s="57">
        <v>0</v>
      </c>
      <c r="AE33" s="57">
        <v>0</v>
      </c>
      <c r="AF33" s="57">
        <v>0</v>
      </c>
      <c r="AG33" s="57">
        <v>0</v>
      </c>
      <c r="AH33" s="57">
        <v>165.982821762562</v>
      </c>
      <c r="AI33" s="57">
        <v>121.59796565025999</v>
      </c>
      <c r="AJ33" s="57">
        <v>0</v>
      </c>
      <c r="AK33" s="57">
        <v>287.58078741282202</v>
      </c>
      <c r="AL33" s="57">
        <v>13897410.912951</v>
      </c>
      <c r="AM33" s="57">
        <v>18676022.909855701</v>
      </c>
      <c r="AN33" s="57">
        <v>0</v>
      </c>
      <c r="AO33" s="57">
        <v>32573433.822806701</v>
      </c>
      <c r="AP33" s="59">
        <v>0.5274110116313</v>
      </c>
      <c r="AQ33" s="57">
        <v>15</v>
      </c>
      <c r="AR33" s="57">
        <v>8.5237837145472994</v>
      </c>
      <c r="AS33" s="57">
        <v>0</v>
      </c>
      <c r="AT33" s="57">
        <v>33.170059999999999</v>
      </c>
      <c r="AU33" s="57">
        <v>0</v>
      </c>
      <c r="AV33" s="57">
        <v>0</v>
      </c>
      <c r="AW33" s="57">
        <v>0</v>
      </c>
      <c r="AX33" s="202">
        <v>0</v>
      </c>
    </row>
    <row r="34" spans="1:50" customFormat="1" ht="15" x14ac:dyDescent="0.25">
      <c r="A34" s="87" t="s">
        <v>163</v>
      </c>
      <c r="B34" s="4" t="s">
        <v>17</v>
      </c>
      <c r="C34" s="4" t="s">
        <v>80</v>
      </c>
      <c r="D34" s="193">
        <v>45413</v>
      </c>
      <c r="E34" s="57">
        <v>3068.6970000000001</v>
      </c>
      <c r="F34" s="57">
        <v>300366775.43099999</v>
      </c>
      <c r="G34" s="57">
        <v>97880.884000000005</v>
      </c>
      <c r="H34" s="57">
        <v>20531.040851550999</v>
      </c>
      <c r="I34" s="57">
        <v>78.751000000000005</v>
      </c>
      <c r="J34" s="57">
        <v>89.748000000000005</v>
      </c>
      <c r="K34" s="57">
        <v>88.888888899999998</v>
      </c>
      <c r="L34" s="57">
        <v>89.314671667052494</v>
      </c>
      <c r="M34" s="58">
        <v>0</v>
      </c>
      <c r="N34" s="58">
        <v>5.3608311116825702E-3</v>
      </c>
      <c r="O34" s="58">
        <v>0</v>
      </c>
      <c r="P34" s="58">
        <v>0</v>
      </c>
      <c r="Q34" s="57">
        <v>51393559</v>
      </c>
      <c r="R34" s="57">
        <v>19430726.5625</v>
      </c>
      <c r="S34" s="57">
        <v>12391156.428571399</v>
      </c>
      <c r="T34" s="57">
        <v>25129055</v>
      </c>
      <c r="U34" s="57">
        <v>63784715.428571403</v>
      </c>
      <c r="V34" s="57">
        <v>44559781.5625</v>
      </c>
      <c r="W34" s="57">
        <v>21903</v>
      </c>
      <c r="X34" s="57">
        <v>3417594</v>
      </c>
      <c r="Y34" s="57">
        <v>296</v>
      </c>
      <c r="Z34" s="57">
        <v>0</v>
      </c>
      <c r="AA34" s="57">
        <v>0</v>
      </c>
      <c r="AB34" s="57">
        <v>0</v>
      </c>
      <c r="AC34" s="57">
        <v>0</v>
      </c>
      <c r="AD34" s="57">
        <v>5391304.3478260897</v>
      </c>
      <c r="AE34" s="57">
        <v>22.686274509803901</v>
      </c>
      <c r="AF34" s="57">
        <v>0</v>
      </c>
      <c r="AG34" s="57">
        <v>0</v>
      </c>
      <c r="AH34" s="57">
        <v>317.17378232628101</v>
      </c>
      <c r="AI34" s="57">
        <v>193.64375096559499</v>
      </c>
      <c r="AJ34" s="57">
        <v>0</v>
      </c>
      <c r="AK34" s="57">
        <v>510.81753329187598</v>
      </c>
      <c r="AL34" s="57">
        <v>45659048.382205501</v>
      </c>
      <c r="AM34" s="57">
        <v>23334328.869570699</v>
      </c>
      <c r="AN34" s="57">
        <v>0</v>
      </c>
      <c r="AO34" s="57">
        <v>68993377.251776204</v>
      </c>
      <c r="AP34" s="59">
        <v>0.2634854614762</v>
      </c>
      <c r="AQ34" s="57">
        <v>11.5</v>
      </c>
      <c r="AR34" s="57">
        <v>8.3128804231684992</v>
      </c>
      <c r="AS34" s="57">
        <v>0</v>
      </c>
      <c r="AT34" s="57">
        <v>31.339375</v>
      </c>
      <c r="AU34" s="57">
        <v>0</v>
      </c>
      <c r="AV34" s="57">
        <v>0</v>
      </c>
      <c r="AW34" s="57">
        <v>0</v>
      </c>
      <c r="AX34" s="202">
        <v>0</v>
      </c>
    </row>
    <row r="35" spans="1:50" customFormat="1" ht="15" x14ac:dyDescent="0.25">
      <c r="A35" s="87" t="s">
        <v>163</v>
      </c>
      <c r="B35" s="4" t="s">
        <v>17</v>
      </c>
      <c r="C35" s="4" t="s">
        <v>80</v>
      </c>
      <c r="D35" s="193">
        <v>45444</v>
      </c>
      <c r="E35" s="57">
        <v>4060.66</v>
      </c>
      <c r="F35" s="57">
        <v>392423423</v>
      </c>
      <c r="G35" s="57">
        <v>96640.305999999997</v>
      </c>
      <c r="H35" s="57">
        <v>20024.545490430501</v>
      </c>
      <c r="I35" s="57">
        <v>82.037999999999997</v>
      </c>
      <c r="J35" s="57">
        <v>89.674000000000007</v>
      </c>
      <c r="K35" s="57">
        <v>91.628701599999999</v>
      </c>
      <c r="L35" s="57">
        <v>90.828237420252293</v>
      </c>
      <c r="M35" s="58">
        <v>0</v>
      </c>
      <c r="N35" s="58">
        <v>1.7967250469941898E-2</v>
      </c>
      <c r="O35" s="58">
        <v>0</v>
      </c>
      <c r="P35" s="58">
        <v>0</v>
      </c>
      <c r="Q35" s="57">
        <v>47341556.714285702</v>
      </c>
      <c r="R35" s="57">
        <v>19099017.578125</v>
      </c>
      <c r="S35" s="57">
        <v>10039020.571428601</v>
      </c>
      <c r="T35" s="57">
        <v>20699997.802734401</v>
      </c>
      <c r="U35" s="57">
        <v>57380577.285714298</v>
      </c>
      <c r="V35" s="57">
        <v>39799015.380859397</v>
      </c>
      <c r="W35" s="57">
        <v>11517</v>
      </c>
      <c r="X35" s="57">
        <v>1946017.9443359401</v>
      </c>
      <c r="Y35" s="57">
        <v>319</v>
      </c>
      <c r="Z35" s="57">
        <v>0</v>
      </c>
      <c r="AA35" s="57">
        <v>0</v>
      </c>
      <c r="AB35" s="57">
        <v>0</v>
      </c>
      <c r="AC35" s="57">
        <v>0</v>
      </c>
      <c r="AD35" s="57">
        <v>10108695.652173899</v>
      </c>
      <c r="AE35" s="57">
        <v>26.176470588235301</v>
      </c>
      <c r="AF35" s="57">
        <v>0</v>
      </c>
      <c r="AG35" s="57">
        <v>0</v>
      </c>
      <c r="AH35" s="57">
        <v>599.95513999462105</v>
      </c>
      <c r="AI35" s="57">
        <v>53.497098892927198</v>
      </c>
      <c r="AJ35" s="57">
        <v>0</v>
      </c>
      <c r="AK35" s="57">
        <v>653.45223888754799</v>
      </c>
      <c r="AL35" s="57">
        <v>100712550.5511</v>
      </c>
      <c r="AM35" s="57">
        <v>0</v>
      </c>
      <c r="AN35" s="57">
        <v>0</v>
      </c>
      <c r="AO35" s="57">
        <v>100712550.5511</v>
      </c>
      <c r="AP35" s="59">
        <v>-8.9436454631000001E-2</v>
      </c>
      <c r="AQ35" s="57">
        <v>8.8000000000000007</v>
      </c>
      <c r="AR35" s="57">
        <v>8.3481780359654998</v>
      </c>
      <c r="AS35" s="57">
        <v>0</v>
      </c>
      <c r="AT35" s="57">
        <v>32.144584999999999</v>
      </c>
      <c r="AU35" s="57">
        <v>0</v>
      </c>
      <c r="AV35" s="57">
        <v>1</v>
      </c>
      <c r="AW35" s="57">
        <v>0</v>
      </c>
      <c r="AX35" s="202">
        <v>0</v>
      </c>
    </row>
    <row r="36" spans="1:50" customFormat="1" ht="15" x14ac:dyDescent="0.25">
      <c r="A36" s="87" t="s">
        <v>163</v>
      </c>
      <c r="B36" s="4" t="s">
        <v>17</v>
      </c>
      <c r="C36" s="4" t="s">
        <v>80</v>
      </c>
      <c r="D36" s="193">
        <v>45474</v>
      </c>
      <c r="E36" s="57">
        <v>3410.3910000000001</v>
      </c>
      <c r="F36" s="57">
        <v>327709943.62900001</v>
      </c>
      <c r="G36" s="57">
        <v>96091.604999999996</v>
      </c>
      <c r="H36" s="57">
        <v>20448.667877771899</v>
      </c>
      <c r="I36" s="57">
        <v>85.570999999999998</v>
      </c>
      <c r="J36" s="57">
        <v>90.382999999999996</v>
      </c>
      <c r="K36" s="57">
        <v>92.2585227</v>
      </c>
      <c r="L36" s="57">
        <v>91.559226987116801</v>
      </c>
      <c r="M36" s="58">
        <v>0</v>
      </c>
      <c r="N36" s="58">
        <v>2.3543002182688899E-2</v>
      </c>
      <c r="O36" s="58">
        <v>0</v>
      </c>
      <c r="P36" s="58">
        <v>0</v>
      </c>
      <c r="Q36" s="57">
        <v>50246461</v>
      </c>
      <c r="R36" s="57">
        <v>27612878.417968798</v>
      </c>
      <c r="S36" s="57">
        <v>7005896</v>
      </c>
      <c r="T36" s="57">
        <v>14414015.869140601</v>
      </c>
      <c r="U36" s="57">
        <v>57252357</v>
      </c>
      <c r="V36" s="57">
        <v>42026894.287109397</v>
      </c>
      <c r="W36" s="57">
        <v>7899</v>
      </c>
      <c r="X36" s="57">
        <v>1505519.04296875</v>
      </c>
      <c r="Y36" s="57">
        <v>358</v>
      </c>
      <c r="Z36" s="57">
        <v>0</v>
      </c>
      <c r="AA36" s="57">
        <v>0</v>
      </c>
      <c r="AB36" s="57">
        <v>0</v>
      </c>
      <c r="AC36" s="57">
        <v>0</v>
      </c>
      <c r="AD36" s="57">
        <v>10445652.173913</v>
      </c>
      <c r="AE36" s="57">
        <v>27.0490196078431</v>
      </c>
      <c r="AF36" s="57">
        <v>0</v>
      </c>
      <c r="AG36" s="57">
        <v>0</v>
      </c>
      <c r="AH36" s="57">
        <v>325.56934568285902</v>
      </c>
      <c r="AI36" s="57">
        <v>405.56192237138703</v>
      </c>
      <c r="AJ36" s="57">
        <v>0</v>
      </c>
      <c r="AK36" s="57">
        <v>731.13126805424702</v>
      </c>
      <c r="AL36" s="57">
        <v>30760087.514912199</v>
      </c>
      <c r="AM36" s="57">
        <v>84491926.740562096</v>
      </c>
      <c r="AN36" s="57">
        <v>0</v>
      </c>
      <c r="AO36" s="57">
        <v>115252014.255474</v>
      </c>
      <c r="AP36" s="59">
        <v>0.73651446527919995</v>
      </c>
      <c r="AQ36" s="57">
        <v>8.1999999999999993</v>
      </c>
      <c r="AR36" s="57">
        <v>8.6841757807491007</v>
      </c>
      <c r="AS36" s="57">
        <v>0</v>
      </c>
      <c r="AT36" s="57">
        <v>32.187480000000001</v>
      </c>
      <c r="AU36" s="57">
        <v>0</v>
      </c>
      <c r="AV36" s="57">
        <v>0</v>
      </c>
      <c r="AW36" s="57">
        <v>0</v>
      </c>
      <c r="AX36" s="202">
        <v>0</v>
      </c>
    </row>
    <row r="37" spans="1:50" customFormat="1" ht="15" x14ac:dyDescent="0.25">
      <c r="A37" s="87" t="s">
        <v>163</v>
      </c>
      <c r="B37" s="4" t="s">
        <v>17</v>
      </c>
      <c r="C37" s="4" t="s">
        <v>80</v>
      </c>
      <c r="D37" s="203">
        <v>45505</v>
      </c>
      <c r="E37" s="204">
        <v>3635.57</v>
      </c>
      <c r="F37" s="204">
        <v>347504217.833</v>
      </c>
      <c r="G37" s="204">
        <v>95584.520999999993</v>
      </c>
      <c r="H37" s="204">
        <v>20112.215298652602</v>
      </c>
      <c r="I37" s="204">
        <v>84.265000000000001</v>
      </c>
      <c r="J37" s="204">
        <v>92.956999999999994</v>
      </c>
      <c r="K37" s="204">
        <v>80.836236900000003</v>
      </c>
      <c r="L37" s="204">
        <v>86.002013241744905</v>
      </c>
      <c r="M37" s="205">
        <v>0</v>
      </c>
      <c r="N37" s="205">
        <v>2.8695853155270699E-2</v>
      </c>
      <c r="O37" s="205">
        <v>0</v>
      </c>
      <c r="P37" s="205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287</v>
      </c>
      <c r="Z37" s="204">
        <v>0</v>
      </c>
      <c r="AA37" s="204">
        <v>0</v>
      </c>
      <c r="AB37" s="204">
        <v>0</v>
      </c>
      <c r="AC37" s="204">
        <v>0</v>
      </c>
      <c r="AD37" s="204">
        <v>5054347.8260869598</v>
      </c>
      <c r="AE37" s="204">
        <v>13.088235294117601</v>
      </c>
      <c r="AF37" s="204">
        <v>0</v>
      </c>
      <c r="AG37" s="204">
        <v>0</v>
      </c>
      <c r="AH37" s="204">
        <v>283.37272092699999</v>
      </c>
      <c r="AI37" s="204">
        <v>329.57960340380703</v>
      </c>
      <c r="AJ37" s="204">
        <v>0</v>
      </c>
      <c r="AK37" s="204">
        <v>612.95232433080696</v>
      </c>
      <c r="AL37" s="204">
        <v>22479017.6935593</v>
      </c>
      <c r="AM37" s="204">
        <v>63161317.340725198</v>
      </c>
      <c r="AN37" s="204">
        <v>0</v>
      </c>
      <c r="AO37" s="204">
        <v>85640335.034284502</v>
      </c>
      <c r="AP37" s="206">
        <v>0.25549723031119997</v>
      </c>
      <c r="AQ37" s="204">
        <v>9.6999999999999993</v>
      </c>
      <c r="AR37" s="204">
        <v>8.9013222957233005</v>
      </c>
      <c r="AS37" s="204">
        <v>0</v>
      </c>
      <c r="AT37" s="204">
        <v>32.768219999999999</v>
      </c>
      <c r="AU37" s="204">
        <v>0</v>
      </c>
      <c r="AV37" s="204">
        <v>0</v>
      </c>
      <c r="AW37" s="204">
        <v>0</v>
      </c>
      <c r="AX37" s="207">
        <v>0</v>
      </c>
    </row>
    <row r="38" spans="1:50" customFormat="1" ht="15" x14ac:dyDescent="0.25">
      <c r="A38" s="87" t="s">
        <v>163</v>
      </c>
      <c r="B38" s="196" t="s">
        <v>20</v>
      </c>
      <c r="C38" s="196" t="s">
        <v>80</v>
      </c>
      <c r="D38" s="193">
        <v>45536</v>
      </c>
      <c r="E38" s="57">
        <v>4210.6840000000002</v>
      </c>
      <c r="F38" s="57">
        <v>402318259</v>
      </c>
      <c r="G38" s="57">
        <v>95547.008000000002</v>
      </c>
      <c r="H38" s="57">
        <v>20692.3965399152</v>
      </c>
      <c r="I38" s="57">
        <v>83.384</v>
      </c>
      <c r="J38" s="57">
        <v>92.72</v>
      </c>
      <c r="K38" s="57">
        <v>74.986103400000005</v>
      </c>
      <c r="L38" s="57">
        <v>82.794982857868504</v>
      </c>
      <c r="M38" s="58">
        <v>0</v>
      </c>
      <c r="N38" s="58">
        <v>0</v>
      </c>
      <c r="O38" s="58">
        <v>0</v>
      </c>
      <c r="P38" s="58">
        <v>0</v>
      </c>
      <c r="Q38" s="57">
        <v>0</v>
      </c>
      <c r="R38" s="57">
        <v>0</v>
      </c>
      <c r="S38" s="57">
        <v>0</v>
      </c>
      <c r="T38" s="57">
        <v>0</v>
      </c>
      <c r="U38" s="57">
        <v>0</v>
      </c>
      <c r="V38" s="57">
        <v>0</v>
      </c>
      <c r="W38" s="57">
        <v>0</v>
      </c>
      <c r="X38" s="57">
        <v>0</v>
      </c>
      <c r="Y38" s="57">
        <v>308</v>
      </c>
      <c r="Z38" s="57">
        <v>0</v>
      </c>
      <c r="AA38" s="57">
        <v>0</v>
      </c>
      <c r="AB38" s="57">
        <v>0</v>
      </c>
      <c r="AC38" s="57">
        <v>0</v>
      </c>
      <c r="AD38" s="57">
        <v>0</v>
      </c>
      <c r="AE38" s="57">
        <v>0</v>
      </c>
      <c r="AF38" s="57">
        <v>0</v>
      </c>
      <c r="AG38" s="57">
        <v>0</v>
      </c>
      <c r="AH38" s="57">
        <v>378.41223527491098</v>
      </c>
      <c r="AI38" s="57">
        <v>151.70855285227299</v>
      </c>
      <c r="AJ38" s="57">
        <v>0</v>
      </c>
      <c r="AK38" s="57">
        <v>530.12078812718403</v>
      </c>
      <c r="AL38" s="57">
        <v>71858077.053920001</v>
      </c>
      <c r="AM38" s="57">
        <v>25948334.030217599</v>
      </c>
      <c r="AN38" s="57">
        <v>0</v>
      </c>
      <c r="AO38" s="57">
        <v>97806411.084137693</v>
      </c>
      <c r="AP38" s="59">
        <v>8.7768664364599999E-2</v>
      </c>
      <c r="AQ38" s="57">
        <v>12.1</v>
      </c>
      <c r="AR38" s="57">
        <v>8.7423149114592995</v>
      </c>
      <c r="AS38" s="57">
        <v>0</v>
      </c>
      <c r="AT38" s="57">
        <v>31.836134999999999</v>
      </c>
      <c r="AU38" s="57">
        <v>0</v>
      </c>
      <c r="AV38" s="57">
        <v>0</v>
      </c>
      <c r="AW38" s="57">
        <v>1</v>
      </c>
      <c r="AX38" s="57">
        <v>0</v>
      </c>
    </row>
    <row r="39" spans="1:50" customFormat="1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50" customFormat="1" ht="15" x14ac:dyDescent="0.25">
      <c r="A40" s="1"/>
      <c r="B40" s="1"/>
      <c r="C40" s="1"/>
      <c r="D40" s="3" t="s">
        <v>32</v>
      </c>
      <c r="E40" s="63">
        <f>SUM(E2:E37)</f>
        <v>98716.457000000009</v>
      </c>
      <c r="F40" s="63">
        <f>SUM(F2:F37)</f>
        <v>9067691764.0489998</v>
      </c>
      <c r="G40" s="63">
        <f t="shared" ref="G40:S40" si="0">SUM(G2:G37)</f>
        <v>3314070.7</v>
      </c>
      <c r="H40" s="63">
        <f t="shared" si="0"/>
        <v>644444.2016238576</v>
      </c>
      <c r="I40" s="63">
        <f t="shared" si="0"/>
        <v>2795.395</v>
      </c>
      <c r="J40" s="63">
        <f t="shared" si="0"/>
        <v>3219.2170000000006</v>
      </c>
      <c r="K40" s="63">
        <f t="shared" si="0"/>
        <v>2682.5314051999999</v>
      </c>
      <c r="L40" s="63">
        <f t="shared" si="0"/>
        <v>2975.0568633357666</v>
      </c>
      <c r="M40" s="63">
        <f t="shared" si="0"/>
        <v>1.491759968293525</v>
      </c>
      <c r="N40" s="63">
        <f t="shared" si="0"/>
        <v>2.1890826191792261</v>
      </c>
      <c r="O40" s="63">
        <f t="shared" si="0"/>
        <v>1.8020282869928499</v>
      </c>
      <c r="P40" s="63">
        <f t="shared" si="0"/>
        <v>1.690731179227402</v>
      </c>
      <c r="Q40" s="63">
        <f t="shared" si="0"/>
        <v>222462988</v>
      </c>
      <c r="R40" s="63">
        <f t="shared" si="0"/>
        <v>93488203.495117232</v>
      </c>
      <c r="S40" s="63">
        <f t="shared" si="0"/>
        <v>47181735</v>
      </c>
      <c r="T40" s="63">
        <f>SUM(T2:T37)</f>
        <v>93785998.671875</v>
      </c>
      <c r="U40" s="63">
        <f>SUM(U2:U37)</f>
        <v>269644723</v>
      </c>
      <c r="V40" s="63">
        <f>SUM(V2:V37)</f>
        <v>187274202.16699222</v>
      </c>
      <c r="W40" s="63">
        <f t="shared" ref="W40" si="1">SUM(W2:W37)</f>
        <v>101654</v>
      </c>
      <c r="X40" s="63">
        <f>SUM(X2:X37)</f>
        <v>13881383.987304689</v>
      </c>
      <c r="Y40" s="63">
        <f t="shared" ref="Y40:AX40" si="2">SUM(Y2:Y37)</f>
        <v>6341</v>
      </c>
      <c r="Z40" s="63">
        <f t="shared" si="2"/>
        <v>3532942</v>
      </c>
      <c r="AA40" s="63">
        <f t="shared" si="2"/>
        <v>18374818</v>
      </c>
      <c r="AB40" s="63">
        <f t="shared" si="2"/>
        <v>45574922.761904821</v>
      </c>
      <c r="AC40" s="63">
        <f t="shared" si="2"/>
        <v>460.11572826120005</v>
      </c>
      <c r="AD40" s="63">
        <f t="shared" si="2"/>
        <v>50699999.571428522</v>
      </c>
      <c r="AE40" s="63">
        <f t="shared" si="2"/>
        <v>287.88743172699992</v>
      </c>
      <c r="AF40" s="63">
        <f t="shared" si="2"/>
        <v>28109064.904761899</v>
      </c>
      <c r="AG40" s="63">
        <f t="shared" si="2"/>
        <v>80</v>
      </c>
      <c r="AH40" s="63">
        <f t="shared" si="2"/>
        <v>6954.7515655830512</v>
      </c>
      <c r="AI40" s="63">
        <f t="shared" si="2"/>
        <v>6032.8933937251568</v>
      </c>
      <c r="AJ40" s="63">
        <f t="shared" si="2"/>
        <v>556.61768733710073</v>
      </c>
      <c r="AK40" s="63">
        <f t="shared" si="2"/>
        <v>13544.262646645308</v>
      </c>
      <c r="AL40" s="63">
        <f t="shared" si="2"/>
        <v>925048726.47347629</v>
      </c>
      <c r="AM40" s="63">
        <f t="shared" si="2"/>
        <v>554790912.97548282</v>
      </c>
      <c r="AN40" s="63">
        <f t="shared" si="2"/>
        <v>45434936.897066936</v>
      </c>
      <c r="AO40" s="63">
        <f t="shared" si="2"/>
        <v>1525274576.3460257</v>
      </c>
      <c r="AP40" s="63">
        <f t="shared" si="2"/>
        <v>22.561455009066897</v>
      </c>
      <c r="AQ40" s="63">
        <f t="shared" si="2"/>
        <v>536.70000000000005</v>
      </c>
      <c r="AR40" s="63">
        <f t="shared" si="2"/>
        <v>296.88753646496599</v>
      </c>
      <c r="AS40" s="63">
        <f t="shared" si="2"/>
        <v>449325.99038944778</v>
      </c>
      <c r="AT40" s="63">
        <f t="shared" si="2"/>
        <v>1117.5779224682649</v>
      </c>
      <c r="AU40" s="63">
        <f t="shared" si="2"/>
        <v>451.9</v>
      </c>
      <c r="AV40" s="63">
        <f t="shared" si="2"/>
        <v>3</v>
      </c>
      <c r="AW40" s="63">
        <f t="shared" si="2"/>
        <v>3</v>
      </c>
      <c r="AX40" s="63">
        <f t="shared" si="2"/>
        <v>3</v>
      </c>
    </row>
    <row r="41" spans="1:50" x14ac:dyDescent="0.2">
      <c r="D41" s="3" t="s">
        <v>11</v>
      </c>
      <c r="E41" s="63">
        <f t="shared" ref="E41:F43" si="3">SUMIFS(E$2:E$38,$B$2:$B$38,$D41)</f>
        <v>33769.536999999997</v>
      </c>
      <c r="F41" s="63">
        <f t="shared" si="3"/>
        <v>2985760434.5929999</v>
      </c>
      <c r="G41" s="63">
        <f>AVERAGEIFS(G$2:G$38,$B$2:$B$38,$D41)</f>
        <v>88278.166749999989</v>
      </c>
      <c r="H41" s="63">
        <f t="shared" ref="H41:Q43" si="4">SUMIFS(H$2:H$38,$B$2:$B$38,$D41)</f>
        <v>189805.44389267921</v>
      </c>
      <c r="I41" s="63">
        <f t="shared" si="4"/>
        <v>923.18500000000006</v>
      </c>
      <c r="J41" s="63">
        <f t="shared" si="4"/>
        <v>1083.98</v>
      </c>
      <c r="K41" s="63">
        <f t="shared" si="4"/>
        <v>752.84544169999992</v>
      </c>
      <c r="L41" s="63">
        <f t="shared" si="4"/>
        <v>956.61180960231377</v>
      </c>
      <c r="M41" s="63">
        <f t="shared" si="4"/>
        <v>0.67303986346230615</v>
      </c>
      <c r="N41" s="63">
        <f t="shared" si="4"/>
        <v>0.8607866151857807</v>
      </c>
      <c r="O41" s="63">
        <f t="shared" si="4"/>
        <v>0.72975281896479016</v>
      </c>
      <c r="P41" s="63">
        <f t="shared" si="4"/>
        <v>0.67303986346230615</v>
      </c>
      <c r="Q41" s="63">
        <f t="shared" si="4"/>
        <v>0</v>
      </c>
      <c r="R41" s="63">
        <f t="shared" ref="R41:AA43" si="5">SUMIFS(R$2:R$38,$B$2:$B$38,$D41)</f>
        <v>0</v>
      </c>
      <c r="S41" s="63">
        <f t="shared" si="5"/>
        <v>0</v>
      </c>
      <c r="T41" s="63">
        <f t="shared" si="5"/>
        <v>0</v>
      </c>
      <c r="U41" s="63">
        <f t="shared" si="5"/>
        <v>0</v>
      </c>
      <c r="V41" s="63">
        <f t="shared" si="5"/>
        <v>0</v>
      </c>
      <c r="W41" s="63">
        <f t="shared" si="5"/>
        <v>0</v>
      </c>
      <c r="X41" s="63">
        <f t="shared" si="5"/>
        <v>0</v>
      </c>
      <c r="Y41" s="63">
        <f t="shared" si="5"/>
        <v>1503</v>
      </c>
      <c r="Z41" s="63">
        <f t="shared" si="5"/>
        <v>0</v>
      </c>
      <c r="AA41" s="63">
        <f t="shared" si="5"/>
        <v>0</v>
      </c>
      <c r="AB41" s="63">
        <f t="shared" ref="AB41:AK43" si="6">SUMIFS(AB$2:AB$38,$B$2:$B$38,$D41)</f>
        <v>0</v>
      </c>
      <c r="AC41" s="63">
        <f t="shared" si="6"/>
        <v>0</v>
      </c>
      <c r="AD41" s="63">
        <f t="shared" si="6"/>
        <v>0</v>
      </c>
      <c r="AE41" s="63">
        <f t="shared" si="6"/>
        <v>0</v>
      </c>
      <c r="AF41" s="63">
        <f t="shared" si="6"/>
        <v>0</v>
      </c>
      <c r="AG41" s="63">
        <f t="shared" si="6"/>
        <v>0</v>
      </c>
      <c r="AH41" s="63">
        <f t="shared" si="6"/>
        <v>2513.7615731284022</v>
      </c>
      <c r="AI41" s="63">
        <f t="shared" si="6"/>
        <v>1182.1331175565726</v>
      </c>
      <c r="AJ41" s="63">
        <f t="shared" si="6"/>
        <v>160.16173122823244</v>
      </c>
      <c r="AK41" s="63">
        <f t="shared" si="6"/>
        <v>3856.0564219132075</v>
      </c>
      <c r="AL41" s="63">
        <f t="shared" ref="AL41:AX43" si="7">SUMIFS(AL$2:AL$38,$B$2:$B$38,$D41)</f>
        <v>231011458.20003289</v>
      </c>
      <c r="AM41" s="63">
        <f t="shared" si="7"/>
        <v>0</v>
      </c>
      <c r="AN41" s="63">
        <f t="shared" si="7"/>
        <v>0</v>
      </c>
      <c r="AO41" s="63">
        <f t="shared" si="7"/>
        <v>231011458.20003289</v>
      </c>
      <c r="AP41" s="63">
        <f t="shared" si="7"/>
        <v>13.259469859999999</v>
      </c>
      <c r="AQ41" s="63">
        <f t="shared" si="7"/>
        <v>178.89999999999998</v>
      </c>
      <c r="AR41" s="63">
        <f t="shared" si="7"/>
        <v>92.978764070653511</v>
      </c>
      <c r="AS41" s="63">
        <f t="shared" si="7"/>
        <v>186256.34981772804</v>
      </c>
      <c r="AT41" s="63">
        <f t="shared" si="7"/>
        <v>392.07845500000008</v>
      </c>
      <c r="AU41" s="63">
        <f t="shared" si="7"/>
        <v>382.9</v>
      </c>
      <c r="AV41" s="63">
        <f t="shared" si="7"/>
        <v>1</v>
      </c>
      <c r="AW41" s="63">
        <f t="shared" si="7"/>
        <v>1</v>
      </c>
      <c r="AX41" s="63">
        <f t="shared" si="7"/>
        <v>1</v>
      </c>
    </row>
    <row r="42" spans="1:50" x14ac:dyDescent="0.2">
      <c r="D42" s="3" t="s">
        <v>15</v>
      </c>
      <c r="E42" s="63">
        <f t="shared" si="3"/>
        <v>31283.970000000005</v>
      </c>
      <c r="F42" s="63">
        <f t="shared" si="3"/>
        <v>2876644521</v>
      </c>
      <c r="G42" s="63">
        <f>AVERAGEIFS(G$2:G$38,$B$2:$B$38,$D42)</f>
        <v>92585.941666666651</v>
      </c>
      <c r="H42" s="63">
        <f t="shared" si="4"/>
        <v>218751.4739302776</v>
      </c>
      <c r="I42" s="63">
        <f t="shared" si="4"/>
        <v>919.28500000000008</v>
      </c>
      <c r="J42" s="63">
        <f t="shared" si="4"/>
        <v>1070.538</v>
      </c>
      <c r="K42" s="63">
        <f t="shared" si="4"/>
        <v>871.73677369999996</v>
      </c>
      <c r="L42" s="63">
        <f t="shared" si="4"/>
        <v>956.13712572612781</v>
      </c>
      <c r="M42" s="63">
        <f t="shared" si="4"/>
        <v>0.74388443652697234</v>
      </c>
      <c r="N42" s="63">
        <f t="shared" si="4"/>
        <v>0.95028144660311709</v>
      </c>
      <c r="O42" s="63">
        <f t="shared" si="4"/>
        <v>0.87619135186464381</v>
      </c>
      <c r="P42" s="63">
        <f t="shared" si="4"/>
        <v>0.87619135186464381</v>
      </c>
      <c r="Q42" s="63">
        <f t="shared" si="4"/>
        <v>63627469</v>
      </c>
      <c r="R42" s="63">
        <f t="shared" si="5"/>
        <v>22488896</v>
      </c>
      <c r="S42" s="63">
        <f t="shared" si="5"/>
        <v>14669657</v>
      </c>
      <c r="T42" s="63">
        <f t="shared" si="5"/>
        <v>27586998</v>
      </c>
      <c r="U42" s="63">
        <f t="shared" si="5"/>
        <v>78297126</v>
      </c>
      <c r="V42" s="63">
        <f t="shared" si="5"/>
        <v>50075894</v>
      </c>
      <c r="W42" s="63">
        <f t="shared" si="5"/>
        <v>60335</v>
      </c>
      <c r="X42" s="63">
        <f t="shared" si="5"/>
        <v>7012253</v>
      </c>
      <c r="Y42" s="63">
        <f t="shared" si="5"/>
        <v>2009</v>
      </c>
      <c r="Z42" s="63">
        <f t="shared" si="5"/>
        <v>3532942</v>
      </c>
      <c r="AA42" s="63">
        <f t="shared" si="5"/>
        <v>18374818</v>
      </c>
      <c r="AB42" s="63">
        <f t="shared" si="6"/>
        <v>45574922.761904821</v>
      </c>
      <c r="AC42" s="63">
        <f t="shared" si="6"/>
        <v>460.11572826120005</v>
      </c>
      <c r="AD42" s="63">
        <f t="shared" si="6"/>
        <v>18526086.527950309</v>
      </c>
      <c r="AE42" s="63">
        <f t="shared" si="6"/>
        <v>187.03583002689999</v>
      </c>
      <c r="AF42" s="63">
        <f t="shared" si="6"/>
        <v>28109064.904761899</v>
      </c>
      <c r="AG42" s="63">
        <f t="shared" si="6"/>
        <v>80</v>
      </c>
      <c r="AH42" s="63">
        <f t="shared" si="6"/>
        <v>1888.8286916837096</v>
      </c>
      <c r="AI42" s="63">
        <f t="shared" si="6"/>
        <v>2659.4078895822163</v>
      </c>
      <c r="AJ42" s="63">
        <f t="shared" si="6"/>
        <v>394.89154926687485</v>
      </c>
      <c r="AK42" s="63">
        <f t="shared" si="6"/>
        <v>4943.1281305327993</v>
      </c>
      <c r="AL42" s="63">
        <f t="shared" si="7"/>
        <v>304299808.97345024</v>
      </c>
      <c r="AM42" s="63">
        <f t="shared" si="7"/>
        <v>241232635.09959596</v>
      </c>
      <c r="AN42" s="63">
        <f t="shared" si="7"/>
        <v>45434936.897066936</v>
      </c>
      <c r="AO42" s="63">
        <f t="shared" si="7"/>
        <v>590967380.9701128</v>
      </c>
      <c r="AP42" s="63">
        <f t="shared" si="7"/>
        <v>4.8259903039999994</v>
      </c>
      <c r="AQ42" s="63">
        <f t="shared" si="7"/>
        <v>178.89999999999998</v>
      </c>
      <c r="AR42" s="63">
        <f t="shared" si="7"/>
        <v>100.51323721864159</v>
      </c>
      <c r="AS42" s="63">
        <f t="shared" si="7"/>
        <v>195738.08869996804</v>
      </c>
      <c r="AT42" s="63">
        <f t="shared" si="7"/>
        <v>337.87037246826497</v>
      </c>
      <c r="AU42" s="63">
        <f t="shared" si="7"/>
        <v>69</v>
      </c>
      <c r="AV42" s="63">
        <f t="shared" si="7"/>
        <v>1</v>
      </c>
      <c r="AW42" s="63">
        <f t="shared" si="7"/>
        <v>1</v>
      </c>
      <c r="AX42" s="63">
        <f t="shared" si="7"/>
        <v>1</v>
      </c>
    </row>
    <row r="43" spans="1:50" x14ac:dyDescent="0.2">
      <c r="D43" s="3" t="s">
        <v>17</v>
      </c>
      <c r="E43" s="63">
        <f t="shared" si="3"/>
        <v>33662.949999999997</v>
      </c>
      <c r="F43" s="63">
        <f t="shared" si="3"/>
        <v>3205286808.4560003</v>
      </c>
      <c r="G43" s="63">
        <f>AVERAGEIFS(G$2:G$38,$B$2:$B$38,$D43)</f>
        <v>95308.449916666665</v>
      </c>
      <c r="H43" s="63">
        <f t="shared" si="4"/>
        <v>235887.28380090077</v>
      </c>
      <c r="I43" s="63">
        <f t="shared" si="4"/>
        <v>952.92499999999995</v>
      </c>
      <c r="J43" s="63">
        <f t="shared" si="4"/>
        <v>1064.6990000000001</v>
      </c>
      <c r="K43" s="63">
        <f t="shared" si="4"/>
        <v>1057.9491897999999</v>
      </c>
      <c r="L43" s="63">
        <f t="shared" si="4"/>
        <v>1062.3079280073255</v>
      </c>
      <c r="M43" s="63">
        <f t="shared" si="4"/>
        <v>7.48356683042464E-2</v>
      </c>
      <c r="N43" s="63">
        <f t="shared" si="4"/>
        <v>0.37801455739032896</v>
      </c>
      <c r="O43" s="63">
        <f t="shared" si="4"/>
        <v>0.19608411616341609</v>
      </c>
      <c r="P43" s="63">
        <f t="shared" si="4"/>
        <v>0.14149996390045211</v>
      </c>
      <c r="Q43" s="63">
        <f t="shared" si="4"/>
        <v>158835519</v>
      </c>
      <c r="R43" s="63">
        <f t="shared" si="5"/>
        <v>70999307.495117232</v>
      </c>
      <c r="S43" s="63">
        <f t="shared" si="5"/>
        <v>32512078</v>
      </c>
      <c r="T43" s="63">
        <f t="shared" si="5"/>
        <v>66199000.671875007</v>
      </c>
      <c r="U43" s="63">
        <f t="shared" si="5"/>
        <v>191347597</v>
      </c>
      <c r="V43" s="63">
        <f t="shared" si="5"/>
        <v>137198308.16699219</v>
      </c>
      <c r="W43" s="63">
        <f t="shared" si="5"/>
        <v>41319</v>
      </c>
      <c r="X43" s="63">
        <f t="shared" si="5"/>
        <v>6869130.9873046903</v>
      </c>
      <c r="Y43" s="63">
        <f t="shared" si="5"/>
        <v>2829</v>
      </c>
      <c r="Z43" s="63">
        <f t="shared" si="5"/>
        <v>0</v>
      </c>
      <c r="AA43" s="63">
        <f t="shared" si="5"/>
        <v>0</v>
      </c>
      <c r="AB43" s="63">
        <f t="shared" si="6"/>
        <v>0</v>
      </c>
      <c r="AC43" s="63">
        <f t="shared" si="6"/>
        <v>0</v>
      </c>
      <c r="AD43" s="63">
        <f t="shared" si="6"/>
        <v>32173913.04347821</v>
      </c>
      <c r="AE43" s="63">
        <f t="shared" si="6"/>
        <v>100.85160170009991</v>
      </c>
      <c r="AF43" s="63">
        <f t="shared" si="6"/>
        <v>0</v>
      </c>
      <c r="AG43" s="63">
        <f t="shared" si="6"/>
        <v>0</v>
      </c>
      <c r="AH43" s="63">
        <f t="shared" si="6"/>
        <v>2552.1613007709389</v>
      </c>
      <c r="AI43" s="63">
        <f t="shared" si="6"/>
        <v>2191.3523865863672</v>
      </c>
      <c r="AJ43" s="63">
        <f t="shared" si="6"/>
        <v>1.5644068419933299</v>
      </c>
      <c r="AK43" s="63">
        <f t="shared" si="6"/>
        <v>4745.0780941992989</v>
      </c>
      <c r="AL43" s="63">
        <f t="shared" si="7"/>
        <v>389737459.29999316</v>
      </c>
      <c r="AM43" s="63">
        <f t="shared" si="7"/>
        <v>313558277.87588692</v>
      </c>
      <c r="AN43" s="63">
        <f t="shared" si="7"/>
        <v>0</v>
      </c>
      <c r="AO43" s="63">
        <f t="shared" si="7"/>
        <v>703295737.17587996</v>
      </c>
      <c r="AP43" s="63">
        <f t="shared" si="7"/>
        <v>4.4759948450669</v>
      </c>
      <c r="AQ43" s="63">
        <f t="shared" si="7"/>
        <v>178.89999999999998</v>
      </c>
      <c r="AR43" s="63">
        <f t="shared" si="7"/>
        <v>103.3955351756709</v>
      </c>
      <c r="AS43" s="63">
        <f t="shared" si="7"/>
        <v>67331.551871752003</v>
      </c>
      <c r="AT43" s="63">
        <f t="shared" si="7"/>
        <v>387.62909499999995</v>
      </c>
      <c r="AU43" s="63">
        <f t="shared" si="7"/>
        <v>0</v>
      </c>
      <c r="AV43" s="63">
        <f t="shared" si="7"/>
        <v>1</v>
      </c>
      <c r="AW43" s="63">
        <f t="shared" si="7"/>
        <v>1</v>
      </c>
      <c r="AX43" s="63">
        <f t="shared" si="7"/>
        <v>1</v>
      </c>
    </row>
    <row r="46" spans="1:50" ht="45" x14ac:dyDescent="0.2">
      <c r="Q46" s="55" t="s">
        <v>146</v>
      </c>
      <c r="R46" s="55" t="s">
        <v>147</v>
      </c>
      <c r="S46" s="55" t="s">
        <v>148</v>
      </c>
      <c r="T46" s="55" t="s">
        <v>149</v>
      </c>
      <c r="U46" s="55" t="s">
        <v>50</v>
      </c>
      <c r="V46" s="55" t="s">
        <v>51</v>
      </c>
      <c r="W46" s="55" t="s">
        <v>54</v>
      </c>
      <c r="X46" s="55" t="s">
        <v>55</v>
      </c>
      <c r="Y46" s="55" t="s">
        <v>150</v>
      </c>
      <c r="Z46" s="55" t="s">
        <v>56</v>
      </c>
      <c r="AA46" s="55" t="s">
        <v>57</v>
      </c>
      <c r="AB46" s="55" t="s">
        <v>59</v>
      </c>
      <c r="AC46" s="55" t="s">
        <v>58</v>
      </c>
      <c r="AD46" s="55" t="s">
        <v>62</v>
      </c>
      <c r="AE46" s="55" t="s">
        <v>61</v>
      </c>
    </row>
    <row r="47" spans="1:50" x14ac:dyDescent="0.2">
      <c r="E47" s="4" t="s">
        <v>79</v>
      </c>
      <c r="F47" s="1">
        <f t="shared" ref="F47:O48" si="8">SUMIFS(F$2:F$38,$C$2:$C$38,$E47)</f>
        <v>1439715088.592</v>
      </c>
      <c r="G47" s="1">
        <f t="shared" si="8"/>
        <v>460932.17800000001</v>
      </c>
      <c r="H47" s="1">
        <f t="shared" si="8"/>
        <v>94637.9963107066</v>
      </c>
      <c r="I47" s="1">
        <f t="shared" si="8"/>
        <v>384.57299999999998</v>
      </c>
      <c r="J47" s="1">
        <f t="shared" si="8"/>
        <v>433.78899999999993</v>
      </c>
      <c r="K47" s="1">
        <f t="shared" si="8"/>
        <v>416.30654010000001</v>
      </c>
      <c r="L47" s="1">
        <f t="shared" si="8"/>
        <v>424.22340479963464</v>
      </c>
      <c r="M47" s="1">
        <f t="shared" si="8"/>
        <v>0.20682302390152829</v>
      </c>
      <c r="N47" s="1">
        <f t="shared" si="8"/>
        <v>0.37540756703588979</v>
      </c>
      <c r="O47" s="1">
        <f t="shared" si="8"/>
        <v>0.32868504777217017</v>
      </c>
      <c r="P47" s="1">
        <f t="shared" ref="P47:Y48" si="9">SUMIFS(P$2:P$38,$C$2:$C$38,$E47)</f>
        <v>0.27410089550920619</v>
      </c>
      <c r="Q47" s="1">
        <f t="shared" si="9"/>
        <v>63627469</v>
      </c>
      <c r="R47" s="1">
        <f t="shared" si="9"/>
        <v>22488896</v>
      </c>
      <c r="S47" s="1">
        <f t="shared" si="9"/>
        <v>14669657</v>
      </c>
      <c r="T47" s="1">
        <f t="shared" si="9"/>
        <v>27586998</v>
      </c>
      <c r="U47" s="1">
        <f t="shared" si="9"/>
        <v>78297126</v>
      </c>
      <c r="V47" s="1">
        <f t="shared" si="9"/>
        <v>50075894</v>
      </c>
      <c r="W47" s="1">
        <f t="shared" si="9"/>
        <v>60335</v>
      </c>
      <c r="X47" s="1">
        <f t="shared" si="9"/>
        <v>7012253</v>
      </c>
      <c r="Y47" s="1">
        <f t="shared" si="9"/>
        <v>1182</v>
      </c>
      <c r="Z47" s="1">
        <f t="shared" ref="Z47:AI48" si="10">SUMIFS(Z$2:Z$38,$C$2:$C$38,$E47)</f>
        <v>3532942</v>
      </c>
      <c r="AA47" s="1">
        <f t="shared" si="10"/>
        <v>18374818</v>
      </c>
      <c r="AB47" s="1">
        <f t="shared" si="10"/>
        <v>45574922.761904821</v>
      </c>
      <c r="AC47" s="1">
        <f t="shared" si="10"/>
        <v>460.11572826120005</v>
      </c>
      <c r="AD47" s="1">
        <f t="shared" si="10"/>
        <v>19699999.571428571</v>
      </c>
      <c r="AE47" s="1">
        <f t="shared" si="10"/>
        <v>198.88743172699998</v>
      </c>
      <c r="AF47" s="1">
        <f t="shared" si="10"/>
        <v>28109064.904761899</v>
      </c>
      <c r="AG47" s="1">
        <f t="shared" si="10"/>
        <v>80</v>
      </c>
      <c r="AH47" s="1">
        <f t="shared" si="10"/>
        <v>1070.0515698939557</v>
      </c>
      <c r="AI47" s="1">
        <f t="shared" si="10"/>
        <v>1649.720918118953</v>
      </c>
      <c r="AJ47" s="1">
        <f t="shared" ref="AJ47:AX48" si="11">SUMIFS(AJ$2:AJ$38,$C$2:$C$38,$E47)</f>
        <v>219.40133988112203</v>
      </c>
      <c r="AK47" s="1">
        <f t="shared" si="11"/>
        <v>2939.1738278940315</v>
      </c>
      <c r="AL47" s="1">
        <f t="shared" si="11"/>
        <v>229085783.71965981</v>
      </c>
      <c r="AM47" s="1">
        <f t="shared" si="11"/>
        <v>182046441.65547022</v>
      </c>
      <c r="AN47" s="1">
        <f t="shared" si="11"/>
        <v>45085283.662110202</v>
      </c>
      <c r="AO47" s="1">
        <f t="shared" si="11"/>
        <v>456217509.03724003</v>
      </c>
      <c r="AP47" s="1">
        <f t="shared" si="11"/>
        <v>0.73412646199999987</v>
      </c>
      <c r="AQ47" s="1">
        <f t="shared" si="11"/>
        <v>53.599999999999994</v>
      </c>
      <c r="AR47" s="1">
        <f t="shared" si="11"/>
        <v>44.094927633170002</v>
      </c>
      <c r="AS47" s="1">
        <f t="shared" si="11"/>
        <v>84164.439839690007</v>
      </c>
      <c r="AT47" s="1">
        <f t="shared" si="11"/>
        <v>150.74991749365302</v>
      </c>
      <c r="AU47" s="1">
        <f t="shared" si="11"/>
        <v>0</v>
      </c>
      <c r="AV47" s="1">
        <f t="shared" si="11"/>
        <v>1</v>
      </c>
      <c r="AW47" s="1">
        <f t="shared" si="11"/>
        <v>1</v>
      </c>
      <c r="AX47" s="1">
        <f t="shared" si="11"/>
        <v>0</v>
      </c>
    </row>
    <row r="48" spans="1:50" x14ac:dyDescent="0.2">
      <c r="E48" s="4" t="s">
        <v>80</v>
      </c>
      <c r="F48" s="1">
        <f t="shared" si="8"/>
        <v>2009570353.053</v>
      </c>
      <c r="G48" s="1">
        <f t="shared" si="8"/>
        <v>580152.75899999996</v>
      </c>
      <c r="H48" s="1">
        <f t="shared" si="8"/>
        <v>122064.8895618981</v>
      </c>
      <c r="I48" s="1">
        <f t="shared" si="8"/>
        <v>493.18799999999999</v>
      </c>
      <c r="J48" s="1">
        <f t="shared" si="8"/>
        <v>545.04</v>
      </c>
      <c r="K48" s="1">
        <f t="shared" si="8"/>
        <v>517.49525070000004</v>
      </c>
      <c r="L48" s="1">
        <f t="shared" si="8"/>
        <v>529.68654424116107</v>
      </c>
      <c r="M48" s="1">
        <f t="shared" si="8"/>
        <v>0</v>
      </c>
      <c r="N48" s="1">
        <f t="shared" si="8"/>
        <v>7.5566936919584077E-2</v>
      </c>
      <c r="O48" s="1">
        <f t="shared" si="8"/>
        <v>0</v>
      </c>
      <c r="P48" s="1">
        <f t="shared" si="9"/>
        <v>0</v>
      </c>
      <c r="Q48" s="1">
        <f t="shared" si="9"/>
        <v>158835519</v>
      </c>
      <c r="R48" s="1">
        <f t="shared" si="9"/>
        <v>70999307.495117232</v>
      </c>
      <c r="S48" s="1">
        <f t="shared" si="9"/>
        <v>32512078</v>
      </c>
      <c r="T48" s="1">
        <f t="shared" si="9"/>
        <v>66199000.671875007</v>
      </c>
      <c r="U48" s="1">
        <f t="shared" si="9"/>
        <v>191347597</v>
      </c>
      <c r="V48" s="1">
        <f t="shared" si="9"/>
        <v>137198308.16699219</v>
      </c>
      <c r="W48" s="1">
        <f t="shared" si="9"/>
        <v>41319</v>
      </c>
      <c r="X48" s="1">
        <f t="shared" si="9"/>
        <v>6869130.9873046903</v>
      </c>
      <c r="Y48" s="1">
        <f t="shared" si="9"/>
        <v>1795</v>
      </c>
      <c r="Z48" s="1">
        <f t="shared" si="10"/>
        <v>0</v>
      </c>
      <c r="AA48" s="1">
        <f t="shared" si="10"/>
        <v>0</v>
      </c>
      <c r="AB48" s="1">
        <f t="shared" si="10"/>
        <v>0</v>
      </c>
      <c r="AC48" s="1">
        <f t="shared" si="10"/>
        <v>0</v>
      </c>
      <c r="AD48" s="1">
        <f t="shared" si="10"/>
        <v>30999999.999999948</v>
      </c>
      <c r="AE48" s="1">
        <f t="shared" si="10"/>
        <v>88.999999999999886</v>
      </c>
      <c r="AF48" s="1">
        <f t="shared" si="10"/>
        <v>0</v>
      </c>
      <c r="AG48" s="1">
        <f t="shared" si="10"/>
        <v>0</v>
      </c>
      <c r="AH48" s="1">
        <f t="shared" si="10"/>
        <v>2070.4660459682341</v>
      </c>
      <c r="AI48" s="1">
        <f t="shared" si="10"/>
        <v>1255.5888941362491</v>
      </c>
      <c r="AJ48" s="1">
        <f t="shared" si="11"/>
        <v>0</v>
      </c>
      <c r="AK48" s="1">
        <f t="shared" si="11"/>
        <v>3326.0549401044836</v>
      </c>
      <c r="AL48" s="1">
        <f t="shared" si="11"/>
        <v>285366192.10864794</v>
      </c>
      <c r="AM48" s="1">
        <f t="shared" si="11"/>
        <v>215611929.89093128</v>
      </c>
      <c r="AN48" s="1">
        <f t="shared" si="11"/>
        <v>0</v>
      </c>
      <c r="AO48" s="1">
        <f t="shared" si="11"/>
        <v>500978121.99957907</v>
      </c>
      <c r="AP48" s="1">
        <f t="shared" si="11"/>
        <v>1.7812403784315001</v>
      </c>
      <c r="AQ48" s="1">
        <f t="shared" si="11"/>
        <v>65.3</v>
      </c>
      <c r="AR48" s="1">
        <f t="shared" si="11"/>
        <v>51.512655161613012</v>
      </c>
      <c r="AS48" s="1">
        <f t="shared" si="11"/>
        <v>0</v>
      </c>
      <c r="AT48" s="1">
        <f t="shared" si="11"/>
        <v>193.44585499999999</v>
      </c>
      <c r="AU48" s="1">
        <f t="shared" si="11"/>
        <v>0</v>
      </c>
      <c r="AV48" s="1">
        <f t="shared" si="11"/>
        <v>1</v>
      </c>
      <c r="AW48" s="1">
        <f t="shared" si="11"/>
        <v>1</v>
      </c>
      <c r="AX48" s="1">
        <f t="shared" si="11"/>
        <v>0</v>
      </c>
    </row>
    <row r="51" spans="16:33" x14ac:dyDescent="0.2">
      <c r="W51" s="2"/>
    </row>
    <row r="52" spans="16:33" x14ac:dyDescent="0.2">
      <c r="P52" s="1" t="s">
        <v>164</v>
      </c>
      <c r="Q52" s="2">
        <f>AVERAGE(Q23:Q25)</f>
        <v>21209156.333333332</v>
      </c>
      <c r="R52" s="2">
        <f t="shared" ref="R52:AG52" si="12">AVERAGE(R23:R25)</f>
        <v>7496298.666666667</v>
      </c>
      <c r="S52" s="2">
        <f t="shared" si="12"/>
        <v>4889885.666666667</v>
      </c>
      <c r="T52" s="2">
        <f t="shared" si="12"/>
        <v>9195666</v>
      </c>
      <c r="U52" s="2">
        <f t="shared" si="12"/>
        <v>26099042</v>
      </c>
      <c r="V52" s="2">
        <f t="shared" si="12"/>
        <v>16691964.666666666</v>
      </c>
      <c r="W52" s="2">
        <f t="shared" si="12"/>
        <v>20111.666666666668</v>
      </c>
      <c r="X52" s="2">
        <f t="shared" si="12"/>
        <v>2337417.6666666665</v>
      </c>
      <c r="Y52" s="2"/>
      <c r="Z52" s="2">
        <f t="shared" si="12"/>
        <v>1177647.3333333333</v>
      </c>
      <c r="AA52" s="2">
        <f t="shared" si="12"/>
        <v>6124939.333333333</v>
      </c>
      <c r="AB52" s="2">
        <f t="shared" si="12"/>
        <v>15191640.92063494</v>
      </c>
      <c r="AC52" s="2">
        <f t="shared" si="12"/>
        <v>153.37190942040002</v>
      </c>
      <c r="AD52" s="2">
        <f>AVERAGE(AD23:AD26)</f>
        <v>4924999.8928571427</v>
      </c>
      <c r="AE52" s="2">
        <f t="shared" si="12"/>
        <v>62.345276675633329</v>
      </c>
      <c r="AF52" s="2">
        <f t="shared" si="12"/>
        <v>9369688.3015873004</v>
      </c>
      <c r="AG52" s="2">
        <f t="shared" si="12"/>
        <v>26.666666666666668</v>
      </c>
    </row>
    <row r="53" spans="16:33" x14ac:dyDescent="0.2">
      <c r="P53" s="1" t="s">
        <v>165</v>
      </c>
      <c r="Q53" s="2">
        <f>AVERAGE(Q33:Q36)</f>
        <v>39708879.75</v>
      </c>
      <c r="R53" s="2">
        <f t="shared" ref="R53:AC53" si="13">AVERAGE(R33:R36)</f>
        <v>17749826.873779308</v>
      </c>
      <c r="S53" s="2">
        <f t="shared" si="13"/>
        <v>8128019.5</v>
      </c>
      <c r="T53" s="2">
        <f t="shared" si="13"/>
        <v>16549750.167968752</v>
      </c>
      <c r="U53" s="2">
        <f t="shared" si="13"/>
        <v>47836899.25</v>
      </c>
      <c r="V53" s="2">
        <f t="shared" si="13"/>
        <v>34299577.041748047</v>
      </c>
      <c r="W53" s="2">
        <f>AVERAGE(W34:W36)</f>
        <v>13773</v>
      </c>
      <c r="X53" s="2">
        <f>AVERAGE(X34:X36)</f>
        <v>2289710.3291015634</v>
      </c>
      <c r="Y53" s="2"/>
      <c r="Z53" s="2">
        <f t="shared" si="13"/>
        <v>0</v>
      </c>
      <c r="AA53" s="2">
        <f t="shared" si="13"/>
        <v>0</v>
      </c>
      <c r="AB53" s="2">
        <f t="shared" si="13"/>
        <v>0</v>
      </c>
      <c r="AC53" s="2">
        <f t="shared" si="13"/>
        <v>0</v>
      </c>
      <c r="AD53" s="2">
        <f>AVERAGE(AD34:AD37)</f>
        <v>7749999.999999987</v>
      </c>
      <c r="AE53" s="2">
        <f>AVERAGE(AE34:AE37)</f>
        <v>22.249999999999972</v>
      </c>
      <c r="AF53" s="2"/>
      <c r="AG53" s="2"/>
    </row>
  </sheetData>
  <conditionalFormatting sqref="Q46:AE46">
    <cfRule type="duplicateValues" dxfId="17" priority="1"/>
  </conditionalFormatting>
  <conditionalFormatting sqref="AY2:XFD38 A1:J1 L1:XFD1 X39:XFD39 AY40:XFD40">
    <cfRule type="duplicateValues" dxfId="16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4A59-FD84-4BBB-BB21-A81D9E72F861}">
  <sheetPr codeName="Sheet7">
    <tabColor theme="7"/>
  </sheetPr>
  <dimension ref="A1:BJ85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L26" sqref="L26"/>
    </sheetView>
  </sheetViews>
  <sheetFormatPr defaultRowHeight="15" x14ac:dyDescent="0.25"/>
  <cols>
    <col min="4" max="4" width="10.7109375" bestFit="1" customWidth="1"/>
    <col min="5" max="11" width="14.7109375" customWidth="1"/>
    <col min="12" max="12" width="15.28515625" bestFit="1" customWidth="1"/>
    <col min="13" max="13" width="10.5703125" bestFit="1" customWidth="1"/>
    <col min="14" max="14" width="13.28515625" bestFit="1" customWidth="1"/>
    <col min="15" max="16" width="9.42578125" bestFit="1" customWidth="1"/>
    <col min="17" max="17" width="15.28515625" bestFit="1" customWidth="1"/>
    <col min="18" max="18" width="14" bestFit="1" customWidth="1"/>
    <col min="19" max="19" width="11.5703125" customWidth="1"/>
    <col min="20" max="23" width="9.140625" customWidth="1"/>
    <col min="24" max="25" width="11.5703125" customWidth="1"/>
    <col min="26" max="39" width="9.140625" customWidth="1"/>
    <col min="47" max="47" width="12.7109375" customWidth="1"/>
    <col min="48" max="48" width="50.42578125" bestFit="1" customWidth="1"/>
    <col min="49" max="51" width="12.7109375" customWidth="1"/>
    <col min="52" max="52" width="22.140625" customWidth="1"/>
    <col min="53" max="58" width="12.7109375" customWidth="1"/>
  </cols>
  <sheetData>
    <row r="1" spans="1:60" ht="15.75" thickBot="1" x14ac:dyDescent="0.3">
      <c r="L1">
        <v>0.65</v>
      </c>
      <c r="M1">
        <v>0.5</v>
      </c>
      <c r="N1">
        <v>0.5</v>
      </c>
      <c r="O1">
        <v>0.7</v>
      </c>
      <c r="P1">
        <v>0.7</v>
      </c>
      <c r="Q1">
        <v>0.65</v>
      </c>
      <c r="R1">
        <v>0.65</v>
      </c>
      <c r="AU1" s="240" t="s">
        <v>166</v>
      </c>
      <c r="AV1" s="241"/>
      <c r="AW1" s="241"/>
      <c r="AX1" s="241"/>
      <c r="AY1" s="241"/>
      <c r="AZ1" s="187"/>
      <c r="BA1" s="187"/>
      <c r="BB1" s="240" t="s">
        <v>167</v>
      </c>
      <c r="BC1" s="241"/>
      <c r="BD1" s="241"/>
      <c r="BE1" s="241"/>
      <c r="BF1" s="241"/>
      <c r="BG1" s="190"/>
      <c r="BH1" s="191"/>
    </row>
    <row r="2" spans="1:60" ht="105" x14ac:dyDescent="0.25">
      <c r="A2" s="86"/>
      <c r="B2" s="86"/>
      <c r="C2" s="86"/>
      <c r="D2" s="55" t="s">
        <v>1</v>
      </c>
      <c r="E2" s="55" t="s">
        <v>50</v>
      </c>
      <c r="F2" s="194" t="s">
        <v>54</v>
      </c>
      <c r="G2" s="55" t="s">
        <v>56</v>
      </c>
      <c r="H2" s="55" t="s">
        <v>58</v>
      </c>
      <c r="I2" s="55" t="s">
        <v>61</v>
      </c>
      <c r="J2" s="55" t="s">
        <v>146</v>
      </c>
      <c r="K2" s="55" t="s">
        <v>148</v>
      </c>
      <c r="L2" s="55" t="s">
        <v>168</v>
      </c>
      <c r="M2" s="194" t="s">
        <v>169</v>
      </c>
      <c r="N2" s="55" t="s">
        <v>170</v>
      </c>
      <c r="O2" s="55" t="s">
        <v>171</v>
      </c>
      <c r="P2" s="55" t="s">
        <v>172</v>
      </c>
      <c r="Q2" s="110" t="s">
        <v>173</v>
      </c>
      <c r="R2" s="110" t="s">
        <v>174</v>
      </c>
      <c r="S2" s="55" t="s">
        <v>175</v>
      </c>
      <c r="T2" s="55" t="s">
        <v>176</v>
      </c>
      <c r="U2" s="55" t="s">
        <v>177</v>
      </c>
      <c r="V2" s="55" t="s">
        <v>178</v>
      </c>
      <c r="W2" s="55" t="s">
        <v>179</v>
      </c>
      <c r="X2" s="55" t="s">
        <v>180</v>
      </c>
      <c r="Y2" s="55" t="s">
        <v>181</v>
      </c>
      <c r="Z2" s="157" t="s">
        <v>182</v>
      </c>
      <c r="AA2" s="158" t="s">
        <v>183</v>
      </c>
      <c r="AB2" s="158" t="s">
        <v>184</v>
      </c>
      <c r="AC2" s="158" t="s">
        <v>185</v>
      </c>
      <c r="AD2" s="158" t="s">
        <v>186</v>
      </c>
      <c r="AE2" s="158" t="s">
        <v>187</v>
      </c>
      <c r="AF2" s="159" t="s">
        <v>188</v>
      </c>
      <c r="AG2" s="157" t="s">
        <v>189</v>
      </c>
      <c r="AH2" s="158" t="s">
        <v>190</v>
      </c>
      <c r="AI2" s="158" t="s">
        <v>191</v>
      </c>
      <c r="AJ2" s="158" t="s">
        <v>192</v>
      </c>
      <c r="AK2" s="158" t="s">
        <v>193</v>
      </c>
      <c r="AL2" s="158" t="s">
        <v>194</v>
      </c>
      <c r="AM2" s="159" t="s">
        <v>195</v>
      </c>
      <c r="AN2" s="55" t="s">
        <v>50</v>
      </c>
      <c r="AO2" s="55" t="s">
        <v>54</v>
      </c>
      <c r="AP2" s="55" t="s">
        <v>56</v>
      </c>
      <c r="AQ2" s="55" t="s">
        <v>58</v>
      </c>
      <c r="AR2" s="55" t="s">
        <v>61</v>
      </c>
      <c r="AS2" s="101" t="s">
        <v>146</v>
      </c>
      <c r="AT2" s="101" t="s">
        <v>196</v>
      </c>
      <c r="AU2" s="168" t="s">
        <v>136</v>
      </c>
      <c r="AV2" s="55" t="s">
        <v>113</v>
      </c>
      <c r="AW2" s="55" t="s">
        <v>114</v>
      </c>
      <c r="AX2" s="55" t="s">
        <v>115</v>
      </c>
      <c r="AY2" s="55" t="s">
        <v>197</v>
      </c>
      <c r="AZ2" s="55" t="s">
        <v>198</v>
      </c>
      <c r="BA2" s="55" t="s">
        <v>199</v>
      </c>
      <c r="BB2" s="168" t="s">
        <v>136</v>
      </c>
      <c r="BC2" s="55" t="s">
        <v>113</v>
      </c>
      <c r="BD2" s="55" t="s">
        <v>114</v>
      </c>
      <c r="BE2" s="55" t="s">
        <v>115</v>
      </c>
      <c r="BF2" s="55" t="s">
        <v>197</v>
      </c>
      <c r="BG2" s="55" t="s">
        <v>198</v>
      </c>
      <c r="BH2" s="169" t="s">
        <v>199</v>
      </c>
    </row>
    <row r="3" spans="1:60" ht="65.25" customHeight="1" x14ac:dyDescent="0.25">
      <c r="A3" s="86"/>
      <c r="B3" s="86"/>
      <c r="C3" s="86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Z3" s="160"/>
      <c r="AF3" s="161"/>
      <c r="AG3" s="160"/>
      <c r="AM3" s="161"/>
      <c r="AU3" s="175" t="str">
        <f>_xlfn.TEXTJOIN(" - ",TRUE,AU2,$AU$1)</f>
        <v>YouTube + Facebook + Instagram - Direct Contribution</v>
      </c>
      <c r="AV3" s="189" t="str">
        <f t="shared" ref="AV3:BA3" si="0">_xlfn.TEXTJOIN(" - ",TRUE,AV2,$AU$1)</f>
        <v>Paid Search - Direct Contribution</v>
      </c>
      <c r="AW3" s="189" t="str">
        <f t="shared" si="0"/>
        <v>Online Banners - Direct Contribution</v>
      </c>
      <c r="AX3" s="189" t="str">
        <f t="shared" si="0"/>
        <v>OOH Large Format - Direct Contribution</v>
      </c>
      <c r="AY3" s="189" t="str">
        <f t="shared" si="0"/>
        <v>OOH Retail - Direct Contribution</v>
      </c>
      <c r="AZ3" s="189" t="str">
        <f t="shared" si="0"/>
        <v>Facebook + Instagram - Direct Contribution</v>
      </c>
      <c r="BA3" s="189" t="str">
        <f t="shared" si="0"/>
        <v>YouTube  - Direct Contribution</v>
      </c>
      <c r="BB3" s="175" t="str">
        <f>_xlfn.TEXTJOIN(" - ",TRUE,BB2,$BB$1)</f>
        <v>YouTube + Facebook + Instagram - Lagged Contribution</v>
      </c>
      <c r="BC3" s="189" t="str">
        <f t="shared" ref="BC3:BH3" si="1">_xlfn.TEXTJOIN(" - ",TRUE,BC2,$BB$1)</f>
        <v>Paid Search - Lagged Contribution</v>
      </c>
      <c r="BD3" s="189" t="str">
        <f t="shared" si="1"/>
        <v>Online Banners - Lagged Contribution</v>
      </c>
      <c r="BE3" s="189" t="str">
        <f t="shared" si="1"/>
        <v>OOH Large Format - Lagged Contribution</v>
      </c>
      <c r="BF3" s="189" t="str">
        <f>_xlfn.TEXTJOIN(" - ",TRUE,BF2,$BB$1)</f>
        <v>OOH Retail - Lagged Contribution</v>
      </c>
      <c r="BG3" s="189" t="str">
        <f t="shared" si="1"/>
        <v>Facebook + Instagram - Lagged Contribution</v>
      </c>
      <c r="BH3" s="176" t="str">
        <f t="shared" si="1"/>
        <v>YouTube  - Lagged Contribution</v>
      </c>
    </row>
    <row r="4" spans="1:60" x14ac:dyDescent="0.25">
      <c r="A4" s="4" t="s">
        <v>11</v>
      </c>
      <c r="B4" s="1"/>
      <c r="C4" s="1"/>
      <c r="D4" s="56">
        <v>44440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122">
        <f>L3*L$1+E4</f>
        <v>0</v>
      </c>
      <c r="M4" s="122">
        <f>M3*M$1+F4</f>
        <v>0</v>
      </c>
      <c r="N4" s="122">
        <f>N3*N$1+G4</f>
        <v>0</v>
      </c>
      <c r="O4" s="122">
        <f>O3*O$1+H4</f>
        <v>0</v>
      </c>
      <c r="P4" s="122">
        <f>P3*P$1+I4</f>
        <v>0</v>
      </c>
      <c r="Q4" s="122">
        <f t="shared" ref="Q4:R19" si="2">Q3*Q$1+J4</f>
        <v>0</v>
      </c>
      <c r="R4" s="122">
        <f t="shared" si="2"/>
        <v>0</v>
      </c>
      <c r="S4" s="123">
        <f>L4-E4</f>
        <v>0</v>
      </c>
      <c r="T4" s="123">
        <f>M4-F4</f>
        <v>0</v>
      </c>
      <c r="U4" s="123">
        <f>N4-G4</f>
        <v>0</v>
      </c>
      <c r="V4" s="123">
        <f>O4-H4</f>
        <v>0</v>
      </c>
      <c r="W4" s="123">
        <f>P4-I4</f>
        <v>0</v>
      </c>
      <c r="X4" s="123">
        <f t="shared" ref="X4:Y19" si="3">Q4-J4</f>
        <v>0</v>
      </c>
      <c r="Y4" s="123">
        <f t="shared" si="3"/>
        <v>0</v>
      </c>
      <c r="Z4" s="162">
        <f>IFERROR(E4/L4,0)</f>
        <v>0</v>
      </c>
      <c r="AA4" s="163">
        <f>IFERROR(F4/M4,0)</f>
        <v>0</v>
      </c>
      <c r="AB4" s="163">
        <f>IFERROR(G4/N4,0)</f>
        <v>0</v>
      </c>
      <c r="AC4" s="163">
        <f>IFERROR(H4/O4,0)</f>
        <v>0</v>
      </c>
      <c r="AD4" s="163">
        <f>IFERROR(I4/P4,0)</f>
        <v>0</v>
      </c>
      <c r="AE4" s="163">
        <f t="shared" ref="AE4:AF19" si="4">IFERROR(J4/Q4,0)</f>
        <v>0</v>
      </c>
      <c r="AF4" s="164">
        <f t="shared" si="4"/>
        <v>0</v>
      </c>
      <c r="AG4" s="162">
        <f>IFERROR(S4/L4,0)</f>
        <v>0</v>
      </c>
      <c r="AH4" s="163">
        <f>IFERROR(T4/M4,0)</f>
        <v>0</v>
      </c>
      <c r="AI4" s="163">
        <f>IFERROR(U4/N4,0)</f>
        <v>0</v>
      </c>
      <c r="AJ4" s="163">
        <f>IFERROR(V4/O4,0)</f>
        <v>0</v>
      </c>
      <c r="AK4" s="163">
        <f>IFERROR(W4/P4,0)</f>
        <v>0</v>
      </c>
      <c r="AL4" s="163">
        <f t="shared" ref="AL4:AM19" si="5">IFERROR(X4/Q4,0)</f>
        <v>0</v>
      </c>
      <c r="AM4" s="164">
        <f t="shared" si="5"/>
        <v>0</v>
      </c>
      <c r="AN4" s="104">
        <v>4.5318190105233498E-8</v>
      </c>
      <c r="AO4" s="104">
        <v>2.4060811361772499E-8</v>
      </c>
      <c r="AP4" s="104">
        <v>3.5499081134420703E-8</v>
      </c>
      <c r="AQ4" s="104">
        <v>2.09101244950685E-8</v>
      </c>
      <c r="AR4" s="104">
        <v>3.62337666511555E-9</v>
      </c>
      <c r="AS4" s="104">
        <v>2.2209309979864899E-8</v>
      </c>
      <c r="AT4" s="104">
        <v>2.3108880125368599E-8</v>
      </c>
      <c r="AU4" s="170">
        <f>AN4*Z4</f>
        <v>0</v>
      </c>
      <c r="AV4" s="115">
        <f>AO4*AA4</f>
        <v>0</v>
      </c>
      <c r="AW4" s="115">
        <f>AP4*AB4</f>
        <v>0</v>
      </c>
      <c r="AX4" s="115">
        <f>AQ4*AC4</f>
        <v>0</v>
      </c>
      <c r="AY4" s="115">
        <f>AR4*AD4</f>
        <v>0</v>
      </c>
      <c r="AZ4" s="115">
        <f t="shared" ref="AZ4:BA19" si="6">AS4*AE4</f>
        <v>0</v>
      </c>
      <c r="BA4" s="115">
        <f t="shared" si="6"/>
        <v>0</v>
      </c>
      <c r="BB4" s="170">
        <f>AN4*AG4</f>
        <v>0</v>
      </c>
      <c r="BC4" s="115">
        <f>AO4*AH4</f>
        <v>0</v>
      </c>
      <c r="BD4" s="115">
        <f>AP4*AI4</f>
        <v>0</v>
      </c>
      <c r="BE4" s="115">
        <f>AQ4*AJ4</f>
        <v>0</v>
      </c>
      <c r="BF4" s="115">
        <f>AR4*AK4</f>
        <v>0</v>
      </c>
      <c r="BG4" s="115">
        <f t="shared" ref="BG4:BH19" si="7">AS4*AL4</f>
        <v>0</v>
      </c>
      <c r="BH4" s="171">
        <f t="shared" si="7"/>
        <v>0</v>
      </c>
    </row>
    <row r="5" spans="1:60" x14ac:dyDescent="0.25">
      <c r="A5" s="4" t="s">
        <v>11</v>
      </c>
      <c r="B5" s="1"/>
      <c r="C5" s="1"/>
      <c r="D5" s="56">
        <v>44470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122">
        <f>L4*L$1+E5</f>
        <v>0</v>
      </c>
      <c r="M5" s="122">
        <f t="shared" ref="M5:M40" si="8">M4*M$1+F5</f>
        <v>0</v>
      </c>
      <c r="N5" s="122">
        <f t="shared" ref="N5:N40" si="9">N4*N$1+G5</f>
        <v>0</v>
      </c>
      <c r="O5" s="122">
        <f t="shared" ref="O5:O40" si="10">O4*O$1+H5</f>
        <v>0</v>
      </c>
      <c r="P5" s="122">
        <f t="shared" ref="P5:P40" si="11">P4*P$1+I5</f>
        <v>0</v>
      </c>
      <c r="Q5" s="122">
        <f t="shared" si="2"/>
        <v>0</v>
      </c>
      <c r="R5" s="122">
        <f t="shared" si="2"/>
        <v>0</v>
      </c>
      <c r="S5" s="123">
        <f t="shared" ref="S5:S40" si="12">L5-E5</f>
        <v>0</v>
      </c>
      <c r="T5" s="123">
        <f t="shared" ref="T5:T40" si="13">M5-F5</f>
        <v>0</v>
      </c>
      <c r="U5" s="123">
        <f t="shared" ref="U5:U40" si="14">N5-G5</f>
        <v>0</v>
      </c>
      <c r="V5" s="123">
        <f t="shared" ref="V5:V40" si="15">O5-H5</f>
        <v>0</v>
      </c>
      <c r="W5" s="123">
        <f t="shared" ref="W5:W40" si="16">P5-I5</f>
        <v>0</v>
      </c>
      <c r="X5" s="123">
        <f t="shared" si="3"/>
        <v>0</v>
      </c>
      <c r="Y5" s="123">
        <f t="shared" si="3"/>
        <v>0</v>
      </c>
      <c r="Z5" s="162">
        <f t="shared" ref="Z5:Z40" si="17">IFERROR(E5/L5,0)</f>
        <v>0</v>
      </c>
      <c r="AA5" s="163">
        <f t="shared" ref="AA5:AA40" si="18">IFERROR(F5/M5,0)</f>
        <v>0</v>
      </c>
      <c r="AB5" s="163">
        <f t="shared" ref="AB5:AB40" si="19">IFERROR(G5/N5,0)</f>
        <v>0</v>
      </c>
      <c r="AC5" s="163">
        <f t="shared" ref="AC5:AC40" si="20">IFERROR(H5/O5,0)</f>
        <v>0</v>
      </c>
      <c r="AD5" s="163">
        <f t="shared" ref="AD5:AD40" si="21">IFERROR(I5/P5,0)</f>
        <v>0</v>
      </c>
      <c r="AE5" s="163">
        <f t="shared" si="4"/>
        <v>0</v>
      </c>
      <c r="AF5" s="164">
        <f t="shared" si="4"/>
        <v>0</v>
      </c>
      <c r="AG5" s="162">
        <f t="shared" ref="AG5:AG40" si="22">IFERROR(S5/L5,0)</f>
        <v>0</v>
      </c>
      <c r="AH5" s="163">
        <f t="shared" ref="AH5:AH40" si="23">IFERROR(T5/M5,0)</f>
        <v>0</v>
      </c>
      <c r="AI5" s="163">
        <f t="shared" ref="AI5:AI40" si="24">IFERROR(U5/N5,0)</f>
        <v>0</v>
      </c>
      <c r="AJ5" s="163">
        <f t="shared" ref="AJ5:AJ40" si="25">IFERROR(V5/O5,0)</f>
        <v>0</v>
      </c>
      <c r="AK5" s="163">
        <f t="shared" ref="AK5:AK40" si="26">IFERROR(W5/P5,0)</f>
        <v>0</v>
      </c>
      <c r="AL5" s="163">
        <f t="shared" si="5"/>
        <v>0</v>
      </c>
      <c r="AM5" s="164">
        <f t="shared" si="5"/>
        <v>0</v>
      </c>
      <c r="AN5" s="104">
        <v>4.4237048867877399E-8</v>
      </c>
      <c r="AO5" s="104">
        <v>2.36856737434794E-8</v>
      </c>
      <c r="AP5" s="104">
        <v>3.5473090885576498E-8</v>
      </c>
      <c r="AQ5" s="104">
        <v>2.2251739465110201E-8</v>
      </c>
      <c r="AR5" s="104">
        <v>3.9543282984732304E-9</v>
      </c>
      <c r="AS5" s="104">
        <v>2.176847977722305E-8</v>
      </c>
      <c r="AT5" s="104">
        <v>2.2468569090654355E-8</v>
      </c>
      <c r="AU5" s="170">
        <f t="shared" ref="AU5:AU40" si="27">AN5*Z5</f>
        <v>0</v>
      </c>
      <c r="AV5" s="115">
        <f t="shared" ref="AV5:AV40" si="28">AO5*AA5</f>
        <v>0</v>
      </c>
      <c r="AW5" s="115">
        <f t="shared" ref="AW5:AW40" si="29">AP5*AB5</f>
        <v>0</v>
      </c>
      <c r="AX5" s="115">
        <f t="shared" ref="AX5:AX40" si="30">AQ5*AC5</f>
        <v>0</v>
      </c>
      <c r="AY5" s="115">
        <f t="shared" ref="AY5:AY40" si="31">AR5*AD5</f>
        <v>0</v>
      </c>
      <c r="AZ5" s="115">
        <f t="shared" si="6"/>
        <v>0</v>
      </c>
      <c r="BA5" s="115">
        <f t="shared" si="6"/>
        <v>0</v>
      </c>
      <c r="BB5" s="170">
        <f t="shared" ref="BB5:BB40" si="32">AN5*AG5</f>
        <v>0</v>
      </c>
      <c r="BC5" s="115">
        <f t="shared" ref="BC5:BC40" si="33">AO5*AH5</f>
        <v>0</v>
      </c>
      <c r="BD5" s="115">
        <f t="shared" ref="BD5:BD40" si="34">AP5*AI5</f>
        <v>0</v>
      </c>
      <c r="BE5" s="115">
        <f t="shared" ref="BE5:BE40" si="35">AQ5*AJ5</f>
        <v>0</v>
      </c>
      <c r="BF5" s="115">
        <f t="shared" ref="BF5:BF40" si="36">AR5*AK5</f>
        <v>0</v>
      </c>
      <c r="BG5" s="115">
        <f t="shared" si="7"/>
        <v>0</v>
      </c>
      <c r="BH5" s="171">
        <f t="shared" si="7"/>
        <v>0</v>
      </c>
    </row>
    <row r="6" spans="1:60" x14ac:dyDescent="0.25">
      <c r="A6" s="4" t="s">
        <v>11</v>
      </c>
      <c r="B6" s="1"/>
      <c r="C6" s="1"/>
      <c r="D6" s="56">
        <v>44501</v>
      </c>
      <c r="E6" s="57">
        <v>0</v>
      </c>
      <c r="F6" s="57">
        <v>0</v>
      </c>
      <c r="G6" s="57">
        <v>0</v>
      </c>
      <c r="H6" s="57">
        <v>0</v>
      </c>
      <c r="I6" s="57">
        <v>0</v>
      </c>
      <c r="J6" s="57">
        <v>0</v>
      </c>
      <c r="K6" s="57">
        <v>0</v>
      </c>
      <c r="L6" s="122">
        <f t="shared" ref="L6:L40" si="37">L5*L$1+E6</f>
        <v>0</v>
      </c>
      <c r="M6" s="122">
        <f t="shared" si="8"/>
        <v>0</v>
      </c>
      <c r="N6" s="122">
        <f t="shared" si="9"/>
        <v>0</v>
      </c>
      <c r="O6" s="122">
        <f t="shared" si="10"/>
        <v>0</v>
      </c>
      <c r="P6" s="122">
        <f t="shared" si="11"/>
        <v>0</v>
      </c>
      <c r="Q6" s="122">
        <f t="shared" si="2"/>
        <v>0</v>
      </c>
      <c r="R6" s="122">
        <f t="shared" si="2"/>
        <v>0</v>
      </c>
      <c r="S6" s="123">
        <f t="shared" si="12"/>
        <v>0</v>
      </c>
      <c r="T6" s="123">
        <f t="shared" si="13"/>
        <v>0</v>
      </c>
      <c r="U6" s="123">
        <f t="shared" si="14"/>
        <v>0</v>
      </c>
      <c r="V6" s="123">
        <f t="shared" si="15"/>
        <v>0</v>
      </c>
      <c r="W6" s="123">
        <f t="shared" si="16"/>
        <v>0</v>
      </c>
      <c r="X6" s="123">
        <f t="shared" si="3"/>
        <v>0</v>
      </c>
      <c r="Y6" s="123">
        <f t="shared" si="3"/>
        <v>0</v>
      </c>
      <c r="Z6" s="162">
        <f t="shared" si="17"/>
        <v>0</v>
      </c>
      <c r="AA6" s="163">
        <f t="shared" si="18"/>
        <v>0</v>
      </c>
      <c r="AB6" s="163">
        <f t="shared" si="19"/>
        <v>0</v>
      </c>
      <c r="AC6" s="163">
        <f t="shared" si="20"/>
        <v>0</v>
      </c>
      <c r="AD6" s="163">
        <f t="shared" si="21"/>
        <v>0</v>
      </c>
      <c r="AE6" s="163">
        <f t="shared" si="4"/>
        <v>0</v>
      </c>
      <c r="AF6" s="164">
        <f t="shared" si="4"/>
        <v>0</v>
      </c>
      <c r="AG6" s="162">
        <f t="shared" si="22"/>
        <v>0</v>
      </c>
      <c r="AH6" s="163">
        <f t="shared" si="23"/>
        <v>0</v>
      </c>
      <c r="AI6" s="163">
        <f t="shared" si="24"/>
        <v>0</v>
      </c>
      <c r="AJ6" s="163">
        <f t="shared" si="25"/>
        <v>0</v>
      </c>
      <c r="AK6" s="163">
        <f t="shared" si="26"/>
        <v>0</v>
      </c>
      <c r="AL6" s="163">
        <f t="shared" si="5"/>
        <v>0</v>
      </c>
      <c r="AM6" s="164">
        <f t="shared" si="5"/>
        <v>0</v>
      </c>
      <c r="AN6" s="104">
        <v>4.3414245480788497E-8</v>
      </c>
      <c r="AO6" s="104">
        <v>2.3657323366789001E-8</v>
      </c>
      <c r="AP6" s="104">
        <v>3.52780814949017E-8</v>
      </c>
      <c r="AQ6" s="104">
        <v>2.3129083605068002E-8</v>
      </c>
      <c r="AR6" s="104">
        <v>3.9226534724182897E-9</v>
      </c>
      <c r="AS6" s="104">
        <v>2.1451669505204102E-8</v>
      </c>
      <c r="AT6" s="104">
        <v>2.1962575975584394E-8</v>
      </c>
      <c r="AU6" s="170">
        <f t="shared" si="27"/>
        <v>0</v>
      </c>
      <c r="AV6" s="115">
        <f t="shared" si="28"/>
        <v>0</v>
      </c>
      <c r="AW6" s="115">
        <f t="shared" si="29"/>
        <v>0</v>
      </c>
      <c r="AX6" s="115">
        <f t="shared" si="30"/>
        <v>0</v>
      </c>
      <c r="AY6" s="115">
        <f t="shared" si="31"/>
        <v>0</v>
      </c>
      <c r="AZ6" s="115">
        <f t="shared" si="6"/>
        <v>0</v>
      </c>
      <c r="BA6" s="115">
        <f t="shared" si="6"/>
        <v>0</v>
      </c>
      <c r="BB6" s="170">
        <f t="shared" si="32"/>
        <v>0</v>
      </c>
      <c r="BC6" s="115">
        <f t="shared" si="33"/>
        <v>0</v>
      </c>
      <c r="BD6" s="115">
        <f t="shared" si="34"/>
        <v>0</v>
      </c>
      <c r="BE6" s="115">
        <f t="shared" si="35"/>
        <v>0</v>
      </c>
      <c r="BF6" s="115">
        <f t="shared" si="36"/>
        <v>0</v>
      </c>
      <c r="BG6" s="115">
        <f t="shared" si="7"/>
        <v>0</v>
      </c>
      <c r="BH6" s="171">
        <f t="shared" si="7"/>
        <v>0</v>
      </c>
    </row>
    <row r="7" spans="1:60" x14ac:dyDescent="0.25">
      <c r="A7" s="4" t="s">
        <v>11</v>
      </c>
      <c r="B7" s="1"/>
      <c r="C7" s="1"/>
      <c r="D7" s="56">
        <v>44531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122">
        <f t="shared" si="37"/>
        <v>0</v>
      </c>
      <c r="M7" s="122">
        <f t="shared" si="8"/>
        <v>0</v>
      </c>
      <c r="N7" s="122">
        <f t="shared" si="9"/>
        <v>0</v>
      </c>
      <c r="O7" s="122">
        <f t="shared" si="10"/>
        <v>0</v>
      </c>
      <c r="P7" s="122">
        <f t="shared" si="11"/>
        <v>0</v>
      </c>
      <c r="Q7" s="122">
        <f t="shared" si="2"/>
        <v>0</v>
      </c>
      <c r="R7" s="122">
        <f t="shared" si="2"/>
        <v>0</v>
      </c>
      <c r="S7" s="123">
        <f t="shared" si="12"/>
        <v>0</v>
      </c>
      <c r="T7" s="123">
        <f t="shared" si="13"/>
        <v>0</v>
      </c>
      <c r="U7" s="123">
        <f t="shared" si="14"/>
        <v>0</v>
      </c>
      <c r="V7" s="123">
        <f t="shared" si="15"/>
        <v>0</v>
      </c>
      <c r="W7" s="123">
        <f t="shared" si="16"/>
        <v>0</v>
      </c>
      <c r="X7" s="123">
        <f t="shared" si="3"/>
        <v>0</v>
      </c>
      <c r="Y7" s="123">
        <f t="shared" si="3"/>
        <v>0</v>
      </c>
      <c r="Z7" s="162">
        <f t="shared" si="17"/>
        <v>0</v>
      </c>
      <c r="AA7" s="163">
        <f t="shared" si="18"/>
        <v>0</v>
      </c>
      <c r="AB7" s="163">
        <f t="shared" si="19"/>
        <v>0</v>
      </c>
      <c r="AC7" s="163">
        <f t="shared" si="20"/>
        <v>0</v>
      </c>
      <c r="AD7" s="163">
        <f t="shared" si="21"/>
        <v>0</v>
      </c>
      <c r="AE7" s="163">
        <f t="shared" si="4"/>
        <v>0</v>
      </c>
      <c r="AF7" s="164">
        <f t="shared" si="4"/>
        <v>0</v>
      </c>
      <c r="AG7" s="162">
        <f t="shared" si="22"/>
        <v>0</v>
      </c>
      <c r="AH7" s="163">
        <f t="shared" si="23"/>
        <v>0</v>
      </c>
      <c r="AI7" s="163">
        <f t="shared" si="24"/>
        <v>0</v>
      </c>
      <c r="AJ7" s="163">
        <f t="shared" si="25"/>
        <v>0</v>
      </c>
      <c r="AK7" s="163">
        <f t="shared" si="26"/>
        <v>0</v>
      </c>
      <c r="AL7" s="163">
        <f t="shared" si="5"/>
        <v>0</v>
      </c>
      <c r="AM7" s="164">
        <f t="shared" si="5"/>
        <v>0</v>
      </c>
      <c r="AN7" s="104">
        <v>4.2091654425249099E-8</v>
      </c>
      <c r="AO7" s="104">
        <v>2.3005333804191E-8</v>
      </c>
      <c r="AP7" s="104">
        <v>3.5404535137915803E-8</v>
      </c>
      <c r="AQ7" s="104">
        <v>2.48737939297717E-8</v>
      </c>
      <c r="AR7" s="104">
        <v>4.5340985985508402E-9</v>
      </c>
      <c r="AS7" s="104">
        <v>2.0884305640374082E-8</v>
      </c>
      <c r="AT7" s="104">
        <v>2.1207348784875017E-8</v>
      </c>
      <c r="AU7" s="170">
        <f t="shared" si="27"/>
        <v>0</v>
      </c>
      <c r="AV7" s="115">
        <f t="shared" si="28"/>
        <v>0</v>
      </c>
      <c r="AW7" s="115">
        <f t="shared" si="29"/>
        <v>0</v>
      </c>
      <c r="AX7" s="115">
        <f t="shared" si="30"/>
        <v>0</v>
      </c>
      <c r="AY7" s="115">
        <f t="shared" si="31"/>
        <v>0</v>
      </c>
      <c r="AZ7" s="115">
        <f t="shared" si="6"/>
        <v>0</v>
      </c>
      <c r="BA7" s="115">
        <f t="shared" si="6"/>
        <v>0</v>
      </c>
      <c r="BB7" s="170">
        <f t="shared" si="32"/>
        <v>0</v>
      </c>
      <c r="BC7" s="115">
        <f t="shared" si="33"/>
        <v>0</v>
      </c>
      <c r="BD7" s="115">
        <f t="shared" si="34"/>
        <v>0</v>
      </c>
      <c r="BE7" s="115">
        <f t="shared" si="35"/>
        <v>0</v>
      </c>
      <c r="BF7" s="115">
        <f t="shared" si="36"/>
        <v>0</v>
      </c>
      <c r="BG7" s="115">
        <f t="shared" si="7"/>
        <v>0</v>
      </c>
      <c r="BH7" s="171">
        <f t="shared" si="7"/>
        <v>0</v>
      </c>
    </row>
    <row r="8" spans="1:60" x14ac:dyDescent="0.25">
      <c r="A8" s="4" t="s">
        <v>11</v>
      </c>
      <c r="B8" s="1"/>
      <c r="C8" s="1"/>
      <c r="D8" s="56">
        <v>44562</v>
      </c>
      <c r="E8" s="57">
        <v>0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122">
        <f t="shared" si="37"/>
        <v>0</v>
      </c>
      <c r="M8" s="122">
        <f t="shared" si="8"/>
        <v>0</v>
      </c>
      <c r="N8" s="122">
        <f t="shared" si="9"/>
        <v>0</v>
      </c>
      <c r="O8" s="122">
        <f t="shared" si="10"/>
        <v>0</v>
      </c>
      <c r="P8" s="122">
        <f t="shared" si="11"/>
        <v>0</v>
      </c>
      <c r="Q8" s="122">
        <f t="shared" si="2"/>
        <v>0</v>
      </c>
      <c r="R8" s="122">
        <f t="shared" si="2"/>
        <v>0</v>
      </c>
      <c r="S8" s="123">
        <f t="shared" si="12"/>
        <v>0</v>
      </c>
      <c r="T8" s="123">
        <f t="shared" si="13"/>
        <v>0</v>
      </c>
      <c r="U8" s="123">
        <f t="shared" si="14"/>
        <v>0</v>
      </c>
      <c r="V8" s="123">
        <f t="shared" si="15"/>
        <v>0</v>
      </c>
      <c r="W8" s="123">
        <f t="shared" si="16"/>
        <v>0</v>
      </c>
      <c r="X8" s="123">
        <f t="shared" si="3"/>
        <v>0</v>
      </c>
      <c r="Y8" s="123">
        <f t="shared" si="3"/>
        <v>0</v>
      </c>
      <c r="Z8" s="162">
        <f t="shared" si="17"/>
        <v>0</v>
      </c>
      <c r="AA8" s="163">
        <f t="shared" si="18"/>
        <v>0</v>
      </c>
      <c r="AB8" s="163">
        <f t="shared" si="19"/>
        <v>0</v>
      </c>
      <c r="AC8" s="163">
        <f t="shared" si="20"/>
        <v>0</v>
      </c>
      <c r="AD8" s="163">
        <f t="shared" si="21"/>
        <v>0</v>
      </c>
      <c r="AE8" s="163">
        <f t="shared" si="4"/>
        <v>0</v>
      </c>
      <c r="AF8" s="164">
        <f t="shared" si="4"/>
        <v>0</v>
      </c>
      <c r="AG8" s="162">
        <f t="shared" si="22"/>
        <v>0</v>
      </c>
      <c r="AH8" s="163">
        <f t="shared" si="23"/>
        <v>0</v>
      </c>
      <c r="AI8" s="163">
        <f t="shared" si="24"/>
        <v>0</v>
      </c>
      <c r="AJ8" s="163">
        <f t="shared" si="25"/>
        <v>0</v>
      </c>
      <c r="AK8" s="163">
        <f t="shared" si="26"/>
        <v>0</v>
      </c>
      <c r="AL8" s="163">
        <f t="shared" si="5"/>
        <v>0</v>
      </c>
      <c r="AM8" s="164">
        <f t="shared" si="5"/>
        <v>0</v>
      </c>
      <c r="AN8" s="104">
        <v>4.2168590417041297E-8</v>
      </c>
      <c r="AO8" s="104">
        <v>2.3638541308906801E-8</v>
      </c>
      <c r="AP8" s="104">
        <v>3.47755972442416E-8</v>
      </c>
      <c r="AQ8" s="104">
        <v>2.4087148836215301E-8</v>
      </c>
      <c r="AR8" s="104">
        <v>3.8383432292940997E-9</v>
      </c>
      <c r="AS8" s="104">
        <v>2.1009584124227021E-8</v>
      </c>
      <c r="AT8" s="104">
        <v>2.1159006292814277E-8</v>
      </c>
      <c r="AU8" s="170">
        <f t="shared" si="27"/>
        <v>0</v>
      </c>
      <c r="AV8" s="115">
        <f t="shared" si="28"/>
        <v>0</v>
      </c>
      <c r="AW8" s="115">
        <f t="shared" si="29"/>
        <v>0</v>
      </c>
      <c r="AX8" s="115">
        <f t="shared" si="30"/>
        <v>0</v>
      </c>
      <c r="AY8" s="115">
        <f t="shared" si="31"/>
        <v>0</v>
      </c>
      <c r="AZ8" s="115">
        <f t="shared" si="6"/>
        <v>0</v>
      </c>
      <c r="BA8" s="115">
        <f t="shared" si="6"/>
        <v>0</v>
      </c>
      <c r="BB8" s="170">
        <f t="shared" si="32"/>
        <v>0</v>
      </c>
      <c r="BC8" s="115">
        <f t="shared" si="33"/>
        <v>0</v>
      </c>
      <c r="BD8" s="115">
        <f t="shared" si="34"/>
        <v>0</v>
      </c>
      <c r="BE8" s="115">
        <f t="shared" si="35"/>
        <v>0</v>
      </c>
      <c r="BF8" s="115">
        <f t="shared" si="36"/>
        <v>0</v>
      </c>
      <c r="BG8" s="115">
        <f t="shared" si="7"/>
        <v>0</v>
      </c>
      <c r="BH8" s="171">
        <f t="shared" si="7"/>
        <v>0</v>
      </c>
    </row>
    <row r="9" spans="1:60" x14ac:dyDescent="0.25">
      <c r="A9" s="4" t="s">
        <v>11</v>
      </c>
      <c r="B9" s="1"/>
      <c r="C9" s="1"/>
      <c r="D9" s="56">
        <v>44593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122">
        <f t="shared" si="37"/>
        <v>0</v>
      </c>
      <c r="M9" s="122">
        <f t="shared" si="8"/>
        <v>0</v>
      </c>
      <c r="N9" s="122">
        <f t="shared" si="9"/>
        <v>0</v>
      </c>
      <c r="O9" s="122">
        <f t="shared" si="10"/>
        <v>0</v>
      </c>
      <c r="P9" s="122">
        <f t="shared" si="11"/>
        <v>0</v>
      </c>
      <c r="Q9" s="122">
        <f t="shared" si="2"/>
        <v>0</v>
      </c>
      <c r="R9" s="122">
        <f t="shared" si="2"/>
        <v>0</v>
      </c>
      <c r="S9" s="123">
        <f t="shared" si="12"/>
        <v>0</v>
      </c>
      <c r="T9" s="123">
        <f t="shared" si="13"/>
        <v>0</v>
      </c>
      <c r="U9" s="123">
        <f t="shared" si="14"/>
        <v>0</v>
      </c>
      <c r="V9" s="123">
        <f t="shared" si="15"/>
        <v>0</v>
      </c>
      <c r="W9" s="123">
        <f t="shared" si="16"/>
        <v>0</v>
      </c>
      <c r="X9" s="123">
        <f t="shared" si="3"/>
        <v>0</v>
      </c>
      <c r="Y9" s="123">
        <f t="shared" si="3"/>
        <v>0</v>
      </c>
      <c r="Z9" s="162">
        <f t="shared" si="17"/>
        <v>0</v>
      </c>
      <c r="AA9" s="163">
        <f t="shared" si="18"/>
        <v>0</v>
      </c>
      <c r="AB9" s="163">
        <f t="shared" si="19"/>
        <v>0</v>
      </c>
      <c r="AC9" s="163">
        <f t="shared" si="20"/>
        <v>0</v>
      </c>
      <c r="AD9" s="163">
        <f t="shared" si="21"/>
        <v>0</v>
      </c>
      <c r="AE9" s="163">
        <f t="shared" si="4"/>
        <v>0</v>
      </c>
      <c r="AF9" s="164">
        <f t="shared" si="4"/>
        <v>0</v>
      </c>
      <c r="AG9" s="162">
        <f t="shared" si="22"/>
        <v>0</v>
      </c>
      <c r="AH9" s="163">
        <f t="shared" si="23"/>
        <v>0</v>
      </c>
      <c r="AI9" s="163">
        <f t="shared" si="24"/>
        <v>0</v>
      </c>
      <c r="AJ9" s="163">
        <f t="shared" si="25"/>
        <v>0</v>
      </c>
      <c r="AK9" s="163">
        <f t="shared" si="26"/>
        <v>0</v>
      </c>
      <c r="AL9" s="163">
        <f t="shared" si="5"/>
        <v>0</v>
      </c>
      <c r="AM9" s="164">
        <f t="shared" si="5"/>
        <v>0</v>
      </c>
      <c r="AN9" s="104">
        <v>4.1765390879411201E-8</v>
      </c>
      <c r="AO9" s="104">
        <v>2.3647194714937301E-8</v>
      </c>
      <c r="AP9" s="104">
        <v>3.4416746553248597E-8</v>
      </c>
      <c r="AQ9" s="104">
        <v>2.43217270033122E-8</v>
      </c>
      <c r="AR9" s="104">
        <v>3.71765953640389E-9</v>
      </c>
      <c r="AS9" s="104">
        <v>2.0895805350747295E-8</v>
      </c>
      <c r="AT9" s="104">
        <v>2.0869585528663905E-8</v>
      </c>
      <c r="AU9" s="170">
        <f t="shared" si="27"/>
        <v>0</v>
      </c>
      <c r="AV9" s="115">
        <f t="shared" si="28"/>
        <v>0</v>
      </c>
      <c r="AW9" s="115">
        <f t="shared" si="29"/>
        <v>0</v>
      </c>
      <c r="AX9" s="115">
        <f t="shared" si="30"/>
        <v>0</v>
      </c>
      <c r="AY9" s="115">
        <f t="shared" si="31"/>
        <v>0</v>
      </c>
      <c r="AZ9" s="115">
        <f t="shared" si="6"/>
        <v>0</v>
      </c>
      <c r="BA9" s="115">
        <f t="shared" si="6"/>
        <v>0</v>
      </c>
      <c r="BB9" s="170">
        <f t="shared" si="32"/>
        <v>0</v>
      </c>
      <c r="BC9" s="115">
        <f t="shared" si="33"/>
        <v>0</v>
      </c>
      <c r="BD9" s="115">
        <f t="shared" si="34"/>
        <v>0</v>
      </c>
      <c r="BE9" s="115">
        <f t="shared" si="35"/>
        <v>0</v>
      </c>
      <c r="BF9" s="115">
        <f t="shared" si="36"/>
        <v>0</v>
      </c>
      <c r="BG9" s="115">
        <f t="shared" si="7"/>
        <v>0</v>
      </c>
      <c r="BH9" s="171">
        <f t="shared" si="7"/>
        <v>0</v>
      </c>
    </row>
    <row r="10" spans="1:60" x14ac:dyDescent="0.25">
      <c r="A10" s="4" t="s">
        <v>11</v>
      </c>
      <c r="B10" s="1"/>
      <c r="C10" s="1"/>
      <c r="D10" s="56">
        <v>44621</v>
      </c>
      <c r="E10" s="57">
        <v>0</v>
      </c>
      <c r="F10" s="57">
        <v>0</v>
      </c>
      <c r="G10" s="57">
        <v>0</v>
      </c>
      <c r="H10" s="57">
        <v>0</v>
      </c>
      <c r="I10" s="57">
        <v>0</v>
      </c>
      <c r="J10" s="57">
        <v>0</v>
      </c>
      <c r="K10" s="57">
        <v>0</v>
      </c>
      <c r="L10" s="122">
        <f t="shared" si="37"/>
        <v>0</v>
      </c>
      <c r="M10" s="122">
        <f t="shared" si="8"/>
        <v>0</v>
      </c>
      <c r="N10" s="122">
        <f t="shared" si="9"/>
        <v>0</v>
      </c>
      <c r="O10" s="122">
        <f t="shared" si="10"/>
        <v>0</v>
      </c>
      <c r="P10" s="122">
        <f t="shared" si="11"/>
        <v>0</v>
      </c>
      <c r="Q10" s="122">
        <f t="shared" si="2"/>
        <v>0</v>
      </c>
      <c r="R10" s="122">
        <f t="shared" si="2"/>
        <v>0</v>
      </c>
      <c r="S10" s="123">
        <f t="shared" si="12"/>
        <v>0</v>
      </c>
      <c r="T10" s="123">
        <f t="shared" si="13"/>
        <v>0</v>
      </c>
      <c r="U10" s="123">
        <f t="shared" si="14"/>
        <v>0</v>
      </c>
      <c r="V10" s="123">
        <f t="shared" si="15"/>
        <v>0</v>
      </c>
      <c r="W10" s="123">
        <f t="shared" si="16"/>
        <v>0</v>
      </c>
      <c r="X10" s="123">
        <f t="shared" si="3"/>
        <v>0</v>
      </c>
      <c r="Y10" s="123">
        <f t="shared" si="3"/>
        <v>0</v>
      </c>
      <c r="Z10" s="162">
        <f t="shared" si="17"/>
        <v>0</v>
      </c>
      <c r="AA10" s="163">
        <f t="shared" si="18"/>
        <v>0</v>
      </c>
      <c r="AB10" s="163">
        <f t="shared" si="19"/>
        <v>0</v>
      </c>
      <c r="AC10" s="163">
        <f t="shared" si="20"/>
        <v>0</v>
      </c>
      <c r="AD10" s="163">
        <f t="shared" si="21"/>
        <v>0</v>
      </c>
      <c r="AE10" s="163">
        <f t="shared" si="4"/>
        <v>0</v>
      </c>
      <c r="AF10" s="164">
        <f t="shared" si="4"/>
        <v>0</v>
      </c>
      <c r="AG10" s="162">
        <f t="shared" si="22"/>
        <v>0</v>
      </c>
      <c r="AH10" s="163">
        <f t="shared" si="23"/>
        <v>0</v>
      </c>
      <c r="AI10" s="163">
        <f t="shared" si="24"/>
        <v>0</v>
      </c>
      <c r="AJ10" s="163">
        <f t="shared" si="25"/>
        <v>0</v>
      </c>
      <c r="AK10" s="163">
        <f t="shared" si="26"/>
        <v>0</v>
      </c>
      <c r="AL10" s="163">
        <f t="shared" si="5"/>
        <v>0</v>
      </c>
      <c r="AM10" s="164">
        <f t="shared" si="5"/>
        <v>0</v>
      </c>
      <c r="AN10" s="104">
        <v>4.05556435893264E-8</v>
      </c>
      <c r="AO10" s="104">
        <v>2.2296514990478101E-8</v>
      </c>
      <c r="AP10" s="104">
        <v>3.4657262711967298E-8</v>
      </c>
      <c r="AQ10" s="104">
        <v>2.6368880888134798E-8</v>
      </c>
      <c r="AR10" s="104">
        <v>4.9411716872120999E-9</v>
      </c>
      <c r="AS10" s="104">
        <v>2.0375984654186562E-8</v>
      </c>
      <c r="AT10" s="104">
        <v>2.0179658935139838E-8</v>
      </c>
      <c r="AU10" s="170">
        <f t="shared" si="27"/>
        <v>0</v>
      </c>
      <c r="AV10" s="115">
        <f t="shared" si="28"/>
        <v>0</v>
      </c>
      <c r="AW10" s="115">
        <f t="shared" si="29"/>
        <v>0</v>
      </c>
      <c r="AX10" s="115">
        <f t="shared" si="30"/>
        <v>0</v>
      </c>
      <c r="AY10" s="115">
        <f t="shared" si="31"/>
        <v>0</v>
      </c>
      <c r="AZ10" s="115">
        <f t="shared" si="6"/>
        <v>0</v>
      </c>
      <c r="BA10" s="115">
        <f t="shared" si="6"/>
        <v>0</v>
      </c>
      <c r="BB10" s="170">
        <f t="shared" si="32"/>
        <v>0</v>
      </c>
      <c r="BC10" s="115">
        <f t="shared" si="33"/>
        <v>0</v>
      </c>
      <c r="BD10" s="115">
        <f t="shared" si="34"/>
        <v>0</v>
      </c>
      <c r="BE10" s="115">
        <f t="shared" si="35"/>
        <v>0</v>
      </c>
      <c r="BF10" s="115">
        <f t="shared" si="36"/>
        <v>0</v>
      </c>
      <c r="BG10" s="115">
        <f t="shared" si="7"/>
        <v>0</v>
      </c>
      <c r="BH10" s="171">
        <f t="shared" si="7"/>
        <v>0</v>
      </c>
    </row>
    <row r="11" spans="1:60" x14ac:dyDescent="0.25">
      <c r="A11" s="4" t="s">
        <v>11</v>
      </c>
      <c r="B11" s="1"/>
      <c r="C11" s="1"/>
      <c r="D11" s="56">
        <v>44652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122">
        <f t="shared" si="37"/>
        <v>0</v>
      </c>
      <c r="M11" s="122">
        <f t="shared" si="8"/>
        <v>0</v>
      </c>
      <c r="N11" s="122">
        <f t="shared" si="9"/>
        <v>0</v>
      </c>
      <c r="O11" s="122">
        <f t="shared" si="10"/>
        <v>0</v>
      </c>
      <c r="P11" s="122">
        <f t="shared" si="11"/>
        <v>0</v>
      </c>
      <c r="Q11" s="122">
        <f t="shared" si="2"/>
        <v>0</v>
      </c>
      <c r="R11" s="122">
        <f t="shared" si="2"/>
        <v>0</v>
      </c>
      <c r="S11" s="123">
        <f t="shared" si="12"/>
        <v>0</v>
      </c>
      <c r="T11" s="123">
        <f t="shared" si="13"/>
        <v>0</v>
      </c>
      <c r="U11" s="123">
        <f t="shared" si="14"/>
        <v>0</v>
      </c>
      <c r="V11" s="123">
        <f t="shared" si="15"/>
        <v>0</v>
      </c>
      <c r="W11" s="123">
        <f t="shared" si="16"/>
        <v>0</v>
      </c>
      <c r="X11" s="123">
        <f t="shared" si="3"/>
        <v>0</v>
      </c>
      <c r="Y11" s="123">
        <f t="shared" si="3"/>
        <v>0</v>
      </c>
      <c r="Z11" s="162">
        <f t="shared" si="17"/>
        <v>0</v>
      </c>
      <c r="AA11" s="163">
        <f t="shared" si="18"/>
        <v>0</v>
      </c>
      <c r="AB11" s="163">
        <f t="shared" si="19"/>
        <v>0</v>
      </c>
      <c r="AC11" s="163">
        <f t="shared" si="20"/>
        <v>0</v>
      </c>
      <c r="AD11" s="163">
        <f t="shared" si="21"/>
        <v>0</v>
      </c>
      <c r="AE11" s="163">
        <f t="shared" si="4"/>
        <v>0</v>
      </c>
      <c r="AF11" s="164">
        <f t="shared" si="4"/>
        <v>0</v>
      </c>
      <c r="AG11" s="162">
        <f t="shared" si="22"/>
        <v>0</v>
      </c>
      <c r="AH11" s="163">
        <f t="shared" si="23"/>
        <v>0</v>
      </c>
      <c r="AI11" s="163">
        <f t="shared" si="24"/>
        <v>0</v>
      </c>
      <c r="AJ11" s="163">
        <f t="shared" si="25"/>
        <v>0</v>
      </c>
      <c r="AK11" s="163">
        <f t="shared" si="26"/>
        <v>0</v>
      </c>
      <c r="AL11" s="163">
        <f t="shared" si="5"/>
        <v>0</v>
      </c>
      <c r="AM11" s="164">
        <f t="shared" si="5"/>
        <v>0</v>
      </c>
      <c r="AN11" s="104">
        <v>4.02457591717276E-8</v>
      </c>
      <c r="AO11" s="104">
        <v>2.1978654621303799E-8</v>
      </c>
      <c r="AP11" s="104">
        <v>3.4332067932189799E-8</v>
      </c>
      <c r="AQ11" s="104">
        <v>2.65494142177944E-8</v>
      </c>
      <c r="AR11" s="104">
        <v>5.1215194343237199E-9</v>
      </c>
      <c r="AS11" s="104">
        <v>2.0305952526194934E-8</v>
      </c>
      <c r="AT11" s="104">
        <v>1.9939806645532666E-8</v>
      </c>
      <c r="AU11" s="170">
        <f t="shared" si="27"/>
        <v>0</v>
      </c>
      <c r="AV11" s="115">
        <f t="shared" si="28"/>
        <v>0</v>
      </c>
      <c r="AW11" s="115">
        <f t="shared" si="29"/>
        <v>0</v>
      </c>
      <c r="AX11" s="115">
        <f t="shared" si="30"/>
        <v>0</v>
      </c>
      <c r="AY11" s="115">
        <f t="shared" si="31"/>
        <v>0</v>
      </c>
      <c r="AZ11" s="115">
        <f t="shared" si="6"/>
        <v>0</v>
      </c>
      <c r="BA11" s="115">
        <f t="shared" si="6"/>
        <v>0</v>
      </c>
      <c r="BB11" s="170">
        <f t="shared" si="32"/>
        <v>0</v>
      </c>
      <c r="BC11" s="115">
        <f t="shared" si="33"/>
        <v>0</v>
      </c>
      <c r="BD11" s="115">
        <f t="shared" si="34"/>
        <v>0</v>
      </c>
      <c r="BE11" s="115">
        <f t="shared" si="35"/>
        <v>0</v>
      </c>
      <c r="BF11" s="115">
        <f t="shared" si="36"/>
        <v>0</v>
      </c>
      <c r="BG11" s="115">
        <f t="shared" si="7"/>
        <v>0</v>
      </c>
      <c r="BH11" s="171">
        <f t="shared" si="7"/>
        <v>0</v>
      </c>
    </row>
    <row r="12" spans="1:60" x14ac:dyDescent="0.25">
      <c r="A12" s="4" t="s">
        <v>11</v>
      </c>
      <c r="B12" s="1"/>
      <c r="C12" s="1"/>
      <c r="D12" s="56">
        <v>44682</v>
      </c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122">
        <f t="shared" si="37"/>
        <v>0</v>
      </c>
      <c r="M12" s="122">
        <f t="shared" si="8"/>
        <v>0</v>
      </c>
      <c r="N12" s="122">
        <f t="shared" si="9"/>
        <v>0</v>
      </c>
      <c r="O12" s="122">
        <f t="shared" si="10"/>
        <v>0</v>
      </c>
      <c r="P12" s="122">
        <f t="shared" si="11"/>
        <v>0</v>
      </c>
      <c r="Q12" s="122">
        <f t="shared" si="2"/>
        <v>0</v>
      </c>
      <c r="R12" s="122">
        <f t="shared" si="2"/>
        <v>0</v>
      </c>
      <c r="S12" s="123">
        <f t="shared" si="12"/>
        <v>0</v>
      </c>
      <c r="T12" s="123">
        <f t="shared" si="13"/>
        <v>0</v>
      </c>
      <c r="U12" s="123">
        <f t="shared" si="14"/>
        <v>0</v>
      </c>
      <c r="V12" s="123">
        <f t="shared" si="15"/>
        <v>0</v>
      </c>
      <c r="W12" s="123">
        <f t="shared" si="16"/>
        <v>0</v>
      </c>
      <c r="X12" s="123">
        <f t="shared" si="3"/>
        <v>0</v>
      </c>
      <c r="Y12" s="123">
        <f t="shared" si="3"/>
        <v>0</v>
      </c>
      <c r="Z12" s="162">
        <f t="shared" si="17"/>
        <v>0</v>
      </c>
      <c r="AA12" s="163">
        <f t="shared" si="18"/>
        <v>0</v>
      </c>
      <c r="AB12" s="163">
        <f t="shared" si="19"/>
        <v>0</v>
      </c>
      <c r="AC12" s="163">
        <f t="shared" si="20"/>
        <v>0</v>
      </c>
      <c r="AD12" s="163">
        <f t="shared" si="21"/>
        <v>0</v>
      </c>
      <c r="AE12" s="163">
        <f t="shared" si="4"/>
        <v>0</v>
      </c>
      <c r="AF12" s="164">
        <f t="shared" si="4"/>
        <v>0</v>
      </c>
      <c r="AG12" s="162">
        <f t="shared" si="22"/>
        <v>0</v>
      </c>
      <c r="AH12" s="163">
        <f t="shared" si="23"/>
        <v>0</v>
      </c>
      <c r="AI12" s="163">
        <f t="shared" si="24"/>
        <v>0</v>
      </c>
      <c r="AJ12" s="163">
        <f t="shared" si="25"/>
        <v>0</v>
      </c>
      <c r="AK12" s="163">
        <f t="shared" si="26"/>
        <v>0</v>
      </c>
      <c r="AL12" s="163">
        <f t="shared" si="5"/>
        <v>0</v>
      </c>
      <c r="AM12" s="164">
        <f t="shared" si="5"/>
        <v>0</v>
      </c>
      <c r="AN12" s="104">
        <v>3.9836385025967701E-8</v>
      </c>
      <c r="AO12" s="104">
        <v>2.1548682655085399E-8</v>
      </c>
      <c r="AP12" s="104">
        <v>3.405102227397E-8</v>
      </c>
      <c r="AQ12" s="104">
        <v>2.69169240604387E-8</v>
      </c>
      <c r="AR12" s="104">
        <v>5.4112786716580798E-9</v>
      </c>
      <c r="AS12" s="104">
        <v>2.0185099335393657E-8</v>
      </c>
      <c r="AT12" s="104">
        <v>1.9651285690574047E-8</v>
      </c>
      <c r="AU12" s="170">
        <f t="shared" si="27"/>
        <v>0</v>
      </c>
      <c r="AV12" s="115">
        <f t="shared" si="28"/>
        <v>0</v>
      </c>
      <c r="AW12" s="115">
        <f t="shared" si="29"/>
        <v>0</v>
      </c>
      <c r="AX12" s="115">
        <f t="shared" si="30"/>
        <v>0</v>
      </c>
      <c r="AY12" s="115">
        <f t="shared" si="31"/>
        <v>0</v>
      </c>
      <c r="AZ12" s="115">
        <f t="shared" si="6"/>
        <v>0</v>
      </c>
      <c r="BA12" s="115">
        <f t="shared" si="6"/>
        <v>0</v>
      </c>
      <c r="BB12" s="170">
        <f t="shared" si="32"/>
        <v>0</v>
      </c>
      <c r="BC12" s="115">
        <f t="shared" si="33"/>
        <v>0</v>
      </c>
      <c r="BD12" s="115">
        <f t="shared" si="34"/>
        <v>0</v>
      </c>
      <c r="BE12" s="115">
        <f t="shared" si="35"/>
        <v>0</v>
      </c>
      <c r="BF12" s="115">
        <f t="shared" si="36"/>
        <v>0</v>
      </c>
      <c r="BG12" s="115">
        <f t="shared" si="7"/>
        <v>0</v>
      </c>
      <c r="BH12" s="171">
        <f t="shared" si="7"/>
        <v>0</v>
      </c>
    </row>
    <row r="13" spans="1:60" x14ac:dyDescent="0.25">
      <c r="A13" s="4" t="s">
        <v>11</v>
      </c>
      <c r="B13" s="1"/>
      <c r="C13" s="1"/>
      <c r="D13" s="56">
        <v>44713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122">
        <f t="shared" si="37"/>
        <v>0</v>
      </c>
      <c r="M13" s="122">
        <f t="shared" si="8"/>
        <v>0</v>
      </c>
      <c r="N13" s="122">
        <f t="shared" si="9"/>
        <v>0</v>
      </c>
      <c r="O13" s="122">
        <f t="shared" si="10"/>
        <v>0</v>
      </c>
      <c r="P13" s="122">
        <f t="shared" si="11"/>
        <v>0</v>
      </c>
      <c r="Q13" s="122">
        <f t="shared" si="2"/>
        <v>0</v>
      </c>
      <c r="R13" s="122">
        <f t="shared" si="2"/>
        <v>0</v>
      </c>
      <c r="S13" s="123">
        <f t="shared" si="12"/>
        <v>0</v>
      </c>
      <c r="T13" s="123">
        <f t="shared" si="13"/>
        <v>0</v>
      </c>
      <c r="U13" s="123">
        <f t="shared" si="14"/>
        <v>0</v>
      </c>
      <c r="V13" s="123">
        <f t="shared" si="15"/>
        <v>0</v>
      </c>
      <c r="W13" s="123">
        <f t="shared" si="16"/>
        <v>0</v>
      </c>
      <c r="X13" s="123">
        <f t="shared" si="3"/>
        <v>0</v>
      </c>
      <c r="Y13" s="123">
        <f t="shared" si="3"/>
        <v>0</v>
      </c>
      <c r="Z13" s="162">
        <f t="shared" si="17"/>
        <v>0</v>
      </c>
      <c r="AA13" s="163">
        <f t="shared" si="18"/>
        <v>0</v>
      </c>
      <c r="AB13" s="163">
        <f t="shared" si="19"/>
        <v>0</v>
      </c>
      <c r="AC13" s="163">
        <f t="shared" si="20"/>
        <v>0</v>
      </c>
      <c r="AD13" s="163">
        <f t="shared" si="21"/>
        <v>0</v>
      </c>
      <c r="AE13" s="163">
        <f t="shared" si="4"/>
        <v>0</v>
      </c>
      <c r="AF13" s="164">
        <f t="shared" si="4"/>
        <v>0</v>
      </c>
      <c r="AG13" s="162">
        <f t="shared" si="22"/>
        <v>0</v>
      </c>
      <c r="AH13" s="163">
        <f t="shared" si="23"/>
        <v>0</v>
      </c>
      <c r="AI13" s="163">
        <f t="shared" si="24"/>
        <v>0</v>
      </c>
      <c r="AJ13" s="163">
        <f t="shared" si="25"/>
        <v>0</v>
      </c>
      <c r="AK13" s="163">
        <f t="shared" si="26"/>
        <v>0</v>
      </c>
      <c r="AL13" s="163">
        <f t="shared" si="5"/>
        <v>0</v>
      </c>
      <c r="AM13" s="164">
        <f t="shared" si="5"/>
        <v>0</v>
      </c>
      <c r="AN13" s="104">
        <v>3.9499784912816901E-8</v>
      </c>
      <c r="AO13" s="104">
        <v>2.1176056663799199E-8</v>
      </c>
      <c r="AP13" s="104">
        <v>3.3759913829422399E-8</v>
      </c>
      <c r="AQ13" s="104">
        <v>2.7183723151647801E-8</v>
      </c>
      <c r="AR13" s="104">
        <v>5.6534115094867002E-9</v>
      </c>
      <c r="AS13" s="104">
        <v>2.0100450219005897E-8</v>
      </c>
      <c r="AT13" s="104">
        <v>1.9399334693811008E-8</v>
      </c>
      <c r="AU13" s="170">
        <f t="shared" si="27"/>
        <v>0</v>
      </c>
      <c r="AV13" s="115">
        <f t="shared" si="28"/>
        <v>0</v>
      </c>
      <c r="AW13" s="115">
        <f t="shared" si="29"/>
        <v>0</v>
      </c>
      <c r="AX13" s="115">
        <f t="shared" si="30"/>
        <v>0</v>
      </c>
      <c r="AY13" s="115">
        <f t="shared" si="31"/>
        <v>0</v>
      </c>
      <c r="AZ13" s="115">
        <f t="shared" si="6"/>
        <v>0</v>
      </c>
      <c r="BA13" s="115">
        <f t="shared" si="6"/>
        <v>0</v>
      </c>
      <c r="BB13" s="170">
        <f t="shared" si="32"/>
        <v>0</v>
      </c>
      <c r="BC13" s="115">
        <f t="shared" si="33"/>
        <v>0</v>
      </c>
      <c r="BD13" s="115">
        <f t="shared" si="34"/>
        <v>0</v>
      </c>
      <c r="BE13" s="115">
        <f t="shared" si="35"/>
        <v>0</v>
      </c>
      <c r="BF13" s="115">
        <f t="shared" si="36"/>
        <v>0</v>
      </c>
      <c r="BG13" s="115">
        <f t="shared" si="7"/>
        <v>0</v>
      </c>
      <c r="BH13" s="171">
        <f t="shared" si="7"/>
        <v>0</v>
      </c>
    </row>
    <row r="14" spans="1:60" x14ac:dyDescent="0.25">
      <c r="A14" s="4" t="s">
        <v>11</v>
      </c>
      <c r="B14" s="1"/>
      <c r="C14" s="1"/>
      <c r="D14" s="56">
        <v>44743</v>
      </c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0</v>
      </c>
      <c r="L14" s="122">
        <f t="shared" si="37"/>
        <v>0</v>
      </c>
      <c r="M14" s="122">
        <f t="shared" si="8"/>
        <v>0</v>
      </c>
      <c r="N14" s="122">
        <f t="shared" si="9"/>
        <v>0</v>
      </c>
      <c r="O14" s="122">
        <f t="shared" si="10"/>
        <v>0</v>
      </c>
      <c r="P14" s="122">
        <f t="shared" si="11"/>
        <v>0</v>
      </c>
      <c r="Q14" s="122">
        <f t="shared" si="2"/>
        <v>0</v>
      </c>
      <c r="R14" s="122">
        <f t="shared" si="2"/>
        <v>0</v>
      </c>
      <c r="S14" s="123">
        <f t="shared" si="12"/>
        <v>0</v>
      </c>
      <c r="T14" s="123">
        <f t="shared" si="13"/>
        <v>0</v>
      </c>
      <c r="U14" s="123">
        <f t="shared" si="14"/>
        <v>0</v>
      </c>
      <c r="V14" s="123">
        <f t="shared" si="15"/>
        <v>0</v>
      </c>
      <c r="W14" s="123">
        <f t="shared" si="16"/>
        <v>0</v>
      </c>
      <c r="X14" s="123">
        <f t="shared" si="3"/>
        <v>0</v>
      </c>
      <c r="Y14" s="123">
        <f t="shared" si="3"/>
        <v>0</v>
      </c>
      <c r="Z14" s="162">
        <f t="shared" si="17"/>
        <v>0</v>
      </c>
      <c r="AA14" s="163">
        <f t="shared" si="18"/>
        <v>0</v>
      </c>
      <c r="AB14" s="163">
        <f t="shared" si="19"/>
        <v>0</v>
      </c>
      <c r="AC14" s="163">
        <f t="shared" si="20"/>
        <v>0</v>
      </c>
      <c r="AD14" s="163">
        <f t="shared" si="21"/>
        <v>0</v>
      </c>
      <c r="AE14" s="163">
        <f t="shared" si="4"/>
        <v>0</v>
      </c>
      <c r="AF14" s="164">
        <f t="shared" si="4"/>
        <v>0</v>
      </c>
      <c r="AG14" s="162">
        <f t="shared" si="22"/>
        <v>0</v>
      </c>
      <c r="AH14" s="163">
        <f t="shared" si="23"/>
        <v>0</v>
      </c>
      <c r="AI14" s="163">
        <f t="shared" si="24"/>
        <v>0</v>
      </c>
      <c r="AJ14" s="163">
        <f t="shared" si="25"/>
        <v>0</v>
      </c>
      <c r="AK14" s="163">
        <f t="shared" si="26"/>
        <v>0</v>
      </c>
      <c r="AL14" s="163">
        <f t="shared" si="5"/>
        <v>0</v>
      </c>
      <c r="AM14" s="164">
        <f t="shared" si="5"/>
        <v>0</v>
      </c>
      <c r="AN14" s="104">
        <v>3.9339584048072402E-8</v>
      </c>
      <c r="AO14" s="104">
        <v>2.1027382542598202E-8</v>
      </c>
      <c r="AP14" s="104">
        <v>3.3380169447167297E-8</v>
      </c>
      <c r="AQ14" s="104">
        <v>2.7065250059586701E-8</v>
      </c>
      <c r="AR14" s="104">
        <v>5.6287081955942598E-9</v>
      </c>
      <c r="AS14" s="104">
        <v>2.0105449836272153E-8</v>
      </c>
      <c r="AT14" s="104">
        <v>1.9234134211800249E-8</v>
      </c>
      <c r="AU14" s="170">
        <f t="shared" si="27"/>
        <v>0</v>
      </c>
      <c r="AV14" s="115">
        <f t="shared" si="28"/>
        <v>0</v>
      </c>
      <c r="AW14" s="115">
        <f t="shared" si="29"/>
        <v>0</v>
      </c>
      <c r="AX14" s="115">
        <f t="shared" si="30"/>
        <v>0</v>
      </c>
      <c r="AY14" s="115">
        <f t="shared" si="31"/>
        <v>0</v>
      </c>
      <c r="AZ14" s="115">
        <f t="shared" si="6"/>
        <v>0</v>
      </c>
      <c r="BA14" s="115">
        <f t="shared" si="6"/>
        <v>0</v>
      </c>
      <c r="BB14" s="170">
        <f t="shared" si="32"/>
        <v>0</v>
      </c>
      <c r="BC14" s="115">
        <f t="shared" si="33"/>
        <v>0</v>
      </c>
      <c r="BD14" s="115">
        <f t="shared" si="34"/>
        <v>0</v>
      </c>
      <c r="BE14" s="115">
        <f t="shared" si="35"/>
        <v>0</v>
      </c>
      <c r="BF14" s="115">
        <f t="shared" si="36"/>
        <v>0</v>
      </c>
      <c r="BG14" s="115">
        <f t="shared" si="7"/>
        <v>0</v>
      </c>
      <c r="BH14" s="171">
        <f t="shared" si="7"/>
        <v>0</v>
      </c>
    </row>
    <row r="15" spans="1:60" x14ac:dyDescent="0.25">
      <c r="A15" s="4" t="s">
        <v>11</v>
      </c>
      <c r="B15" s="1"/>
      <c r="C15" s="1"/>
      <c r="D15" s="56">
        <v>44774</v>
      </c>
      <c r="E15" s="57">
        <v>0</v>
      </c>
      <c r="F15" s="57">
        <v>0</v>
      </c>
      <c r="G15" s="57">
        <v>0</v>
      </c>
      <c r="H15" s="57">
        <v>0</v>
      </c>
      <c r="I15" s="57">
        <v>0</v>
      </c>
      <c r="J15" s="57">
        <v>0</v>
      </c>
      <c r="K15" s="57">
        <v>0</v>
      </c>
      <c r="L15" s="122">
        <f t="shared" si="37"/>
        <v>0</v>
      </c>
      <c r="M15" s="122">
        <f t="shared" si="8"/>
        <v>0</v>
      </c>
      <c r="N15" s="122">
        <f t="shared" si="9"/>
        <v>0</v>
      </c>
      <c r="O15" s="122">
        <f t="shared" si="10"/>
        <v>0</v>
      </c>
      <c r="P15" s="122">
        <f t="shared" si="11"/>
        <v>0</v>
      </c>
      <c r="Q15" s="122">
        <f t="shared" si="2"/>
        <v>0</v>
      </c>
      <c r="R15" s="122">
        <f t="shared" si="2"/>
        <v>0</v>
      </c>
      <c r="S15" s="123">
        <f t="shared" si="12"/>
        <v>0</v>
      </c>
      <c r="T15" s="123">
        <f t="shared" si="13"/>
        <v>0</v>
      </c>
      <c r="U15" s="123">
        <f t="shared" si="14"/>
        <v>0</v>
      </c>
      <c r="V15" s="123">
        <f t="shared" si="15"/>
        <v>0</v>
      </c>
      <c r="W15" s="123">
        <f t="shared" si="16"/>
        <v>0</v>
      </c>
      <c r="X15" s="123">
        <f t="shared" si="3"/>
        <v>0</v>
      </c>
      <c r="Y15" s="123">
        <f t="shared" si="3"/>
        <v>0</v>
      </c>
      <c r="Z15" s="162">
        <f t="shared" si="17"/>
        <v>0</v>
      </c>
      <c r="AA15" s="163">
        <f t="shared" si="18"/>
        <v>0</v>
      </c>
      <c r="AB15" s="163">
        <f t="shared" si="19"/>
        <v>0</v>
      </c>
      <c r="AC15" s="163">
        <f t="shared" si="20"/>
        <v>0</v>
      </c>
      <c r="AD15" s="163">
        <f t="shared" si="21"/>
        <v>0</v>
      </c>
      <c r="AE15" s="163">
        <f t="shared" si="4"/>
        <v>0</v>
      </c>
      <c r="AF15" s="164">
        <f t="shared" si="4"/>
        <v>0</v>
      </c>
      <c r="AG15" s="162">
        <f t="shared" si="22"/>
        <v>0</v>
      </c>
      <c r="AH15" s="163">
        <f t="shared" si="23"/>
        <v>0</v>
      </c>
      <c r="AI15" s="163">
        <f t="shared" si="24"/>
        <v>0</v>
      </c>
      <c r="AJ15" s="163">
        <f t="shared" si="25"/>
        <v>0</v>
      </c>
      <c r="AK15" s="163">
        <f t="shared" si="26"/>
        <v>0</v>
      </c>
      <c r="AL15" s="163">
        <f t="shared" si="5"/>
        <v>0</v>
      </c>
      <c r="AM15" s="164">
        <f t="shared" si="5"/>
        <v>0</v>
      </c>
      <c r="AN15" s="104">
        <v>3.9434354509421802E-8</v>
      </c>
      <c r="AO15" s="104">
        <v>2.1271467683529399E-8</v>
      </c>
      <c r="AP15" s="104">
        <v>3.2746273455731398E-8</v>
      </c>
      <c r="AQ15" s="104">
        <v>2.6559693935936098E-8</v>
      </c>
      <c r="AR15" s="104">
        <v>5.2285825996215096E-9</v>
      </c>
      <c r="AS15" s="104">
        <v>2.0241614234486953E-8</v>
      </c>
      <c r="AT15" s="104">
        <v>1.9192740274934849E-8</v>
      </c>
      <c r="AU15" s="170">
        <f t="shared" si="27"/>
        <v>0</v>
      </c>
      <c r="AV15" s="115">
        <f t="shared" si="28"/>
        <v>0</v>
      </c>
      <c r="AW15" s="115">
        <f t="shared" si="29"/>
        <v>0</v>
      </c>
      <c r="AX15" s="115">
        <f t="shared" si="30"/>
        <v>0</v>
      </c>
      <c r="AY15" s="115">
        <f t="shared" si="31"/>
        <v>0</v>
      </c>
      <c r="AZ15" s="115">
        <f t="shared" si="6"/>
        <v>0</v>
      </c>
      <c r="BA15" s="115">
        <f t="shared" si="6"/>
        <v>0</v>
      </c>
      <c r="BB15" s="170">
        <f t="shared" si="32"/>
        <v>0</v>
      </c>
      <c r="BC15" s="115">
        <f t="shared" si="33"/>
        <v>0</v>
      </c>
      <c r="BD15" s="115">
        <f t="shared" si="34"/>
        <v>0</v>
      </c>
      <c r="BE15" s="115">
        <f t="shared" si="35"/>
        <v>0</v>
      </c>
      <c r="BF15" s="115">
        <f t="shared" si="36"/>
        <v>0</v>
      </c>
      <c r="BG15" s="115">
        <f t="shared" si="7"/>
        <v>0</v>
      </c>
      <c r="BH15" s="171">
        <f t="shared" si="7"/>
        <v>0</v>
      </c>
    </row>
    <row r="16" spans="1:60" x14ac:dyDescent="0.25">
      <c r="A16" s="4" t="s">
        <v>15</v>
      </c>
      <c r="B16" s="1"/>
      <c r="C16" s="1"/>
      <c r="D16" s="56">
        <v>44805</v>
      </c>
      <c r="E16" s="57"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  <c r="L16" s="122">
        <f t="shared" si="37"/>
        <v>0</v>
      </c>
      <c r="M16" s="122">
        <f t="shared" si="8"/>
        <v>0</v>
      </c>
      <c r="N16" s="122">
        <f t="shared" si="9"/>
        <v>0</v>
      </c>
      <c r="O16" s="122">
        <f t="shared" si="10"/>
        <v>0</v>
      </c>
      <c r="P16" s="122">
        <f t="shared" si="11"/>
        <v>0</v>
      </c>
      <c r="Q16" s="122">
        <f t="shared" si="2"/>
        <v>0</v>
      </c>
      <c r="R16" s="122">
        <f t="shared" si="2"/>
        <v>0</v>
      </c>
      <c r="S16" s="123">
        <f t="shared" si="12"/>
        <v>0</v>
      </c>
      <c r="T16" s="123">
        <f t="shared" si="13"/>
        <v>0</v>
      </c>
      <c r="U16" s="123">
        <f t="shared" si="14"/>
        <v>0</v>
      </c>
      <c r="V16" s="123">
        <f t="shared" si="15"/>
        <v>0</v>
      </c>
      <c r="W16" s="123">
        <f t="shared" si="16"/>
        <v>0</v>
      </c>
      <c r="X16" s="123">
        <f t="shared" si="3"/>
        <v>0</v>
      </c>
      <c r="Y16" s="123">
        <f t="shared" si="3"/>
        <v>0</v>
      </c>
      <c r="Z16" s="162">
        <f t="shared" si="17"/>
        <v>0</v>
      </c>
      <c r="AA16" s="163">
        <f t="shared" si="18"/>
        <v>0</v>
      </c>
      <c r="AB16" s="163">
        <f t="shared" si="19"/>
        <v>0</v>
      </c>
      <c r="AC16" s="163">
        <f t="shared" si="20"/>
        <v>0</v>
      </c>
      <c r="AD16" s="163">
        <f t="shared" si="21"/>
        <v>0</v>
      </c>
      <c r="AE16" s="163">
        <f t="shared" si="4"/>
        <v>0</v>
      </c>
      <c r="AF16" s="164">
        <f t="shared" si="4"/>
        <v>0</v>
      </c>
      <c r="AG16" s="162">
        <f t="shared" si="22"/>
        <v>0</v>
      </c>
      <c r="AH16" s="163">
        <f t="shared" si="23"/>
        <v>0</v>
      </c>
      <c r="AI16" s="163">
        <f t="shared" si="24"/>
        <v>0</v>
      </c>
      <c r="AJ16" s="163">
        <f t="shared" si="25"/>
        <v>0</v>
      </c>
      <c r="AK16" s="163">
        <f t="shared" si="26"/>
        <v>0</v>
      </c>
      <c r="AL16" s="163">
        <f t="shared" si="5"/>
        <v>0</v>
      </c>
      <c r="AM16" s="164">
        <f t="shared" si="5"/>
        <v>0</v>
      </c>
      <c r="AN16" s="104">
        <v>3.94436776975133E-8</v>
      </c>
      <c r="AO16" s="104">
        <v>2.1297926193206402E-8</v>
      </c>
      <c r="AP16" s="104">
        <v>3.2219928011873698E-8</v>
      </c>
      <c r="AQ16" s="104">
        <v>2.62017744417875E-8</v>
      </c>
      <c r="AR16" s="104">
        <v>5.0379466521884202E-9</v>
      </c>
      <c r="AS16" s="104">
        <v>2.0335182342867854E-8</v>
      </c>
      <c r="AT16" s="104">
        <v>1.9108495354645446E-8</v>
      </c>
      <c r="AU16" s="170">
        <f t="shared" si="27"/>
        <v>0</v>
      </c>
      <c r="AV16" s="115">
        <f t="shared" si="28"/>
        <v>0</v>
      </c>
      <c r="AW16" s="115">
        <f t="shared" si="29"/>
        <v>0</v>
      </c>
      <c r="AX16" s="115">
        <f t="shared" si="30"/>
        <v>0</v>
      </c>
      <c r="AY16" s="115">
        <f t="shared" si="31"/>
        <v>0</v>
      </c>
      <c r="AZ16" s="115">
        <f t="shared" si="6"/>
        <v>0</v>
      </c>
      <c r="BA16" s="115">
        <f t="shared" si="6"/>
        <v>0</v>
      </c>
      <c r="BB16" s="170">
        <f t="shared" si="32"/>
        <v>0</v>
      </c>
      <c r="BC16" s="115">
        <f t="shared" si="33"/>
        <v>0</v>
      </c>
      <c r="BD16" s="115">
        <f t="shared" si="34"/>
        <v>0</v>
      </c>
      <c r="BE16" s="115">
        <f t="shared" si="35"/>
        <v>0</v>
      </c>
      <c r="BF16" s="115">
        <f t="shared" si="36"/>
        <v>0</v>
      </c>
      <c r="BG16" s="115">
        <f t="shared" si="7"/>
        <v>0</v>
      </c>
      <c r="BH16" s="171">
        <f t="shared" si="7"/>
        <v>0</v>
      </c>
    </row>
    <row r="17" spans="1:60" x14ac:dyDescent="0.25">
      <c r="A17" s="4" t="s">
        <v>15</v>
      </c>
      <c r="B17" s="1"/>
      <c r="C17" s="1"/>
      <c r="D17" s="56">
        <v>44835</v>
      </c>
      <c r="E17" s="57"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122">
        <f t="shared" si="37"/>
        <v>0</v>
      </c>
      <c r="M17" s="122">
        <f t="shared" si="8"/>
        <v>0</v>
      </c>
      <c r="N17" s="122">
        <f t="shared" si="9"/>
        <v>0</v>
      </c>
      <c r="O17" s="122">
        <f t="shared" si="10"/>
        <v>0</v>
      </c>
      <c r="P17" s="122">
        <f t="shared" si="11"/>
        <v>0</v>
      </c>
      <c r="Q17" s="122">
        <f t="shared" si="2"/>
        <v>0</v>
      </c>
      <c r="R17" s="122">
        <f t="shared" si="2"/>
        <v>0</v>
      </c>
      <c r="S17" s="123">
        <f t="shared" si="12"/>
        <v>0</v>
      </c>
      <c r="T17" s="123">
        <f t="shared" si="13"/>
        <v>0</v>
      </c>
      <c r="U17" s="123">
        <f t="shared" si="14"/>
        <v>0</v>
      </c>
      <c r="V17" s="123">
        <f t="shared" si="15"/>
        <v>0</v>
      </c>
      <c r="W17" s="123">
        <f t="shared" si="16"/>
        <v>0</v>
      </c>
      <c r="X17" s="123">
        <f t="shared" si="3"/>
        <v>0</v>
      </c>
      <c r="Y17" s="123">
        <f t="shared" si="3"/>
        <v>0</v>
      </c>
      <c r="Z17" s="162">
        <f t="shared" si="17"/>
        <v>0</v>
      </c>
      <c r="AA17" s="163">
        <f t="shared" si="18"/>
        <v>0</v>
      </c>
      <c r="AB17" s="163">
        <f t="shared" si="19"/>
        <v>0</v>
      </c>
      <c r="AC17" s="163">
        <f t="shared" si="20"/>
        <v>0</v>
      </c>
      <c r="AD17" s="163">
        <f t="shared" si="21"/>
        <v>0</v>
      </c>
      <c r="AE17" s="163">
        <f t="shared" si="4"/>
        <v>0</v>
      </c>
      <c r="AF17" s="164">
        <f t="shared" si="4"/>
        <v>0</v>
      </c>
      <c r="AG17" s="162">
        <f t="shared" si="22"/>
        <v>0</v>
      </c>
      <c r="AH17" s="163">
        <f t="shared" si="23"/>
        <v>0</v>
      </c>
      <c r="AI17" s="163">
        <f t="shared" si="24"/>
        <v>0</v>
      </c>
      <c r="AJ17" s="163">
        <f t="shared" si="25"/>
        <v>0</v>
      </c>
      <c r="AK17" s="163">
        <f t="shared" si="26"/>
        <v>0</v>
      </c>
      <c r="AL17" s="163">
        <f t="shared" si="5"/>
        <v>0</v>
      </c>
      <c r="AM17" s="164">
        <f t="shared" si="5"/>
        <v>0</v>
      </c>
      <c r="AN17" s="104">
        <v>3.9477777591955999E-8</v>
      </c>
      <c r="AO17" s="104">
        <v>2.1528569691942699E-8</v>
      </c>
      <c r="AP17" s="104">
        <v>3.1510766450494799E-8</v>
      </c>
      <c r="AQ17" s="104">
        <v>2.5842889594420901E-8</v>
      </c>
      <c r="AR17" s="104">
        <v>4.7269014422470602E-9</v>
      </c>
      <c r="AS17" s="104">
        <v>2.0442686958983524E-8</v>
      </c>
      <c r="AT17" s="104">
        <v>1.9035090632972478E-8</v>
      </c>
      <c r="AU17" s="170">
        <f t="shared" si="27"/>
        <v>0</v>
      </c>
      <c r="AV17" s="115">
        <f t="shared" si="28"/>
        <v>0</v>
      </c>
      <c r="AW17" s="115">
        <f t="shared" si="29"/>
        <v>0</v>
      </c>
      <c r="AX17" s="115">
        <f t="shared" si="30"/>
        <v>0</v>
      </c>
      <c r="AY17" s="115">
        <f t="shared" si="31"/>
        <v>0</v>
      </c>
      <c r="AZ17" s="115">
        <f t="shared" si="6"/>
        <v>0</v>
      </c>
      <c r="BA17" s="115">
        <f t="shared" si="6"/>
        <v>0</v>
      </c>
      <c r="BB17" s="170">
        <f t="shared" si="32"/>
        <v>0</v>
      </c>
      <c r="BC17" s="115">
        <f t="shared" si="33"/>
        <v>0</v>
      </c>
      <c r="BD17" s="115">
        <f t="shared" si="34"/>
        <v>0</v>
      </c>
      <c r="BE17" s="115">
        <f t="shared" si="35"/>
        <v>0</v>
      </c>
      <c r="BF17" s="115">
        <f t="shared" si="36"/>
        <v>0</v>
      </c>
      <c r="BG17" s="115">
        <f t="shared" si="7"/>
        <v>0</v>
      </c>
      <c r="BH17" s="171">
        <f t="shared" si="7"/>
        <v>0</v>
      </c>
    </row>
    <row r="18" spans="1:60" x14ac:dyDescent="0.25">
      <c r="A18" s="4" t="s">
        <v>15</v>
      </c>
      <c r="B18" s="1"/>
      <c r="C18" s="1"/>
      <c r="D18" s="56">
        <v>44866</v>
      </c>
      <c r="E18" s="57">
        <v>0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122">
        <f t="shared" si="37"/>
        <v>0</v>
      </c>
      <c r="M18" s="122">
        <f t="shared" si="8"/>
        <v>0</v>
      </c>
      <c r="N18" s="122">
        <f t="shared" si="9"/>
        <v>0</v>
      </c>
      <c r="O18" s="122">
        <f t="shared" si="10"/>
        <v>0</v>
      </c>
      <c r="P18" s="122">
        <f t="shared" si="11"/>
        <v>0</v>
      </c>
      <c r="Q18" s="122">
        <f t="shared" si="2"/>
        <v>0</v>
      </c>
      <c r="R18" s="122">
        <f t="shared" si="2"/>
        <v>0</v>
      </c>
      <c r="S18" s="123">
        <f t="shared" si="12"/>
        <v>0</v>
      </c>
      <c r="T18" s="123">
        <f t="shared" si="13"/>
        <v>0</v>
      </c>
      <c r="U18" s="123">
        <f t="shared" si="14"/>
        <v>0</v>
      </c>
      <c r="V18" s="123">
        <f t="shared" si="15"/>
        <v>0</v>
      </c>
      <c r="W18" s="123">
        <f t="shared" si="16"/>
        <v>0</v>
      </c>
      <c r="X18" s="123">
        <f t="shared" si="3"/>
        <v>0</v>
      </c>
      <c r="Y18" s="123">
        <f t="shared" si="3"/>
        <v>0</v>
      </c>
      <c r="Z18" s="162">
        <f t="shared" si="17"/>
        <v>0</v>
      </c>
      <c r="AA18" s="163">
        <f t="shared" si="18"/>
        <v>0</v>
      </c>
      <c r="AB18" s="163">
        <f t="shared" si="19"/>
        <v>0</v>
      </c>
      <c r="AC18" s="163">
        <f t="shared" si="20"/>
        <v>0</v>
      </c>
      <c r="AD18" s="163">
        <f t="shared" si="21"/>
        <v>0</v>
      </c>
      <c r="AE18" s="163">
        <f t="shared" si="4"/>
        <v>0</v>
      </c>
      <c r="AF18" s="164">
        <f t="shared" si="4"/>
        <v>0</v>
      </c>
      <c r="AG18" s="162">
        <f t="shared" si="22"/>
        <v>0</v>
      </c>
      <c r="AH18" s="163">
        <f t="shared" si="23"/>
        <v>0</v>
      </c>
      <c r="AI18" s="163">
        <f t="shared" si="24"/>
        <v>0</v>
      </c>
      <c r="AJ18" s="163">
        <f t="shared" si="25"/>
        <v>0</v>
      </c>
      <c r="AK18" s="163">
        <f t="shared" si="26"/>
        <v>0</v>
      </c>
      <c r="AL18" s="163">
        <f t="shared" si="5"/>
        <v>0</v>
      </c>
      <c r="AM18" s="164">
        <f t="shared" si="5"/>
        <v>0</v>
      </c>
      <c r="AN18" s="104">
        <v>3.93450088795054E-8</v>
      </c>
      <c r="AO18" s="104">
        <v>2.0953867689635701E-8</v>
      </c>
      <c r="AP18" s="104">
        <v>3.1251207064748101E-8</v>
      </c>
      <c r="AQ18" s="104">
        <v>2.5686463361454E-8</v>
      </c>
      <c r="AR18" s="104">
        <v>5.1473633720427103E-9</v>
      </c>
      <c r="AS18" s="104">
        <v>2.0464650906892202E-8</v>
      </c>
      <c r="AT18" s="104">
        <v>1.8880357972613197E-8</v>
      </c>
      <c r="AU18" s="170">
        <f t="shared" si="27"/>
        <v>0</v>
      </c>
      <c r="AV18" s="115">
        <f t="shared" si="28"/>
        <v>0</v>
      </c>
      <c r="AW18" s="115">
        <f t="shared" si="29"/>
        <v>0</v>
      </c>
      <c r="AX18" s="115">
        <f t="shared" si="30"/>
        <v>0</v>
      </c>
      <c r="AY18" s="115">
        <f t="shared" si="31"/>
        <v>0</v>
      </c>
      <c r="AZ18" s="115">
        <f t="shared" si="6"/>
        <v>0</v>
      </c>
      <c r="BA18" s="115">
        <f t="shared" si="6"/>
        <v>0</v>
      </c>
      <c r="BB18" s="170">
        <f t="shared" si="32"/>
        <v>0</v>
      </c>
      <c r="BC18" s="115">
        <f t="shared" si="33"/>
        <v>0</v>
      </c>
      <c r="BD18" s="115">
        <f t="shared" si="34"/>
        <v>0</v>
      </c>
      <c r="BE18" s="115">
        <f t="shared" si="35"/>
        <v>0</v>
      </c>
      <c r="BF18" s="115">
        <f t="shared" si="36"/>
        <v>0</v>
      </c>
      <c r="BG18" s="115">
        <f t="shared" si="7"/>
        <v>0</v>
      </c>
      <c r="BH18" s="171">
        <f t="shared" si="7"/>
        <v>0</v>
      </c>
    </row>
    <row r="19" spans="1:60" x14ac:dyDescent="0.25">
      <c r="A19" s="4" t="s">
        <v>15</v>
      </c>
      <c r="B19" s="1"/>
      <c r="C19" s="1"/>
      <c r="D19" s="56">
        <v>44896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122">
        <f t="shared" si="37"/>
        <v>0</v>
      </c>
      <c r="M19" s="122">
        <f t="shared" si="8"/>
        <v>0</v>
      </c>
      <c r="N19" s="122">
        <f t="shared" si="9"/>
        <v>0</v>
      </c>
      <c r="O19" s="122">
        <f t="shared" si="10"/>
        <v>0</v>
      </c>
      <c r="P19" s="122">
        <f t="shared" si="11"/>
        <v>0</v>
      </c>
      <c r="Q19" s="122">
        <f t="shared" si="2"/>
        <v>0</v>
      </c>
      <c r="R19" s="122">
        <f t="shared" si="2"/>
        <v>0</v>
      </c>
      <c r="S19" s="123">
        <f t="shared" si="12"/>
        <v>0</v>
      </c>
      <c r="T19" s="123">
        <f t="shared" si="13"/>
        <v>0</v>
      </c>
      <c r="U19" s="123">
        <f t="shared" si="14"/>
        <v>0</v>
      </c>
      <c r="V19" s="123">
        <f t="shared" si="15"/>
        <v>0</v>
      </c>
      <c r="W19" s="123">
        <f t="shared" si="16"/>
        <v>0</v>
      </c>
      <c r="X19" s="123">
        <f t="shared" si="3"/>
        <v>0</v>
      </c>
      <c r="Y19" s="123">
        <f t="shared" si="3"/>
        <v>0</v>
      </c>
      <c r="Z19" s="162">
        <f t="shared" si="17"/>
        <v>0</v>
      </c>
      <c r="AA19" s="163">
        <f t="shared" si="18"/>
        <v>0</v>
      </c>
      <c r="AB19" s="163">
        <f t="shared" si="19"/>
        <v>0</v>
      </c>
      <c r="AC19" s="163">
        <f t="shared" si="20"/>
        <v>0</v>
      </c>
      <c r="AD19" s="163">
        <f t="shared" si="21"/>
        <v>0</v>
      </c>
      <c r="AE19" s="163">
        <f t="shared" si="4"/>
        <v>0</v>
      </c>
      <c r="AF19" s="164">
        <f t="shared" si="4"/>
        <v>0</v>
      </c>
      <c r="AG19" s="162">
        <f t="shared" si="22"/>
        <v>0</v>
      </c>
      <c r="AH19" s="163">
        <f t="shared" si="23"/>
        <v>0</v>
      </c>
      <c r="AI19" s="163">
        <f t="shared" si="24"/>
        <v>0</v>
      </c>
      <c r="AJ19" s="163">
        <f t="shared" si="25"/>
        <v>0</v>
      </c>
      <c r="AK19" s="163">
        <f t="shared" si="26"/>
        <v>0</v>
      </c>
      <c r="AL19" s="163">
        <f t="shared" si="5"/>
        <v>0</v>
      </c>
      <c r="AM19" s="164">
        <f t="shared" si="5"/>
        <v>0</v>
      </c>
      <c r="AN19" s="104">
        <v>3.9018266009146901E-8</v>
      </c>
      <c r="AO19" s="104">
        <v>1.9661458477461299E-8</v>
      </c>
      <c r="AP19" s="104">
        <v>3.1429200372974601E-8</v>
      </c>
      <c r="AQ19" s="104">
        <v>2.5714094173927302E-8</v>
      </c>
      <c r="AR19" s="104">
        <v>6.1680180514741204E-9</v>
      </c>
      <c r="AS19" s="104">
        <v>2.0385778412574793E-8</v>
      </c>
      <c r="AT19" s="104">
        <v>1.8632487596572108E-8</v>
      </c>
      <c r="AU19" s="170">
        <f t="shared" si="27"/>
        <v>0</v>
      </c>
      <c r="AV19" s="115">
        <f t="shared" si="28"/>
        <v>0</v>
      </c>
      <c r="AW19" s="115">
        <f t="shared" si="29"/>
        <v>0</v>
      </c>
      <c r="AX19" s="115">
        <f t="shared" si="30"/>
        <v>0</v>
      </c>
      <c r="AY19" s="115">
        <f t="shared" si="31"/>
        <v>0</v>
      </c>
      <c r="AZ19" s="115">
        <f t="shared" si="6"/>
        <v>0</v>
      </c>
      <c r="BA19" s="115">
        <f t="shared" si="6"/>
        <v>0</v>
      </c>
      <c r="BB19" s="170">
        <f t="shared" si="32"/>
        <v>0</v>
      </c>
      <c r="BC19" s="115">
        <f t="shared" si="33"/>
        <v>0</v>
      </c>
      <c r="BD19" s="115">
        <f t="shared" si="34"/>
        <v>0</v>
      </c>
      <c r="BE19" s="115">
        <f t="shared" si="35"/>
        <v>0</v>
      </c>
      <c r="BF19" s="115">
        <f t="shared" si="36"/>
        <v>0</v>
      </c>
      <c r="BG19" s="115">
        <f t="shared" si="7"/>
        <v>0</v>
      </c>
      <c r="BH19" s="171">
        <f t="shared" si="7"/>
        <v>0</v>
      </c>
    </row>
    <row r="20" spans="1:60" x14ac:dyDescent="0.25">
      <c r="A20" s="4" t="s">
        <v>15</v>
      </c>
      <c r="B20" s="1"/>
      <c r="C20" s="1"/>
      <c r="D20" s="56">
        <v>44927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122">
        <f t="shared" si="37"/>
        <v>0</v>
      </c>
      <c r="M20" s="122">
        <f t="shared" si="8"/>
        <v>0</v>
      </c>
      <c r="N20" s="122">
        <f t="shared" si="9"/>
        <v>0</v>
      </c>
      <c r="O20" s="122">
        <f t="shared" si="10"/>
        <v>0</v>
      </c>
      <c r="P20" s="122">
        <f t="shared" si="11"/>
        <v>0</v>
      </c>
      <c r="Q20" s="122">
        <f t="shared" ref="Q20:Q40" si="38">Q19*Q$1+J20</f>
        <v>0</v>
      </c>
      <c r="R20" s="122">
        <f t="shared" ref="R20:R40" si="39">R19*R$1+K20</f>
        <v>0</v>
      </c>
      <c r="S20" s="123">
        <f t="shared" si="12"/>
        <v>0</v>
      </c>
      <c r="T20" s="123">
        <f t="shared" si="13"/>
        <v>0</v>
      </c>
      <c r="U20" s="123">
        <f t="shared" si="14"/>
        <v>0</v>
      </c>
      <c r="V20" s="123">
        <f t="shared" si="15"/>
        <v>0</v>
      </c>
      <c r="W20" s="123">
        <f t="shared" si="16"/>
        <v>0</v>
      </c>
      <c r="X20" s="123">
        <f t="shared" ref="X20:X40" si="40">Q20-J20</f>
        <v>0</v>
      </c>
      <c r="Y20" s="123">
        <f t="shared" ref="Y20:Y40" si="41">R20-K20</f>
        <v>0</v>
      </c>
      <c r="Z20" s="162">
        <f t="shared" si="17"/>
        <v>0</v>
      </c>
      <c r="AA20" s="163">
        <f t="shared" si="18"/>
        <v>0</v>
      </c>
      <c r="AB20" s="163">
        <f t="shared" si="19"/>
        <v>0</v>
      </c>
      <c r="AC20" s="163">
        <f t="shared" si="20"/>
        <v>0</v>
      </c>
      <c r="AD20" s="163">
        <f t="shared" si="21"/>
        <v>0</v>
      </c>
      <c r="AE20" s="163">
        <f t="shared" ref="AE20:AE40" si="42">IFERROR(J20/Q20,0)</f>
        <v>0</v>
      </c>
      <c r="AF20" s="164">
        <f t="shared" ref="AF20:AF40" si="43">IFERROR(K20/R20,0)</f>
        <v>0</v>
      </c>
      <c r="AG20" s="162">
        <f t="shared" si="22"/>
        <v>0</v>
      </c>
      <c r="AH20" s="163">
        <f t="shared" si="23"/>
        <v>0</v>
      </c>
      <c r="AI20" s="163">
        <f t="shared" si="24"/>
        <v>0</v>
      </c>
      <c r="AJ20" s="163">
        <f t="shared" si="25"/>
        <v>0</v>
      </c>
      <c r="AK20" s="163">
        <f t="shared" si="26"/>
        <v>0</v>
      </c>
      <c r="AL20" s="163">
        <f t="shared" ref="AL20:AL40" si="44">IFERROR(X20/Q20,0)</f>
        <v>0</v>
      </c>
      <c r="AM20" s="164">
        <f t="shared" ref="AM20:AM40" si="45">IFERROR(Y20/R20,0)</f>
        <v>0</v>
      </c>
      <c r="AN20" s="104">
        <v>3.9326645488606497E-8</v>
      </c>
      <c r="AO20" s="104">
        <v>1.9688279762770699E-8</v>
      </c>
      <c r="AP20" s="104">
        <v>3.0587930258092699E-8</v>
      </c>
      <c r="AQ20" s="104">
        <v>2.48285795562441E-8</v>
      </c>
      <c r="AR20" s="104">
        <v>6.1889775180182696E-9</v>
      </c>
      <c r="AS20" s="104">
        <v>2.063984954986321E-8</v>
      </c>
      <c r="AT20" s="104">
        <v>1.8686795938743284E-8</v>
      </c>
      <c r="AU20" s="170">
        <f t="shared" si="27"/>
        <v>0</v>
      </c>
      <c r="AV20" s="115">
        <f t="shared" si="28"/>
        <v>0</v>
      </c>
      <c r="AW20" s="115">
        <f t="shared" si="29"/>
        <v>0</v>
      </c>
      <c r="AX20" s="115">
        <f t="shared" si="30"/>
        <v>0</v>
      </c>
      <c r="AY20" s="115">
        <f t="shared" si="31"/>
        <v>0</v>
      </c>
      <c r="AZ20" s="115">
        <f t="shared" ref="AZ20:AZ40" si="46">AS20*AE20</f>
        <v>0</v>
      </c>
      <c r="BA20" s="115">
        <f t="shared" ref="BA20:BA40" si="47">AT20*AF20</f>
        <v>0</v>
      </c>
      <c r="BB20" s="170">
        <f t="shared" si="32"/>
        <v>0</v>
      </c>
      <c r="BC20" s="115">
        <f t="shared" si="33"/>
        <v>0</v>
      </c>
      <c r="BD20" s="115">
        <f t="shared" si="34"/>
        <v>0</v>
      </c>
      <c r="BE20" s="115">
        <f t="shared" si="35"/>
        <v>0</v>
      </c>
      <c r="BF20" s="115">
        <f t="shared" si="36"/>
        <v>0</v>
      </c>
      <c r="BG20" s="115">
        <f t="shared" ref="BG20:BG40" si="48">AS20*AL20</f>
        <v>0</v>
      </c>
      <c r="BH20" s="171">
        <f t="shared" ref="BH20:BH40" si="49">AT20*AM20</f>
        <v>0</v>
      </c>
    </row>
    <row r="21" spans="1:60" x14ac:dyDescent="0.25">
      <c r="A21" s="4" t="s">
        <v>15</v>
      </c>
      <c r="B21" s="1"/>
      <c r="C21" s="1"/>
      <c r="D21" s="56">
        <v>44958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  <c r="L21" s="122">
        <f t="shared" si="37"/>
        <v>0</v>
      </c>
      <c r="M21" s="122">
        <f t="shared" si="8"/>
        <v>0</v>
      </c>
      <c r="N21" s="122">
        <f t="shared" si="9"/>
        <v>0</v>
      </c>
      <c r="O21" s="122">
        <f t="shared" si="10"/>
        <v>0</v>
      </c>
      <c r="P21" s="122">
        <f t="shared" si="11"/>
        <v>0</v>
      </c>
      <c r="Q21" s="122">
        <f t="shared" si="38"/>
        <v>0</v>
      </c>
      <c r="R21" s="122">
        <f t="shared" si="39"/>
        <v>0</v>
      </c>
      <c r="S21" s="123">
        <f t="shared" si="12"/>
        <v>0</v>
      </c>
      <c r="T21" s="123">
        <f t="shared" si="13"/>
        <v>0</v>
      </c>
      <c r="U21" s="123">
        <f t="shared" si="14"/>
        <v>0</v>
      </c>
      <c r="V21" s="123">
        <f t="shared" si="15"/>
        <v>0</v>
      </c>
      <c r="W21" s="123">
        <f t="shared" si="16"/>
        <v>0</v>
      </c>
      <c r="X21" s="123">
        <f t="shared" si="40"/>
        <v>0</v>
      </c>
      <c r="Y21" s="123">
        <f t="shared" si="41"/>
        <v>0</v>
      </c>
      <c r="Z21" s="162">
        <f t="shared" si="17"/>
        <v>0</v>
      </c>
      <c r="AA21" s="163">
        <f t="shared" si="18"/>
        <v>0</v>
      </c>
      <c r="AB21" s="163">
        <f t="shared" si="19"/>
        <v>0</v>
      </c>
      <c r="AC21" s="163">
        <f t="shared" si="20"/>
        <v>0</v>
      </c>
      <c r="AD21" s="163">
        <f t="shared" si="21"/>
        <v>0</v>
      </c>
      <c r="AE21" s="163">
        <f t="shared" si="42"/>
        <v>0</v>
      </c>
      <c r="AF21" s="164">
        <f t="shared" si="43"/>
        <v>0</v>
      </c>
      <c r="AG21" s="162">
        <f t="shared" si="22"/>
        <v>0</v>
      </c>
      <c r="AH21" s="163">
        <f t="shared" si="23"/>
        <v>0</v>
      </c>
      <c r="AI21" s="163">
        <f t="shared" si="24"/>
        <v>0</v>
      </c>
      <c r="AJ21" s="163">
        <f t="shared" si="25"/>
        <v>0</v>
      </c>
      <c r="AK21" s="163">
        <f t="shared" si="26"/>
        <v>0</v>
      </c>
      <c r="AL21" s="163">
        <f t="shared" si="44"/>
        <v>0</v>
      </c>
      <c r="AM21" s="164">
        <f t="shared" si="45"/>
        <v>0</v>
      </c>
      <c r="AN21" s="104">
        <v>3.9407231691735598E-8</v>
      </c>
      <c r="AO21" s="104">
        <v>1.9298008225624399E-8</v>
      </c>
      <c r="AP21" s="104">
        <v>3.0039915083626E-8</v>
      </c>
      <c r="AQ21" s="104">
        <v>2.4240870981588499E-8</v>
      </c>
      <c r="AR21" s="104">
        <v>6.5441676004013201E-9</v>
      </c>
      <c r="AS21" s="104">
        <v>2.0776476519270464E-8</v>
      </c>
      <c r="AT21" s="104">
        <v>1.8630755172465134E-8</v>
      </c>
      <c r="AU21" s="170">
        <f t="shared" si="27"/>
        <v>0</v>
      </c>
      <c r="AV21" s="115">
        <f t="shared" si="28"/>
        <v>0</v>
      </c>
      <c r="AW21" s="115">
        <f t="shared" si="29"/>
        <v>0</v>
      </c>
      <c r="AX21" s="115">
        <f t="shared" si="30"/>
        <v>0</v>
      </c>
      <c r="AY21" s="115">
        <f t="shared" si="31"/>
        <v>0</v>
      </c>
      <c r="AZ21" s="115">
        <f t="shared" si="46"/>
        <v>0</v>
      </c>
      <c r="BA21" s="115">
        <f t="shared" si="47"/>
        <v>0</v>
      </c>
      <c r="BB21" s="170">
        <f t="shared" si="32"/>
        <v>0</v>
      </c>
      <c r="BC21" s="115">
        <f t="shared" si="33"/>
        <v>0</v>
      </c>
      <c r="BD21" s="115">
        <f t="shared" si="34"/>
        <v>0</v>
      </c>
      <c r="BE21" s="115">
        <f t="shared" si="35"/>
        <v>0</v>
      </c>
      <c r="BF21" s="115">
        <f t="shared" si="36"/>
        <v>0</v>
      </c>
      <c r="BG21" s="115">
        <f t="shared" si="48"/>
        <v>0</v>
      </c>
      <c r="BH21" s="171">
        <f t="shared" si="49"/>
        <v>0</v>
      </c>
    </row>
    <row r="22" spans="1:60" x14ac:dyDescent="0.25">
      <c r="A22" s="4" t="s">
        <v>15</v>
      </c>
      <c r="B22" s="1"/>
      <c r="C22" s="1"/>
      <c r="D22" s="56">
        <v>44986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122">
        <f t="shared" si="37"/>
        <v>0</v>
      </c>
      <c r="M22" s="122">
        <f t="shared" si="8"/>
        <v>0</v>
      </c>
      <c r="N22" s="122">
        <f t="shared" si="9"/>
        <v>0</v>
      </c>
      <c r="O22" s="122">
        <f t="shared" si="10"/>
        <v>0</v>
      </c>
      <c r="P22" s="122">
        <f t="shared" si="11"/>
        <v>0</v>
      </c>
      <c r="Q22" s="122">
        <f t="shared" si="38"/>
        <v>0</v>
      </c>
      <c r="R22" s="122">
        <f t="shared" si="39"/>
        <v>0</v>
      </c>
      <c r="S22" s="123">
        <f t="shared" si="12"/>
        <v>0</v>
      </c>
      <c r="T22" s="123">
        <f t="shared" si="13"/>
        <v>0</v>
      </c>
      <c r="U22" s="123">
        <f t="shared" si="14"/>
        <v>0</v>
      </c>
      <c r="V22" s="123">
        <f t="shared" si="15"/>
        <v>0</v>
      </c>
      <c r="W22" s="123">
        <f t="shared" si="16"/>
        <v>0</v>
      </c>
      <c r="X22" s="123">
        <f t="shared" si="40"/>
        <v>0</v>
      </c>
      <c r="Y22" s="123">
        <f t="shared" si="41"/>
        <v>0</v>
      </c>
      <c r="Z22" s="162">
        <f t="shared" si="17"/>
        <v>0</v>
      </c>
      <c r="AA22" s="163">
        <f t="shared" si="18"/>
        <v>0</v>
      </c>
      <c r="AB22" s="163">
        <f t="shared" si="19"/>
        <v>0</v>
      </c>
      <c r="AC22" s="163">
        <f t="shared" si="20"/>
        <v>0</v>
      </c>
      <c r="AD22" s="163">
        <f t="shared" si="21"/>
        <v>0</v>
      </c>
      <c r="AE22" s="163">
        <f t="shared" si="42"/>
        <v>0</v>
      </c>
      <c r="AF22" s="164">
        <f t="shared" si="43"/>
        <v>0</v>
      </c>
      <c r="AG22" s="162">
        <f t="shared" si="22"/>
        <v>0</v>
      </c>
      <c r="AH22" s="163">
        <f t="shared" si="23"/>
        <v>0</v>
      </c>
      <c r="AI22" s="163">
        <f t="shared" si="24"/>
        <v>0</v>
      </c>
      <c r="AJ22" s="163">
        <f t="shared" si="25"/>
        <v>0</v>
      </c>
      <c r="AK22" s="163">
        <f t="shared" si="26"/>
        <v>0</v>
      </c>
      <c r="AL22" s="163">
        <f t="shared" si="44"/>
        <v>0</v>
      </c>
      <c r="AM22" s="164">
        <f t="shared" si="45"/>
        <v>0</v>
      </c>
      <c r="AN22" s="104">
        <v>3.9227482540527199E-8</v>
      </c>
      <c r="AO22" s="104">
        <v>1.8066884288510101E-8</v>
      </c>
      <c r="AP22" s="104">
        <v>3.0133462321461601E-8</v>
      </c>
      <c r="AQ22" s="104">
        <v>2.3776206444981599E-8</v>
      </c>
      <c r="AR22" s="104">
        <v>7.6186900264243003E-9</v>
      </c>
      <c r="AS22" s="104">
        <v>2.0776826224835534E-8</v>
      </c>
      <c r="AT22" s="104">
        <v>1.8450656315691661E-8</v>
      </c>
      <c r="AU22" s="170">
        <f t="shared" si="27"/>
        <v>0</v>
      </c>
      <c r="AV22" s="115">
        <f t="shared" si="28"/>
        <v>0</v>
      </c>
      <c r="AW22" s="115">
        <f t="shared" si="29"/>
        <v>0</v>
      </c>
      <c r="AX22" s="115">
        <f t="shared" si="30"/>
        <v>0</v>
      </c>
      <c r="AY22" s="115">
        <f t="shared" si="31"/>
        <v>0</v>
      </c>
      <c r="AZ22" s="115">
        <f t="shared" si="46"/>
        <v>0</v>
      </c>
      <c r="BA22" s="115">
        <f t="shared" si="47"/>
        <v>0</v>
      </c>
      <c r="BB22" s="170">
        <f t="shared" si="32"/>
        <v>0</v>
      </c>
      <c r="BC22" s="115">
        <f t="shared" si="33"/>
        <v>0</v>
      </c>
      <c r="BD22" s="115">
        <f t="shared" si="34"/>
        <v>0</v>
      </c>
      <c r="BE22" s="115">
        <f t="shared" si="35"/>
        <v>0</v>
      </c>
      <c r="BF22" s="115">
        <f t="shared" si="36"/>
        <v>0</v>
      </c>
      <c r="BG22" s="115">
        <f t="shared" si="48"/>
        <v>0</v>
      </c>
      <c r="BH22" s="171">
        <f t="shared" si="49"/>
        <v>0</v>
      </c>
    </row>
    <row r="23" spans="1:60" x14ac:dyDescent="0.25">
      <c r="A23" s="4" t="s">
        <v>15</v>
      </c>
      <c r="B23" s="1"/>
      <c r="C23" s="1"/>
      <c r="D23" s="56">
        <v>45017</v>
      </c>
      <c r="E23" s="57">
        <v>0</v>
      </c>
      <c r="F23" s="57">
        <v>0</v>
      </c>
      <c r="G23" s="57">
        <v>0</v>
      </c>
      <c r="H23" s="57">
        <v>0</v>
      </c>
      <c r="I23" s="57">
        <v>0</v>
      </c>
      <c r="J23" s="57">
        <v>0</v>
      </c>
      <c r="K23" s="57">
        <v>0</v>
      </c>
      <c r="L23" s="122">
        <f t="shared" si="37"/>
        <v>0</v>
      </c>
      <c r="M23" s="122">
        <f t="shared" si="8"/>
        <v>0</v>
      </c>
      <c r="N23" s="122">
        <f t="shared" si="9"/>
        <v>0</v>
      </c>
      <c r="O23" s="122">
        <f t="shared" si="10"/>
        <v>0</v>
      </c>
      <c r="P23" s="122">
        <f t="shared" si="11"/>
        <v>0</v>
      </c>
      <c r="Q23" s="122">
        <f t="shared" si="38"/>
        <v>0</v>
      </c>
      <c r="R23" s="122">
        <f t="shared" si="39"/>
        <v>0</v>
      </c>
      <c r="S23" s="123">
        <f t="shared" si="12"/>
        <v>0</v>
      </c>
      <c r="T23" s="123">
        <f t="shared" si="13"/>
        <v>0</v>
      </c>
      <c r="U23" s="123">
        <f t="shared" si="14"/>
        <v>0</v>
      </c>
      <c r="V23" s="123">
        <f t="shared" si="15"/>
        <v>0</v>
      </c>
      <c r="W23" s="123">
        <f t="shared" si="16"/>
        <v>0</v>
      </c>
      <c r="X23" s="123">
        <f t="shared" si="40"/>
        <v>0</v>
      </c>
      <c r="Y23" s="123">
        <f t="shared" si="41"/>
        <v>0</v>
      </c>
      <c r="Z23" s="162">
        <f t="shared" si="17"/>
        <v>0</v>
      </c>
      <c r="AA23" s="163">
        <f t="shared" si="18"/>
        <v>0</v>
      </c>
      <c r="AB23" s="163">
        <f t="shared" si="19"/>
        <v>0</v>
      </c>
      <c r="AC23" s="163">
        <f t="shared" si="20"/>
        <v>0</v>
      </c>
      <c r="AD23" s="163">
        <f t="shared" si="21"/>
        <v>0</v>
      </c>
      <c r="AE23" s="163">
        <f t="shared" si="42"/>
        <v>0</v>
      </c>
      <c r="AF23" s="164">
        <f t="shared" si="43"/>
        <v>0</v>
      </c>
      <c r="AG23" s="162">
        <f t="shared" si="22"/>
        <v>0</v>
      </c>
      <c r="AH23" s="163">
        <f t="shared" si="23"/>
        <v>0</v>
      </c>
      <c r="AI23" s="163">
        <f t="shared" si="24"/>
        <v>0</v>
      </c>
      <c r="AJ23" s="163">
        <f t="shared" si="25"/>
        <v>0</v>
      </c>
      <c r="AK23" s="163">
        <f t="shared" si="26"/>
        <v>0</v>
      </c>
      <c r="AL23" s="163">
        <f t="shared" si="44"/>
        <v>0</v>
      </c>
      <c r="AM23" s="164">
        <f t="shared" si="45"/>
        <v>0</v>
      </c>
      <c r="AN23" s="104">
        <v>3.9185682092361997E-8</v>
      </c>
      <c r="AO23" s="104">
        <v>1.7682826303260001E-8</v>
      </c>
      <c r="AP23" s="104">
        <v>2.9640654373618801E-8</v>
      </c>
      <c r="AQ23" s="104">
        <v>2.3335715052290599E-8</v>
      </c>
      <c r="AR23" s="104">
        <v>7.9751765078284806E-9</v>
      </c>
      <c r="AS23" s="104">
        <v>2.0850948776993036E-8</v>
      </c>
      <c r="AT23" s="104">
        <v>1.8334733315368964E-8</v>
      </c>
      <c r="AU23" s="170">
        <f t="shared" si="27"/>
        <v>0</v>
      </c>
      <c r="AV23" s="115">
        <f t="shared" si="28"/>
        <v>0</v>
      </c>
      <c r="AW23" s="115">
        <f t="shared" si="29"/>
        <v>0</v>
      </c>
      <c r="AX23" s="115">
        <f t="shared" si="30"/>
        <v>0</v>
      </c>
      <c r="AY23" s="115">
        <f t="shared" si="31"/>
        <v>0</v>
      </c>
      <c r="AZ23" s="115">
        <f t="shared" si="46"/>
        <v>0</v>
      </c>
      <c r="BA23" s="115">
        <f t="shared" si="47"/>
        <v>0</v>
      </c>
      <c r="BB23" s="170">
        <f t="shared" si="32"/>
        <v>0</v>
      </c>
      <c r="BC23" s="115">
        <f t="shared" si="33"/>
        <v>0</v>
      </c>
      <c r="BD23" s="115">
        <f t="shared" si="34"/>
        <v>0</v>
      </c>
      <c r="BE23" s="115">
        <f t="shared" si="35"/>
        <v>0</v>
      </c>
      <c r="BF23" s="115">
        <f t="shared" si="36"/>
        <v>0</v>
      </c>
      <c r="BG23" s="115">
        <f t="shared" si="48"/>
        <v>0</v>
      </c>
      <c r="BH23" s="171">
        <f t="shared" si="49"/>
        <v>0</v>
      </c>
    </row>
    <row r="24" spans="1:60" x14ac:dyDescent="0.25">
      <c r="A24" s="4" t="s">
        <v>15</v>
      </c>
      <c r="B24" s="1"/>
      <c r="C24" s="1"/>
      <c r="D24" s="56">
        <v>45047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122">
        <f t="shared" si="37"/>
        <v>0</v>
      </c>
      <c r="M24" s="122">
        <f t="shared" si="8"/>
        <v>0</v>
      </c>
      <c r="N24" s="122">
        <f t="shared" si="9"/>
        <v>0</v>
      </c>
      <c r="O24" s="122">
        <f t="shared" si="10"/>
        <v>0</v>
      </c>
      <c r="P24" s="122">
        <f t="shared" si="11"/>
        <v>0</v>
      </c>
      <c r="Q24" s="122">
        <f t="shared" si="38"/>
        <v>0</v>
      </c>
      <c r="R24" s="122">
        <f t="shared" si="39"/>
        <v>0</v>
      </c>
      <c r="S24" s="123">
        <f t="shared" si="12"/>
        <v>0</v>
      </c>
      <c r="T24" s="123">
        <f t="shared" si="13"/>
        <v>0</v>
      </c>
      <c r="U24" s="123">
        <f t="shared" si="14"/>
        <v>0</v>
      </c>
      <c r="V24" s="123">
        <f t="shared" si="15"/>
        <v>0</v>
      </c>
      <c r="W24" s="123">
        <f t="shared" si="16"/>
        <v>0</v>
      </c>
      <c r="X24" s="123">
        <f t="shared" si="40"/>
        <v>0</v>
      </c>
      <c r="Y24" s="123">
        <f t="shared" si="41"/>
        <v>0</v>
      </c>
      <c r="Z24" s="162">
        <f t="shared" si="17"/>
        <v>0</v>
      </c>
      <c r="AA24" s="163">
        <f t="shared" si="18"/>
        <v>0</v>
      </c>
      <c r="AB24" s="163">
        <f t="shared" si="19"/>
        <v>0</v>
      </c>
      <c r="AC24" s="163">
        <f t="shared" si="20"/>
        <v>0</v>
      </c>
      <c r="AD24" s="163">
        <f t="shared" si="21"/>
        <v>0</v>
      </c>
      <c r="AE24" s="163">
        <f t="shared" si="42"/>
        <v>0</v>
      </c>
      <c r="AF24" s="164">
        <f t="shared" si="43"/>
        <v>0</v>
      </c>
      <c r="AG24" s="162">
        <f t="shared" si="22"/>
        <v>0</v>
      </c>
      <c r="AH24" s="163">
        <f t="shared" si="23"/>
        <v>0</v>
      </c>
      <c r="AI24" s="163">
        <f t="shared" si="24"/>
        <v>0</v>
      </c>
      <c r="AJ24" s="163">
        <f t="shared" si="25"/>
        <v>0</v>
      </c>
      <c r="AK24" s="163">
        <f t="shared" si="26"/>
        <v>0</v>
      </c>
      <c r="AL24" s="163">
        <f t="shared" si="44"/>
        <v>0</v>
      </c>
      <c r="AM24" s="164">
        <f t="shared" si="45"/>
        <v>0</v>
      </c>
      <c r="AN24" s="104">
        <v>3.9197159151640998E-8</v>
      </c>
      <c r="AO24" s="104">
        <v>1.7443190530789799E-8</v>
      </c>
      <c r="AP24" s="104">
        <v>2.9011059651732799E-8</v>
      </c>
      <c r="AQ24" s="104">
        <v>2.2857842507030201E-8</v>
      </c>
      <c r="AR24" s="104">
        <v>8.1988581631469305E-9</v>
      </c>
      <c r="AS24" s="104">
        <v>2.095462369809039E-8</v>
      </c>
      <c r="AT24" s="104">
        <v>1.8242535453550608E-8</v>
      </c>
      <c r="AU24" s="170">
        <f t="shared" si="27"/>
        <v>0</v>
      </c>
      <c r="AV24" s="115">
        <f t="shared" si="28"/>
        <v>0</v>
      </c>
      <c r="AW24" s="115">
        <f t="shared" si="29"/>
        <v>0</v>
      </c>
      <c r="AX24" s="115">
        <f t="shared" si="30"/>
        <v>0</v>
      </c>
      <c r="AY24" s="115">
        <f t="shared" si="31"/>
        <v>0</v>
      </c>
      <c r="AZ24" s="115">
        <f t="shared" si="46"/>
        <v>0</v>
      </c>
      <c r="BA24" s="115">
        <f t="shared" si="47"/>
        <v>0</v>
      </c>
      <c r="BB24" s="170">
        <f t="shared" si="32"/>
        <v>0</v>
      </c>
      <c r="BC24" s="115">
        <f t="shared" si="33"/>
        <v>0</v>
      </c>
      <c r="BD24" s="115">
        <f t="shared" si="34"/>
        <v>0</v>
      </c>
      <c r="BE24" s="115">
        <f t="shared" si="35"/>
        <v>0</v>
      </c>
      <c r="BF24" s="115">
        <f t="shared" si="36"/>
        <v>0</v>
      </c>
      <c r="BG24" s="115">
        <f t="shared" si="48"/>
        <v>0</v>
      </c>
      <c r="BH24" s="171">
        <f t="shared" si="49"/>
        <v>0</v>
      </c>
    </row>
    <row r="25" spans="1:60" x14ac:dyDescent="0.25">
      <c r="A25" s="4" t="s">
        <v>15</v>
      </c>
      <c r="B25" s="1" t="s">
        <v>79</v>
      </c>
      <c r="C25" s="1">
        <v>2023</v>
      </c>
      <c r="D25" s="56">
        <v>45078</v>
      </c>
      <c r="E25" s="57">
        <v>28820514</v>
      </c>
      <c r="F25" s="57">
        <v>16340</v>
      </c>
      <c r="G25" s="57">
        <v>1194909</v>
      </c>
      <c r="H25" s="57">
        <v>272.21156777819999</v>
      </c>
      <c r="I25" s="57">
        <v>51.010408779300001</v>
      </c>
      <c r="J25" s="57">
        <v>22690032</v>
      </c>
      <c r="K25" s="57">
        <v>6130482</v>
      </c>
      <c r="L25" s="122">
        <f>L24*L$1+E25</f>
        <v>28820514</v>
      </c>
      <c r="M25" s="122">
        <f t="shared" si="8"/>
        <v>16340</v>
      </c>
      <c r="N25" s="122">
        <f t="shared" si="9"/>
        <v>1194909</v>
      </c>
      <c r="O25" s="122">
        <f t="shared" si="10"/>
        <v>272.21156777819999</v>
      </c>
      <c r="P25" s="122">
        <f t="shared" si="11"/>
        <v>51.010408779300001</v>
      </c>
      <c r="Q25" s="122">
        <f>Q24*Q$1+J25</f>
        <v>22690032</v>
      </c>
      <c r="R25" s="122">
        <f t="shared" si="39"/>
        <v>6130482</v>
      </c>
      <c r="S25" s="123">
        <f>L25-E25</f>
        <v>0</v>
      </c>
      <c r="T25" s="123">
        <f t="shared" si="13"/>
        <v>0</v>
      </c>
      <c r="U25" s="123">
        <f t="shared" si="14"/>
        <v>0</v>
      </c>
      <c r="V25" s="123">
        <f t="shared" si="15"/>
        <v>0</v>
      </c>
      <c r="W25" s="123">
        <f t="shared" si="16"/>
        <v>0</v>
      </c>
      <c r="X25" s="123">
        <f t="shared" si="40"/>
        <v>0</v>
      </c>
      <c r="Y25" s="123">
        <f t="shared" si="41"/>
        <v>0</v>
      </c>
      <c r="Z25" s="162">
        <f t="shared" si="17"/>
        <v>1</v>
      </c>
      <c r="AA25" s="163">
        <f t="shared" si="18"/>
        <v>1</v>
      </c>
      <c r="AB25" s="163">
        <f t="shared" si="19"/>
        <v>1</v>
      </c>
      <c r="AC25" s="163">
        <f t="shared" si="20"/>
        <v>1</v>
      </c>
      <c r="AD25" s="163">
        <f t="shared" si="21"/>
        <v>1</v>
      </c>
      <c r="AE25" s="163">
        <f t="shared" si="42"/>
        <v>1</v>
      </c>
      <c r="AF25" s="164">
        <f t="shared" si="43"/>
        <v>1</v>
      </c>
      <c r="AG25" s="162">
        <f t="shared" si="22"/>
        <v>0</v>
      </c>
      <c r="AH25" s="163">
        <f t="shared" si="23"/>
        <v>0</v>
      </c>
      <c r="AI25" s="163">
        <f t="shared" si="24"/>
        <v>0</v>
      </c>
      <c r="AJ25" s="163">
        <f t="shared" si="25"/>
        <v>0</v>
      </c>
      <c r="AK25" s="163">
        <f t="shared" si="26"/>
        <v>0</v>
      </c>
      <c r="AL25" s="163">
        <f t="shared" si="44"/>
        <v>0</v>
      </c>
      <c r="AM25" s="164">
        <f t="shared" si="45"/>
        <v>0</v>
      </c>
      <c r="AN25" s="104">
        <v>388.39791937088199</v>
      </c>
      <c r="AO25" s="104">
        <v>30.6544768856003</v>
      </c>
      <c r="AP25" s="104">
        <v>261.27739505869698</v>
      </c>
      <c r="AQ25" s="104">
        <v>224.130800982072</v>
      </c>
      <c r="AR25" s="104">
        <v>73.835672318537803</v>
      </c>
      <c r="AS25" s="104">
        <v>207.62959949559601</v>
      </c>
      <c r="AT25" s="104">
        <v>180.76831987528612</v>
      </c>
      <c r="AU25" s="170">
        <f t="shared" si="27"/>
        <v>388.39791937088199</v>
      </c>
      <c r="AV25" s="115">
        <f t="shared" si="28"/>
        <v>30.6544768856003</v>
      </c>
      <c r="AW25" s="115">
        <f t="shared" si="29"/>
        <v>261.27739505869698</v>
      </c>
      <c r="AX25" s="115">
        <f t="shared" si="30"/>
        <v>224.130800982072</v>
      </c>
      <c r="AY25" s="115">
        <f t="shared" si="31"/>
        <v>73.835672318537803</v>
      </c>
      <c r="AZ25" s="115">
        <f t="shared" si="46"/>
        <v>207.62959949559601</v>
      </c>
      <c r="BA25" s="115">
        <f t="shared" si="47"/>
        <v>180.76831987528612</v>
      </c>
      <c r="BB25" s="170">
        <f t="shared" si="32"/>
        <v>0</v>
      </c>
      <c r="BC25" s="115">
        <f t="shared" si="33"/>
        <v>0</v>
      </c>
      <c r="BD25" s="115">
        <f t="shared" si="34"/>
        <v>0</v>
      </c>
      <c r="BE25" s="115">
        <f t="shared" si="35"/>
        <v>0</v>
      </c>
      <c r="BF25" s="115">
        <f t="shared" si="36"/>
        <v>0</v>
      </c>
      <c r="BG25" s="115">
        <f t="shared" si="48"/>
        <v>0</v>
      </c>
      <c r="BH25" s="171">
        <f t="shared" si="49"/>
        <v>0</v>
      </c>
    </row>
    <row r="26" spans="1:60" x14ac:dyDescent="0.25">
      <c r="A26" s="4" t="s">
        <v>15</v>
      </c>
      <c r="B26" s="1" t="s">
        <v>79</v>
      </c>
      <c r="C26" s="1">
        <v>2023</v>
      </c>
      <c r="D26" s="56">
        <v>45108</v>
      </c>
      <c r="E26" s="57">
        <v>32446299</v>
      </c>
      <c r="F26" s="57">
        <v>32735</v>
      </c>
      <c r="G26" s="57">
        <v>1460318</v>
      </c>
      <c r="H26" s="57">
        <v>148.01530524680001</v>
      </c>
      <c r="I26" s="57">
        <v>55.716711592999999</v>
      </c>
      <c r="J26" s="57">
        <v>27844032</v>
      </c>
      <c r="K26" s="57">
        <v>4602267</v>
      </c>
      <c r="L26" s="122">
        <f t="shared" si="37"/>
        <v>51179633.100000001</v>
      </c>
      <c r="M26" s="122">
        <f t="shared" si="8"/>
        <v>40905</v>
      </c>
      <c r="N26" s="122">
        <f t="shared" si="9"/>
        <v>2057772.5</v>
      </c>
      <c r="O26" s="122">
        <f t="shared" si="10"/>
        <v>338.56340269153998</v>
      </c>
      <c r="P26" s="122">
        <f t="shared" si="11"/>
        <v>91.423997738509996</v>
      </c>
      <c r="Q26" s="122">
        <f t="shared" si="38"/>
        <v>42592552.799999997</v>
      </c>
      <c r="R26" s="122">
        <f>R25*R$1+K26</f>
        <v>8587080.3000000007</v>
      </c>
      <c r="S26" s="123">
        <f>L26-E26</f>
        <v>18733334.100000001</v>
      </c>
      <c r="T26" s="123">
        <f t="shared" si="13"/>
        <v>8170</v>
      </c>
      <c r="U26" s="123">
        <f t="shared" si="14"/>
        <v>597454.5</v>
      </c>
      <c r="V26" s="123">
        <f t="shared" si="15"/>
        <v>190.54809744473997</v>
      </c>
      <c r="W26" s="123">
        <f t="shared" si="16"/>
        <v>35.707286145509997</v>
      </c>
      <c r="X26" s="123">
        <f t="shared" si="40"/>
        <v>14748520.799999997</v>
      </c>
      <c r="Y26" s="123">
        <f t="shared" si="41"/>
        <v>3984813.3000000007</v>
      </c>
      <c r="Z26" s="162">
        <f t="shared" si="17"/>
        <v>0.63396896450201401</v>
      </c>
      <c r="AA26" s="163">
        <f t="shared" si="18"/>
        <v>0.80026891578046688</v>
      </c>
      <c r="AB26" s="163">
        <f t="shared" si="19"/>
        <v>0.70965959550922175</v>
      </c>
      <c r="AC26" s="163">
        <f t="shared" si="20"/>
        <v>0.43718637061801546</v>
      </c>
      <c r="AD26" s="163">
        <f t="shared" si="21"/>
        <v>0.60943201972375327</v>
      </c>
      <c r="AE26" s="163">
        <f t="shared" si="42"/>
        <v>0.65373005771093395</v>
      </c>
      <c r="AF26" s="164">
        <f t="shared" si="43"/>
        <v>0.53595248200951373</v>
      </c>
      <c r="AG26" s="162">
        <f t="shared" si="22"/>
        <v>0.36603103549798605</v>
      </c>
      <c r="AH26" s="163">
        <f t="shared" si="23"/>
        <v>0.19973108421953306</v>
      </c>
      <c r="AI26" s="163">
        <f t="shared" si="24"/>
        <v>0.29034040449077825</v>
      </c>
      <c r="AJ26" s="163">
        <f t="shared" si="25"/>
        <v>0.56281362938198454</v>
      </c>
      <c r="AK26" s="163">
        <f t="shared" si="26"/>
        <v>0.39056798027624673</v>
      </c>
      <c r="AL26" s="163">
        <f t="shared" si="44"/>
        <v>0.34626994228906605</v>
      </c>
      <c r="AM26" s="164">
        <f t="shared" si="45"/>
        <v>0.46404751799048627</v>
      </c>
      <c r="AN26" s="104">
        <v>396.74059646403299</v>
      </c>
      <c r="AO26" s="104">
        <v>174.83294440917601</v>
      </c>
      <c r="AP26" s="104">
        <v>271.09594003145298</v>
      </c>
      <c r="AQ26" s="104">
        <v>218.48178681111901</v>
      </c>
      <c r="AR26" s="104">
        <v>74.603108228397105</v>
      </c>
      <c r="AS26" s="104">
        <v>214.18533459278373</v>
      </c>
      <c r="AT26" s="104">
        <v>182.55526187124923</v>
      </c>
      <c r="AU26" s="170">
        <f t="shared" si="27"/>
        <v>251.5212251162144</v>
      </c>
      <c r="AV26" s="115">
        <f t="shared" si="28"/>
        <v>139.91337086503793</v>
      </c>
      <c r="AW26" s="115">
        <f t="shared" si="29"/>
        <v>192.38583514691317</v>
      </c>
      <c r="AX26" s="115">
        <f t="shared" si="30"/>
        <v>95.517259422092124</v>
      </c>
      <c r="AY26" s="115">
        <f t="shared" si="31"/>
        <v>45.465522925301805</v>
      </c>
      <c r="AZ26" s="115">
        <f>AS26*AE26</f>
        <v>140.01939114417621</v>
      </c>
      <c r="BA26" s="115">
        <f t="shared" si="47"/>
        <v>97.840945703792769</v>
      </c>
      <c r="BB26" s="170">
        <f t="shared" si="32"/>
        <v>145.21937134781862</v>
      </c>
      <c r="BC26" s="115">
        <f t="shared" si="33"/>
        <v>34.919573544138075</v>
      </c>
      <c r="BD26" s="115">
        <f t="shared" si="34"/>
        <v>78.710104884539817</v>
      </c>
      <c r="BE26" s="115">
        <f t="shared" si="35"/>
        <v>122.96452738902688</v>
      </c>
      <c r="BF26" s="115">
        <f t="shared" si="36"/>
        <v>29.1375853030953</v>
      </c>
      <c r="BG26" s="115">
        <f t="shared" si="48"/>
        <v>74.165943448607521</v>
      </c>
      <c r="BH26" s="171">
        <f t="shared" si="49"/>
        <v>84.71431616745646</v>
      </c>
    </row>
    <row r="27" spans="1:60" x14ac:dyDescent="0.25">
      <c r="A27" s="4" t="s">
        <v>15</v>
      </c>
      <c r="B27" s="1" t="s">
        <v>79</v>
      </c>
      <c r="C27" s="1">
        <v>2023</v>
      </c>
      <c r="D27" s="56">
        <v>45139</v>
      </c>
      <c r="E27" s="57">
        <v>17030313</v>
      </c>
      <c r="F27" s="57">
        <v>11260</v>
      </c>
      <c r="G27" s="57">
        <v>877715</v>
      </c>
      <c r="H27" s="57">
        <v>39.888855236200001</v>
      </c>
      <c r="I27" s="57">
        <v>80.308709654599994</v>
      </c>
      <c r="J27" s="57">
        <v>13093405</v>
      </c>
      <c r="K27" s="57">
        <v>3936908</v>
      </c>
      <c r="L27" s="122">
        <f t="shared" si="37"/>
        <v>50297074.515000001</v>
      </c>
      <c r="M27" s="122">
        <f t="shared" si="8"/>
        <v>31712.5</v>
      </c>
      <c r="N27" s="122">
        <f t="shared" si="9"/>
        <v>1906601.25</v>
      </c>
      <c r="O27" s="122">
        <f t="shared" si="10"/>
        <v>276.88323712027795</v>
      </c>
      <c r="P27" s="122">
        <f t="shared" si="11"/>
        <v>144.30550807155697</v>
      </c>
      <c r="Q27" s="122">
        <f>Q26*Q$1+J27</f>
        <v>40778564.32</v>
      </c>
      <c r="R27" s="122">
        <f t="shared" si="39"/>
        <v>9518510.1950000003</v>
      </c>
      <c r="S27" s="123">
        <f t="shared" si="12"/>
        <v>33266761.515000001</v>
      </c>
      <c r="T27" s="123">
        <f t="shared" si="13"/>
        <v>20452.5</v>
      </c>
      <c r="U27" s="123">
        <f t="shared" si="14"/>
        <v>1028886.25</v>
      </c>
      <c r="V27" s="123">
        <f t="shared" si="15"/>
        <v>236.99438188407794</v>
      </c>
      <c r="W27" s="123">
        <f t="shared" si="16"/>
        <v>63.996798416956977</v>
      </c>
      <c r="X27" s="123">
        <f t="shared" si="40"/>
        <v>27685159.32</v>
      </c>
      <c r="Y27" s="123">
        <f t="shared" si="41"/>
        <v>5581602.1950000003</v>
      </c>
      <c r="Z27" s="162">
        <f t="shared" si="17"/>
        <v>0.33859450403862124</v>
      </c>
      <c r="AA27" s="163">
        <f t="shared" si="18"/>
        <v>0.35506503744580215</v>
      </c>
      <c r="AB27" s="163">
        <f t="shared" si="19"/>
        <v>0.46035582951600396</v>
      </c>
      <c r="AC27" s="163">
        <f t="shared" si="20"/>
        <v>0.14406381423109518</v>
      </c>
      <c r="AD27" s="163">
        <f t="shared" si="21"/>
        <v>0.55651867158651491</v>
      </c>
      <c r="AE27" s="163">
        <f t="shared" si="42"/>
        <v>0.32108548249155233</v>
      </c>
      <c r="AF27" s="164">
        <f t="shared" si="43"/>
        <v>0.41360548230205474</v>
      </c>
      <c r="AG27" s="162">
        <f t="shared" si="22"/>
        <v>0.66140549596137876</v>
      </c>
      <c r="AH27" s="163">
        <f t="shared" si="23"/>
        <v>0.64493496255419791</v>
      </c>
      <c r="AI27" s="163">
        <f t="shared" si="24"/>
        <v>0.53964417048399604</v>
      </c>
      <c r="AJ27" s="163">
        <f t="shared" si="25"/>
        <v>0.85593618576890473</v>
      </c>
      <c r="AK27" s="163">
        <f t="shared" si="26"/>
        <v>0.44348132841348509</v>
      </c>
      <c r="AL27" s="163">
        <f t="shared" si="44"/>
        <v>0.67891451750844767</v>
      </c>
      <c r="AM27" s="164">
        <f t="shared" si="45"/>
        <v>0.58639451769794526</v>
      </c>
      <c r="AN27" s="104">
        <v>394.76450336512403</v>
      </c>
      <c r="AO27" s="104">
        <v>152.22997286211699</v>
      </c>
      <c r="AP27" s="104">
        <v>269.101116075297</v>
      </c>
      <c r="AQ27" s="104">
        <v>215.84954306063801</v>
      </c>
      <c r="AR27" s="104">
        <v>81.693020599560001</v>
      </c>
      <c r="AS27" s="104">
        <v>214.46275588026154</v>
      </c>
      <c r="AT27" s="104">
        <v>180.30174748486249</v>
      </c>
      <c r="AU27" s="170">
        <f t="shared" si="27"/>
        <v>133.66509122896679</v>
      </c>
      <c r="AV27" s="115">
        <f t="shared" si="28"/>
        <v>54.051541014661012</v>
      </c>
      <c r="AW27" s="115">
        <f t="shared" si="29"/>
        <v>123.88226751452582</v>
      </c>
      <c r="AX27" s="115">
        <f t="shared" si="30"/>
        <v>31.096108473354533</v>
      </c>
      <c r="AY27" s="115">
        <f t="shared" si="31"/>
        <v>45.463691301956928</v>
      </c>
      <c r="AZ27" s="115">
        <f t="shared" si="46"/>
        <v>68.860877448281784</v>
      </c>
      <c r="BA27" s="115">
        <f t="shared" si="47"/>
        <v>74.573791228379832</v>
      </c>
      <c r="BB27" s="170">
        <f t="shared" si="32"/>
        <v>261.09941213615724</v>
      </c>
      <c r="BC27" s="115">
        <f t="shared" si="33"/>
        <v>98.178431847455983</v>
      </c>
      <c r="BD27" s="115">
        <f t="shared" si="34"/>
        <v>145.21884856077119</v>
      </c>
      <c r="BE27" s="115">
        <f t="shared" si="35"/>
        <v>184.75343458728346</v>
      </c>
      <c r="BF27" s="115">
        <f t="shared" si="36"/>
        <v>36.229329297603073</v>
      </c>
      <c r="BG27" s="115">
        <f t="shared" si="48"/>
        <v>145.60187843197977</v>
      </c>
      <c r="BH27" s="171">
        <f t="shared" si="49"/>
        <v>105.72795625648266</v>
      </c>
    </row>
    <row r="28" spans="1:60" x14ac:dyDescent="0.25">
      <c r="A28" s="4" t="s">
        <v>17</v>
      </c>
      <c r="B28" s="1" t="s">
        <v>79</v>
      </c>
      <c r="C28" s="1">
        <v>2023</v>
      </c>
      <c r="D28" s="56">
        <v>45170</v>
      </c>
      <c r="E28" s="57">
        <v>0</v>
      </c>
      <c r="F28" s="57">
        <v>0</v>
      </c>
      <c r="G28" s="57">
        <v>0</v>
      </c>
      <c r="H28" s="57">
        <v>0</v>
      </c>
      <c r="I28" s="57">
        <v>11.8516017001</v>
      </c>
      <c r="J28" s="57">
        <v>0</v>
      </c>
      <c r="K28" s="57">
        <v>0</v>
      </c>
      <c r="L28" s="122">
        <f t="shared" si="37"/>
        <v>32693098.434750002</v>
      </c>
      <c r="M28" s="122">
        <f t="shared" si="8"/>
        <v>15856.25</v>
      </c>
      <c r="N28" s="122">
        <f t="shared" si="9"/>
        <v>953300.625</v>
      </c>
      <c r="O28" s="122">
        <f t="shared" si="10"/>
        <v>193.81826598419457</v>
      </c>
      <c r="P28" s="122">
        <f t="shared" si="11"/>
        <v>112.86545735018989</v>
      </c>
      <c r="Q28" s="122">
        <f t="shared" si="38"/>
        <v>26506066.808000002</v>
      </c>
      <c r="R28" s="122">
        <f t="shared" si="39"/>
        <v>6187031.6267500008</v>
      </c>
      <c r="S28" s="123">
        <f t="shared" si="12"/>
        <v>32693098.434750002</v>
      </c>
      <c r="T28" s="123">
        <f t="shared" si="13"/>
        <v>15856.25</v>
      </c>
      <c r="U28" s="123">
        <f t="shared" si="14"/>
        <v>953300.625</v>
      </c>
      <c r="V28" s="123">
        <f t="shared" si="15"/>
        <v>193.81826598419457</v>
      </c>
      <c r="W28" s="123">
        <f t="shared" si="16"/>
        <v>101.01385565008988</v>
      </c>
      <c r="X28" s="123">
        <f>Q28-J28</f>
        <v>26506066.808000002</v>
      </c>
      <c r="Y28" s="123">
        <f t="shared" si="41"/>
        <v>6187031.6267500008</v>
      </c>
      <c r="Z28" s="162">
        <f t="shared" si="17"/>
        <v>0</v>
      </c>
      <c r="AA28" s="163">
        <f t="shared" si="18"/>
        <v>0</v>
      </c>
      <c r="AB28" s="163">
        <f t="shared" si="19"/>
        <v>0</v>
      </c>
      <c r="AC28" s="163">
        <f t="shared" si="20"/>
        <v>0</v>
      </c>
      <c r="AD28" s="163">
        <f t="shared" si="21"/>
        <v>0.10500645616778746</v>
      </c>
      <c r="AE28" s="163">
        <f t="shared" si="42"/>
        <v>0</v>
      </c>
      <c r="AF28" s="164">
        <f t="shared" si="43"/>
        <v>0</v>
      </c>
      <c r="AG28" s="162">
        <f t="shared" si="22"/>
        <v>1</v>
      </c>
      <c r="AH28" s="163">
        <f t="shared" si="23"/>
        <v>1</v>
      </c>
      <c r="AI28" s="163">
        <f t="shared" si="24"/>
        <v>1</v>
      </c>
      <c r="AJ28" s="163">
        <f t="shared" si="25"/>
        <v>1</v>
      </c>
      <c r="AK28" s="163">
        <f t="shared" si="26"/>
        <v>0.89499354383221252</v>
      </c>
      <c r="AL28" s="163">
        <f t="shared" si="44"/>
        <v>1</v>
      </c>
      <c r="AM28" s="164">
        <f t="shared" si="45"/>
        <v>1</v>
      </c>
      <c r="AN28" s="104">
        <v>388.26951255332</v>
      </c>
      <c r="AO28" s="104">
        <v>25.145589633063999</v>
      </c>
      <c r="AP28" s="104">
        <v>221.077224234927</v>
      </c>
      <c r="AQ28" s="104">
        <v>213.148189629218</v>
      </c>
      <c r="AR28" s="104">
        <v>93.950801717283497</v>
      </c>
      <c r="AS28" s="104">
        <v>212.68130252499242</v>
      </c>
      <c r="AT28" s="104">
        <v>175.58821002832761</v>
      </c>
      <c r="AU28" s="170">
        <f t="shared" si="27"/>
        <v>0</v>
      </c>
      <c r="AV28" s="115">
        <f t="shared" si="28"/>
        <v>0</v>
      </c>
      <c r="AW28" s="115">
        <f t="shared" si="29"/>
        <v>0</v>
      </c>
      <c r="AX28" s="115">
        <f t="shared" si="30"/>
        <v>0</v>
      </c>
      <c r="AY28" s="115">
        <f t="shared" si="31"/>
        <v>9.865440742454421</v>
      </c>
      <c r="AZ28" s="115">
        <f t="shared" si="46"/>
        <v>0</v>
      </c>
      <c r="BA28" s="115">
        <f t="shared" si="47"/>
        <v>0</v>
      </c>
      <c r="BB28" s="170">
        <f t="shared" si="32"/>
        <v>388.26951255332</v>
      </c>
      <c r="BC28" s="115">
        <f t="shared" si="33"/>
        <v>25.145589633063999</v>
      </c>
      <c r="BD28" s="115">
        <f t="shared" si="34"/>
        <v>221.077224234927</v>
      </c>
      <c r="BE28" s="115">
        <f t="shared" si="35"/>
        <v>213.148189629218</v>
      </c>
      <c r="BF28" s="115">
        <f t="shared" si="36"/>
        <v>84.085360974829072</v>
      </c>
      <c r="BG28" s="115">
        <f t="shared" si="48"/>
        <v>212.68130252499242</v>
      </c>
      <c r="BH28" s="171">
        <f t="shared" si="49"/>
        <v>175.58821002832761</v>
      </c>
    </row>
    <row r="29" spans="1:60" x14ac:dyDescent="0.25">
      <c r="A29" s="4" t="s">
        <v>17</v>
      </c>
      <c r="B29" s="1" t="s">
        <v>79</v>
      </c>
      <c r="C29" s="1">
        <v>2023</v>
      </c>
      <c r="D29" s="56">
        <v>45200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122">
        <f t="shared" si="37"/>
        <v>21250513.982587501</v>
      </c>
      <c r="M29" s="122">
        <f t="shared" si="8"/>
        <v>7928.125</v>
      </c>
      <c r="N29" s="122">
        <f t="shared" si="9"/>
        <v>476650.3125</v>
      </c>
      <c r="O29" s="122">
        <f t="shared" si="10"/>
        <v>135.67278618893619</v>
      </c>
      <c r="P29" s="122">
        <f t="shared" si="11"/>
        <v>79.005820145132915</v>
      </c>
      <c r="Q29" s="122">
        <f t="shared" si="38"/>
        <v>17228943.4252</v>
      </c>
      <c r="R29" s="122">
        <f t="shared" si="39"/>
        <v>4021570.5573875005</v>
      </c>
      <c r="S29" s="123">
        <f t="shared" si="12"/>
        <v>21250513.982587501</v>
      </c>
      <c r="T29" s="123">
        <f t="shared" si="13"/>
        <v>7928.125</v>
      </c>
      <c r="U29" s="123">
        <f t="shared" si="14"/>
        <v>476650.3125</v>
      </c>
      <c r="V29" s="123">
        <f t="shared" si="15"/>
        <v>135.67278618893619</v>
      </c>
      <c r="W29" s="123">
        <f t="shared" si="16"/>
        <v>79.005820145132915</v>
      </c>
      <c r="X29" s="123">
        <f t="shared" si="40"/>
        <v>17228943.4252</v>
      </c>
      <c r="Y29" s="123">
        <f t="shared" si="41"/>
        <v>4021570.5573875005</v>
      </c>
      <c r="Z29" s="162">
        <f t="shared" si="17"/>
        <v>0</v>
      </c>
      <c r="AA29" s="163">
        <f t="shared" si="18"/>
        <v>0</v>
      </c>
      <c r="AB29" s="163">
        <f t="shared" si="19"/>
        <v>0</v>
      </c>
      <c r="AC29" s="163">
        <f t="shared" si="20"/>
        <v>0</v>
      </c>
      <c r="AD29" s="163">
        <f t="shared" si="21"/>
        <v>0</v>
      </c>
      <c r="AE29" s="163">
        <f t="shared" si="42"/>
        <v>0</v>
      </c>
      <c r="AF29" s="164">
        <f t="shared" si="43"/>
        <v>0</v>
      </c>
      <c r="AG29" s="162">
        <f t="shared" si="22"/>
        <v>1</v>
      </c>
      <c r="AH29" s="163">
        <f t="shared" si="23"/>
        <v>1</v>
      </c>
      <c r="AI29" s="163">
        <f t="shared" si="24"/>
        <v>1</v>
      </c>
      <c r="AJ29" s="163">
        <f t="shared" si="25"/>
        <v>1</v>
      </c>
      <c r="AK29" s="163">
        <f t="shared" si="26"/>
        <v>1</v>
      </c>
      <c r="AL29" s="163">
        <f t="shared" si="44"/>
        <v>1</v>
      </c>
      <c r="AM29" s="164">
        <f t="shared" si="45"/>
        <v>1</v>
      </c>
      <c r="AN29" s="104">
        <v>348.10023965119098</v>
      </c>
      <c r="AO29" s="104">
        <v>0.21286900655129801</v>
      </c>
      <c r="AP29" s="104">
        <v>31.454487606494201</v>
      </c>
      <c r="AQ29" s="104">
        <v>191.53098148541599</v>
      </c>
      <c r="AR29" s="104">
        <v>107.096806097978</v>
      </c>
      <c r="AS29" s="104">
        <v>193.80607068420565</v>
      </c>
      <c r="AT29" s="104">
        <v>154.29416896698535</v>
      </c>
      <c r="AU29" s="170">
        <f t="shared" si="27"/>
        <v>0</v>
      </c>
      <c r="AV29" s="115">
        <f t="shared" si="28"/>
        <v>0</v>
      </c>
      <c r="AW29" s="115">
        <f t="shared" si="29"/>
        <v>0</v>
      </c>
      <c r="AX29" s="115">
        <f t="shared" si="30"/>
        <v>0</v>
      </c>
      <c r="AY29" s="115">
        <f t="shared" si="31"/>
        <v>0</v>
      </c>
      <c r="AZ29" s="115">
        <f t="shared" si="46"/>
        <v>0</v>
      </c>
      <c r="BA29" s="115">
        <f t="shared" si="47"/>
        <v>0</v>
      </c>
      <c r="BB29" s="170">
        <f t="shared" si="32"/>
        <v>348.10023965119098</v>
      </c>
      <c r="BC29" s="115">
        <f t="shared" si="33"/>
        <v>0.21286900655129801</v>
      </c>
      <c r="BD29" s="115">
        <f t="shared" si="34"/>
        <v>31.454487606494201</v>
      </c>
      <c r="BE29" s="115">
        <f t="shared" si="35"/>
        <v>191.53098148541599</v>
      </c>
      <c r="BF29" s="115">
        <f t="shared" si="36"/>
        <v>107.096806097978</v>
      </c>
      <c r="BG29" s="115">
        <f t="shared" si="48"/>
        <v>193.80607068420565</v>
      </c>
      <c r="BH29" s="171">
        <f t="shared" si="49"/>
        <v>154.29416896698535</v>
      </c>
    </row>
    <row r="30" spans="1:60" x14ac:dyDescent="0.25">
      <c r="A30" s="4" t="s">
        <v>17</v>
      </c>
      <c r="B30" s="1" t="s">
        <v>79</v>
      </c>
      <c r="C30" s="1"/>
      <c r="D30" s="56">
        <v>45231</v>
      </c>
      <c r="E30" s="57">
        <v>0</v>
      </c>
      <c r="F30" s="57">
        <v>0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  <c r="L30" s="122">
        <f t="shared" si="37"/>
        <v>13812834.088681877</v>
      </c>
      <c r="M30" s="122">
        <f t="shared" si="8"/>
        <v>3964.0625</v>
      </c>
      <c r="N30" s="122">
        <f t="shared" si="9"/>
        <v>238325.15625</v>
      </c>
      <c r="O30" s="122">
        <f t="shared" si="10"/>
        <v>94.970950332255327</v>
      </c>
      <c r="P30" s="122">
        <f t="shared" si="11"/>
        <v>55.304074101593038</v>
      </c>
      <c r="Q30" s="122">
        <f t="shared" si="38"/>
        <v>11198813.22638</v>
      </c>
      <c r="R30" s="122">
        <f t="shared" si="39"/>
        <v>2614020.8623018754</v>
      </c>
      <c r="S30" s="123">
        <f t="shared" si="12"/>
        <v>13812834.088681877</v>
      </c>
      <c r="T30" s="123">
        <f t="shared" si="13"/>
        <v>3964.0625</v>
      </c>
      <c r="U30" s="123">
        <f t="shared" si="14"/>
        <v>238325.15625</v>
      </c>
      <c r="V30" s="123">
        <f t="shared" si="15"/>
        <v>94.970950332255327</v>
      </c>
      <c r="W30" s="123">
        <f t="shared" si="16"/>
        <v>55.304074101593038</v>
      </c>
      <c r="X30" s="123">
        <f t="shared" si="40"/>
        <v>11198813.22638</v>
      </c>
      <c r="Y30" s="123">
        <f t="shared" si="41"/>
        <v>2614020.8623018754</v>
      </c>
      <c r="Z30" s="162">
        <f t="shared" si="17"/>
        <v>0</v>
      </c>
      <c r="AA30" s="163">
        <f t="shared" si="18"/>
        <v>0</v>
      </c>
      <c r="AB30" s="163">
        <f t="shared" si="19"/>
        <v>0</v>
      </c>
      <c r="AC30" s="163">
        <f t="shared" si="20"/>
        <v>0</v>
      </c>
      <c r="AD30" s="163">
        <f t="shared" si="21"/>
        <v>0</v>
      </c>
      <c r="AE30" s="163">
        <f t="shared" si="42"/>
        <v>0</v>
      </c>
      <c r="AF30" s="164">
        <f t="shared" si="43"/>
        <v>0</v>
      </c>
      <c r="AG30" s="162">
        <f t="shared" si="22"/>
        <v>1</v>
      </c>
      <c r="AH30" s="163">
        <f t="shared" si="23"/>
        <v>1</v>
      </c>
      <c r="AI30" s="163">
        <f t="shared" si="24"/>
        <v>1</v>
      </c>
      <c r="AJ30" s="163">
        <f t="shared" si="25"/>
        <v>1</v>
      </c>
      <c r="AK30" s="163">
        <f t="shared" si="26"/>
        <v>1</v>
      </c>
      <c r="AL30" s="163">
        <f t="shared" si="44"/>
        <v>1</v>
      </c>
      <c r="AM30" s="164">
        <f t="shared" si="45"/>
        <v>1</v>
      </c>
      <c r="AN30" s="104">
        <v>192.64356170201</v>
      </c>
      <c r="AO30" s="104">
        <v>6.6468973558466901E-4</v>
      </c>
      <c r="AP30" s="104">
        <v>0.23669972583827001</v>
      </c>
      <c r="AQ30" s="104">
        <v>121.229388094203</v>
      </c>
      <c r="AR30" s="104">
        <v>118.429788079072</v>
      </c>
      <c r="AS30" s="104">
        <v>111.26409967672843</v>
      </c>
      <c r="AT30" s="104">
        <v>81.379462025281541</v>
      </c>
      <c r="AU30" s="170">
        <f t="shared" si="27"/>
        <v>0</v>
      </c>
      <c r="AV30" s="115">
        <f t="shared" si="28"/>
        <v>0</v>
      </c>
      <c r="AW30" s="115">
        <f t="shared" si="29"/>
        <v>0</v>
      </c>
      <c r="AX30" s="115">
        <f t="shared" si="30"/>
        <v>0</v>
      </c>
      <c r="AY30" s="115">
        <f t="shared" si="31"/>
        <v>0</v>
      </c>
      <c r="AZ30" s="115">
        <f t="shared" si="46"/>
        <v>0</v>
      </c>
      <c r="BA30" s="115">
        <f t="shared" si="47"/>
        <v>0</v>
      </c>
      <c r="BB30" s="170">
        <f t="shared" si="32"/>
        <v>192.64356170201</v>
      </c>
      <c r="BC30" s="115">
        <f t="shared" si="33"/>
        <v>6.6468973558466901E-4</v>
      </c>
      <c r="BD30" s="115">
        <f t="shared" si="34"/>
        <v>0.23669972583827001</v>
      </c>
      <c r="BE30" s="115">
        <f t="shared" si="35"/>
        <v>121.229388094203</v>
      </c>
      <c r="BF30" s="115">
        <f t="shared" si="36"/>
        <v>118.429788079072</v>
      </c>
      <c r="BG30" s="115">
        <f t="shared" si="48"/>
        <v>111.26409967672843</v>
      </c>
      <c r="BH30" s="171">
        <f t="shared" si="49"/>
        <v>81.379462025281541</v>
      </c>
    </row>
    <row r="31" spans="1:60" x14ac:dyDescent="0.25">
      <c r="A31" s="4" t="s">
        <v>17</v>
      </c>
      <c r="B31" s="1" t="s">
        <v>79</v>
      </c>
      <c r="C31" s="1"/>
      <c r="D31" s="56">
        <v>45261</v>
      </c>
      <c r="E31" s="57">
        <v>0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122">
        <f t="shared" si="37"/>
        <v>8978342.1576432195</v>
      </c>
      <c r="M31" s="122">
        <f t="shared" si="8"/>
        <v>1982.03125</v>
      </c>
      <c r="N31" s="122">
        <f t="shared" si="9"/>
        <v>119162.578125</v>
      </c>
      <c r="O31" s="122">
        <f t="shared" si="10"/>
        <v>66.479665232578725</v>
      </c>
      <c r="P31" s="122">
        <f t="shared" si="11"/>
        <v>38.712851871115127</v>
      </c>
      <c r="Q31" s="122">
        <f t="shared" si="38"/>
        <v>7279228.597147</v>
      </c>
      <c r="R31" s="122">
        <f t="shared" si="39"/>
        <v>1699113.560496219</v>
      </c>
      <c r="S31" s="123">
        <f t="shared" si="12"/>
        <v>8978342.1576432195</v>
      </c>
      <c r="T31" s="123">
        <f t="shared" si="13"/>
        <v>1982.03125</v>
      </c>
      <c r="U31" s="123">
        <f t="shared" si="14"/>
        <v>119162.578125</v>
      </c>
      <c r="V31" s="123">
        <f t="shared" si="15"/>
        <v>66.479665232578725</v>
      </c>
      <c r="W31" s="123">
        <f t="shared" si="16"/>
        <v>38.712851871115127</v>
      </c>
      <c r="X31" s="123">
        <f t="shared" si="40"/>
        <v>7279228.597147</v>
      </c>
      <c r="Y31" s="123">
        <f t="shared" si="41"/>
        <v>1699113.560496219</v>
      </c>
      <c r="Z31" s="162">
        <f t="shared" si="17"/>
        <v>0</v>
      </c>
      <c r="AA31" s="163">
        <f t="shared" si="18"/>
        <v>0</v>
      </c>
      <c r="AB31" s="163">
        <f t="shared" si="19"/>
        <v>0</v>
      </c>
      <c r="AC31" s="163">
        <f t="shared" si="20"/>
        <v>0</v>
      </c>
      <c r="AD31" s="163">
        <f t="shared" si="21"/>
        <v>0</v>
      </c>
      <c r="AE31" s="163">
        <f t="shared" si="42"/>
        <v>0</v>
      </c>
      <c r="AF31" s="164">
        <f t="shared" si="43"/>
        <v>0</v>
      </c>
      <c r="AG31" s="162">
        <f t="shared" si="22"/>
        <v>1</v>
      </c>
      <c r="AH31" s="163">
        <f t="shared" si="23"/>
        <v>1</v>
      </c>
      <c r="AI31" s="163">
        <f t="shared" si="24"/>
        <v>1</v>
      </c>
      <c r="AJ31" s="163">
        <f t="shared" si="25"/>
        <v>1</v>
      </c>
      <c r="AK31" s="163">
        <f t="shared" si="26"/>
        <v>1</v>
      </c>
      <c r="AL31" s="163">
        <f t="shared" si="44"/>
        <v>1</v>
      </c>
      <c r="AM31" s="164">
        <f t="shared" si="45"/>
        <v>1</v>
      </c>
      <c r="AN31" s="104">
        <v>36.542491429094603</v>
      </c>
      <c r="AO31" s="104">
        <v>7.0487086294815101E-6</v>
      </c>
      <c r="AP31" s="104">
        <v>8.0167268586186797E-4</v>
      </c>
      <c r="AQ31" s="104">
        <v>37.819119666646102</v>
      </c>
      <c r="AR31" s="104">
        <v>111.21873632912001</v>
      </c>
      <c r="AS31" s="104">
        <v>22.191278501143707</v>
      </c>
      <c r="AT31" s="104">
        <v>14.351212927950895</v>
      </c>
      <c r="AU31" s="170">
        <f t="shared" si="27"/>
        <v>0</v>
      </c>
      <c r="AV31" s="115">
        <f t="shared" si="28"/>
        <v>0</v>
      </c>
      <c r="AW31" s="115">
        <f t="shared" si="29"/>
        <v>0</v>
      </c>
      <c r="AX31" s="115">
        <f t="shared" si="30"/>
        <v>0</v>
      </c>
      <c r="AY31" s="115">
        <f t="shared" si="31"/>
        <v>0</v>
      </c>
      <c r="AZ31" s="115">
        <f t="shared" si="46"/>
        <v>0</v>
      </c>
      <c r="BA31" s="115">
        <f t="shared" si="47"/>
        <v>0</v>
      </c>
      <c r="BB31" s="170">
        <f t="shared" si="32"/>
        <v>36.542491429094603</v>
      </c>
      <c r="BC31" s="115">
        <f t="shared" si="33"/>
        <v>7.0487086294815101E-6</v>
      </c>
      <c r="BD31" s="115">
        <f t="shared" si="34"/>
        <v>8.0167268586186797E-4</v>
      </c>
      <c r="BE31" s="115">
        <f t="shared" si="35"/>
        <v>37.819119666646102</v>
      </c>
      <c r="BF31" s="115">
        <f t="shared" si="36"/>
        <v>111.21873632912001</v>
      </c>
      <c r="BG31" s="115">
        <f t="shared" si="48"/>
        <v>22.191278501143707</v>
      </c>
      <c r="BH31" s="171">
        <f t="shared" si="49"/>
        <v>14.351212927950895</v>
      </c>
    </row>
    <row r="32" spans="1:60" x14ac:dyDescent="0.25">
      <c r="A32" s="4" t="s">
        <v>17</v>
      </c>
      <c r="B32" s="1" t="s">
        <v>79</v>
      </c>
      <c r="C32" s="1"/>
      <c r="D32" s="56">
        <v>45292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122">
        <f t="shared" si="37"/>
        <v>5835922.4024680927</v>
      </c>
      <c r="M32" s="122">
        <f t="shared" si="8"/>
        <v>991.015625</v>
      </c>
      <c r="N32" s="122">
        <f t="shared" si="9"/>
        <v>59581.2890625</v>
      </c>
      <c r="O32" s="122">
        <f t="shared" si="10"/>
        <v>46.535765662805105</v>
      </c>
      <c r="P32" s="122">
        <f t="shared" si="11"/>
        <v>27.098996309780588</v>
      </c>
      <c r="Q32" s="122">
        <f t="shared" si="38"/>
        <v>4731498.5881455503</v>
      </c>
      <c r="R32" s="122">
        <f t="shared" si="39"/>
        <v>1104423.8143225424</v>
      </c>
      <c r="S32" s="123">
        <f t="shared" si="12"/>
        <v>5835922.4024680927</v>
      </c>
      <c r="T32" s="123">
        <f t="shared" si="13"/>
        <v>991.015625</v>
      </c>
      <c r="U32" s="123">
        <f t="shared" si="14"/>
        <v>59581.2890625</v>
      </c>
      <c r="V32" s="123">
        <f t="shared" si="15"/>
        <v>46.535765662805105</v>
      </c>
      <c r="W32" s="123">
        <f t="shared" si="16"/>
        <v>27.098996309780588</v>
      </c>
      <c r="X32" s="123">
        <f t="shared" si="40"/>
        <v>4731498.5881455503</v>
      </c>
      <c r="Y32" s="123">
        <f t="shared" si="41"/>
        <v>1104423.8143225424</v>
      </c>
      <c r="Z32" s="162">
        <f t="shared" si="17"/>
        <v>0</v>
      </c>
      <c r="AA32" s="163">
        <f t="shared" si="18"/>
        <v>0</v>
      </c>
      <c r="AB32" s="163">
        <f t="shared" si="19"/>
        <v>0</v>
      </c>
      <c r="AC32" s="163">
        <f t="shared" si="20"/>
        <v>0</v>
      </c>
      <c r="AD32" s="163">
        <f t="shared" si="21"/>
        <v>0</v>
      </c>
      <c r="AE32" s="163">
        <f t="shared" si="42"/>
        <v>0</v>
      </c>
      <c r="AF32" s="164">
        <f t="shared" si="43"/>
        <v>0</v>
      </c>
      <c r="AG32" s="162">
        <f t="shared" si="22"/>
        <v>1</v>
      </c>
      <c r="AH32" s="163">
        <f t="shared" si="23"/>
        <v>1</v>
      </c>
      <c r="AI32" s="163">
        <f t="shared" si="24"/>
        <v>1</v>
      </c>
      <c r="AJ32" s="163">
        <f t="shared" si="25"/>
        <v>1</v>
      </c>
      <c r="AK32" s="163">
        <f t="shared" si="26"/>
        <v>1</v>
      </c>
      <c r="AL32" s="163">
        <f t="shared" si="44"/>
        <v>1</v>
      </c>
      <c r="AM32" s="164">
        <f t="shared" si="45"/>
        <v>1</v>
      </c>
      <c r="AN32" s="104">
        <v>2.0851824161127199</v>
      </c>
      <c r="AO32" s="104">
        <v>4.2544307313385302E-7</v>
      </c>
      <c r="AP32" s="104">
        <v>9.8430010823080904E-6</v>
      </c>
      <c r="AQ32" s="104">
        <v>4.8345856668257099</v>
      </c>
      <c r="AR32" s="104">
        <v>64.572100665719901</v>
      </c>
      <c r="AS32" s="104">
        <v>1.3175102601482864</v>
      </c>
      <c r="AT32" s="104">
        <v>0.76767215596443372</v>
      </c>
      <c r="AU32" s="170">
        <f t="shared" si="27"/>
        <v>0</v>
      </c>
      <c r="AV32" s="115">
        <f t="shared" si="28"/>
        <v>0</v>
      </c>
      <c r="AW32" s="115">
        <f t="shared" si="29"/>
        <v>0</v>
      </c>
      <c r="AX32" s="115">
        <f t="shared" si="30"/>
        <v>0</v>
      </c>
      <c r="AY32" s="115">
        <f t="shared" si="31"/>
        <v>0</v>
      </c>
      <c r="AZ32" s="115">
        <f t="shared" si="46"/>
        <v>0</v>
      </c>
      <c r="BA32" s="115">
        <f t="shared" si="47"/>
        <v>0</v>
      </c>
      <c r="BB32" s="170">
        <f t="shared" si="32"/>
        <v>2.0851824161127199</v>
      </c>
      <c r="BC32" s="115">
        <f t="shared" si="33"/>
        <v>4.2544307313385302E-7</v>
      </c>
      <c r="BD32" s="115">
        <f t="shared" si="34"/>
        <v>9.8430010823080904E-6</v>
      </c>
      <c r="BE32" s="115">
        <f t="shared" si="35"/>
        <v>4.8345856668257099</v>
      </c>
      <c r="BF32" s="115">
        <f t="shared" si="36"/>
        <v>64.572100665719901</v>
      </c>
      <c r="BG32" s="115">
        <f t="shared" si="48"/>
        <v>1.3175102601482864</v>
      </c>
      <c r="BH32" s="171">
        <f t="shared" si="49"/>
        <v>0.76767215596443372</v>
      </c>
    </row>
    <row r="33" spans="1:60" x14ac:dyDescent="0.25">
      <c r="A33" s="4" t="s">
        <v>17</v>
      </c>
      <c r="B33" s="1" t="s">
        <v>79</v>
      </c>
      <c r="C33" s="1"/>
      <c r="D33" s="56">
        <v>45323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122">
        <f t="shared" si="37"/>
        <v>3793349.5616042605</v>
      </c>
      <c r="M33" s="122">
        <f t="shared" si="8"/>
        <v>495.5078125</v>
      </c>
      <c r="N33" s="122">
        <f t="shared" si="9"/>
        <v>29790.64453125</v>
      </c>
      <c r="O33" s="122">
        <f t="shared" si="10"/>
        <v>32.575035963963572</v>
      </c>
      <c r="P33" s="122">
        <f t="shared" si="11"/>
        <v>18.969297416846409</v>
      </c>
      <c r="Q33" s="122">
        <f t="shared" si="38"/>
        <v>3075474.082294608</v>
      </c>
      <c r="R33" s="122">
        <f t="shared" si="39"/>
        <v>717875.47930965258</v>
      </c>
      <c r="S33" s="123">
        <f t="shared" si="12"/>
        <v>3793349.5616042605</v>
      </c>
      <c r="T33" s="123">
        <f t="shared" si="13"/>
        <v>495.5078125</v>
      </c>
      <c r="U33" s="123">
        <f t="shared" si="14"/>
        <v>29790.64453125</v>
      </c>
      <c r="V33" s="123">
        <f t="shared" si="15"/>
        <v>32.575035963963572</v>
      </c>
      <c r="W33" s="123">
        <f t="shared" si="16"/>
        <v>18.969297416846409</v>
      </c>
      <c r="X33" s="123">
        <f t="shared" si="40"/>
        <v>3075474.082294608</v>
      </c>
      <c r="Y33" s="123">
        <f t="shared" si="41"/>
        <v>717875.47930965258</v>
      </c>
      <c r="Z33" s="162">
        <f t="shared" si="17"/>
        <v>0</v>
      </c>
      <c r="AA33" s="163">
        <f t="shared" si="18"/>
        <v>0</v>
      </c>
      <c r="AB33" s="163">
        <f t="shared" si="19"/>
        <v>0</v>
      </c>
      <c r="AC33" s="163">
        <f t="shared" si="20"/>
        <v>0</v>
      </c>
      <c r="AD33" s="163">
        <f t="shared" si="21"/>
        <v>0</v>
      </c>
      <c r="AE33" s="163">
        <f t="shared" si="42"/>
        <v>0</v>
      </c>
      <c r="AF33" s="164">
        <f t="shared" si="43"/>
        <v>0</v>
      </c>
      <c r="AG33" s="162">
        <f t="shared" si="22"/>
        <v>1</v>
      </c>
      <c r="AH33" s="163">
        <f t="shared" si="23"/>
        <v>1</v>
      </c>
      <c r="AI33" s="163">
        <f t="shared" si="24"/>
        <v>1</v>
      </c>
      <c r="AJ33" s="163">
        <f t="shared" si="25"/>
        <v>1</v>
      </c>
      <c r="AK33" s="163">
        <f t="shared" si="26"/>
        <v>1</v>
      </c>
      <c r="AL33" s="163">
        <f t="shared" si="44"/>
        <v>1</v>
      </c>
      <c r="AM33" s="164">
        <f t="shared" si="45"/>
        <v>1</v>
      </c>
      <c r="AN33" s="104">
        <v>5.9535282174131697E-2</v>
      </c>
      <c r="AO33" s="104">
        <v>8.6703063046607296E-8</v>
      </c>
      <c r="AP33" s="104">
        <v>6.38990609819129E-7</v>
      </c>
      <c r="AQ33" s="104">
        <v>0.31827314896863601</v>
      </c>
      <c r="AR33" s="104">
        <v>18.434886275297899</v>
      </c>
      <c r="AS33" s="104">
        <v>3.8310656174327558E-2</v>
      </c>
      <c r="AT33" s="104">
        <v>2.1224625999804136E-2</v>
      </c>
      <c r="AU33" s="170">
        <f t="shared" si="27"/>
        <v>0</v>
      </c>
      <c r="AV33" s="115">
        <f t="shared" si="28"/>
        <v>0</v>
      </c>
      <c r="AW33" s="115">
        <f t="shared" si="29"/>
        <v>0</v>
      </c>
      <c r="AX33" s="115">
        <f t="shared" si="30"/>
        <v>0</v>
      </c>
      <c r="AY33" s="115">
        <f t="shared" si="31"/>
        <v>0</v>
      </c>
      <c r="AZ33" s="115">
        <f t="shared" si="46"/>
        <v>0</v>
      </c>
      <c r="BA33" s="115">
        <f t="shared" si="47"/>
        <v>0</v>
      </c>
      <c r="BB33" s="170">
        <f t="shared" si="32"/>
        <v>5.9535282174131697E-2</v>
      </c>
      <c r="BC33" s="115">
        <f t="shared" si="33"/>
        <v>8.6703063046607296E-8</v>
      </c>
      <c r="BD33" s="115">
        <f t="shared" si="34"/>
        <v>6.38990609819129E-7</v>
      </c>
      <c r="BE33" s="115">
        <f t="shared" si="35"/>
        <v>0.31827314896863601</v>
      </c>
      <c r="BF33" s="115">
        <f t="shared" si="36"/>
        <v>18.434886275297899</v>
      </c>
      <c r="BG33" s="115">
        <f t="shared" si="48"/>
        <v>3.8310656174327558E-2</v>
      </c>
      <c r="BH33" s="171">
        <f t="shared" si="49"/>
        <v>2.1224625999804136E-2</v>
      </c>
    </row>
    <row r="34" spans="1:60" x14ac:dyDescent="0.25">
      <c r="A34" s="4" t="s">
        <v>17</v>
      </c>
      <c r="B34" s="1" t="s">
        <v>79</v>
      </c>
      <c r="C34" s="1"/>
      <c r="D34" s="56">
        <v>45352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122">
        <f t="shared" si="37"/>
        <v>2465677.2150427694</v>
      </c>
      <c r="M34" s="122">
        <f t="shared" si="8"/>
        <v>247.75390625</v>
      </c>
      <c r="N34" s="122">
        <f t="shared" si="9"/>
        <v>14895.322265625</v>
      </c>
      <c r="O34" s="122">
        <f t="shared" si="10"/>
        <v>22.802525174774498</v>
      </c>
      <c r="P34" s="122">
        <f t="shared" si="11"/>
        <v>13.278508191792486</v>
      </c>
      <c r="Q34" s="122">
        <f>Q33*Q$1+J34</f>
        <v>1999058.1534914952</v>
      </c>
      <c r="R34" s="122">
        <f t="shared" si="39"/>
        <v>466619.06155127421</v>
      </c>
      <c r="S34" s="123">
        <f t="shared" si="12"/>
        <v>2465677.2150427694</v>
      </c>
      <c r="T34" s="123">
        <f t="shared" si="13"/>
        <v>247.75390625</v>
      </c>
      <c r="U34" s="123">
        <f t="shared" si="14"/>
        <v>14895.322265625</v>
      </c>
      <c r="V34" s="123">
        <f t="shared" si="15"/>
        <v>22.802525174774498</v>
      </c>
      <c r="W34" s="123">
        <f t="shared" si="16"/>
        <v>13.278508191792486</v>
      </c>
      <c r="X34" s="123">
        <f t="shared" si="40"/>
        <v>1999058.1534914952</v>
      </c>
      <c r="Y34" s="123">
        <f t="shared" si="41"/>
        <v>466619.06155127421</v>
      </c>
      <c r="Z34" s="162">
        <f t="shared" si="17"/>
        <v>0</v>
      </c>
      <c r="AA34" s="163">
        <f t="shared" si="18"/>
        <v>0</v>
      </c>
      <c r="AB34" s="163">
        <f t="shared" si="19"/>
        <v>0</v>
      </c>
      <c r="AC34" s="163">
        <f t="shared" si="20"/>
        <v>0</v>
      </c>
      <c r="AD34" s="163">
        <f t="shared" si="21"/>
        <v>0</v>
      </c>
      <c r="AE34" s="163">
        <f t="shared" si="42"/>
        <v>0</v>
      </c>
      <c r="AF34" s="164">
        <f t="shared" si="43"/>
        <v>0</v>
      </c>
      <c r="AG34" s="162">
        <f t="shared" si="22"/>
        <v>1</v>
      </c>
      <c r="AH34" s="163">
        <f t="shared" si="23"/>
        <v>1</v>
      </c>
      <c r="AI34" s="163">
        <f t="shared" si="24"/>
        <v>1</v>
      </c>
      <c r="AJ34" s="163">
        <f t="shared" si="25"/>
        <v>1</v>
      </c>
      <c r="AK34" s="163">
        <f t="shared" si="26"/>
        <v>1</v>
      </c>
      <c r="AL34" s="163">
        <f t="shared" si="44"/>
        <v>1</v>
      </c>
      <c r="AM34" s="164">
        <f t="shared" si="45"/>
        <v>1</v>
      </c>
      <c r="AN34" s="104">
        <v>1.7366023251907301E-3</v>
      </c>
      <c r="AO34" s="104">
        <v>3.6148983428288498E-8</v>
      </c>
      <c r="AP34" s="104">
        <v>1.3983778089518E-7</v>
      </c>
      <c r="AQ34" s="104">
        <v>1.6276671463457699E-2</v>
      </c>
      <c r="AR34" s="104">
        <v>2.2716044445947601</v>
      </c>
      <c r="AS34" s="104">
        <v>1.1189458058019619E-3</v>
      </c>
      <c r="AT34" s="104">
        <v>6.1765651938876828E-4</v>
      </c>
      <c r="AU34" s="170">
        <f t="shared" si="27"/>
        <v>0</v>
      </c>
      <c r="AV34" s="115">
        <f t="shared" si="28"/>
        <v>0</v>
      </c>
      <c r="AW34" s="115">
        <f t="shared" si="29"/>
        <v>0</v>
      </c>
      <c r="AX34" s="115">
        <f t="shared" si="30"/>
        <v>0</v>
      </c>
      <c r="AY34" s="115">
        <f t="shared" si="31"/>
        <v>0</v>
      </c>
      <c r="AZ34" s="115">
        <f t="shared" si="46"/>
        <v>0</v>
      </c>
      <c r="BA34" s="115">
        <f t="shared" si="47"/>
        <v>0</v>
      </c>
      <c r="BB34" s="170">
        <f t="shared" si="32"/>
        <v>1.7366023251907301E-3</v>
      </c>
      <c r="BC34" s="115">
        <f t="shared" si="33"/>
        <v>3.6148983428288498E-8</v>
      </c>
      <c r="BD34" s="115">
        <f t="shared" si="34"/>
        <v>1.3983778089518E-7</v>
      </c>
      <c r="BE34" s="115">
        <f t="shared" si="35"/>
        <v>1.6276671463457699E-2</v>
      </c>
      <c r="BF34" s="115">
        <f t="shared" si="36"/>
        <v>2.2716044445947601</v>
      </c>
      <c r="BG34" s="115">
        <f t="shared" si="48"/>
        <v>1.1189458058019619E-3</v>
      </c>
      <c r="BH34" s="171">
        <f t="shared" si="49"/>
        <v>6.1765651938876828E-4</v>
      </c>
    </row>
    <row r="35" spans="1:60" x14ac:dyDescent="0.25">
      <c r="A35" s="4" t="s">
        <v>17</v>
      </c>
      <c r="B35" s="1" t="s">
        <v>80</v>
      </c>
      <c r="C35" s="1">
        <v>2024</v>
      </c>
      <c r="D35" s="56">
        <v>45383</v>
      </c>
      <c r="E35" s="57">
        <v>12929947.2857143</v>
      </c>
      <c r="F35" s="57">
        <v>0</v>
      </c>
      <c r="G35" s="57">
        <v>0</v>
      </c>
      <c r="H35" s="57">
        <v>0</v>
      </c>
      <c r="I35" s="57">
        <v>0</v>
      </c>
      <c r="J35" s="57">
        <v>9853942.2857142892</v>
      </c>
      <c r="K35" s="57">
        <v>3076005</v>
      </c>
      <c r="L35" s="122">
        <f t="shared" si="37"/>
        <v>14532637.475492101</v>
      </c>
      <c r="M35" s="122">
        <f t="shared" si="8"/>
        <v>123.876953125</v>
      </c>
      <c r="N35" s="122">
        <f t="shared" si="9"/>
        <v>7447.6611328125</v>
      </c>
      <c r="O35" s="122">
        <f t="shared" si="10"/>
        <v>15.961767622342148</v>
      </c>
      <c r="P35" s="122">
        <f t="shared" si="11"/>
        <v>9.2949557342547404</v>
      </c>
      <c r="Q35" s="122">
        <f t="shared" si="38"/>
        <v>11153330.085483762</v>
      </c>
      <c r="R35" s="122">
        <f t="shared" si="39"/>
        <v>3379307.3900083285</v>
      </c>
      <c r="S35" s="123">
        <f t="shared" si="12"/>
        <v>1602690.1897778008</v>
      </c>
      <c r="T35" s="123">
        <f t="shared" si="13"/>
        <v>123.876953125</v>
      </c>
      <c r="U35" s="123">
        <f t="shared" si="14"/>
        <v>7447.6611328125</v>
      </c>
      <c r="V35" s="123">
        <f t="shared" si="15"/>
        <v>15.961767622342148</v>
      </c>
      <c r="W35" s="123">
        <f t="shared" si="16"/>
        <v>9.2949557342547404</v>
      </c>
      <c r="X35" s="123">
        <f t="shared" si="40"/>
        <v>1299387.7997694723</v>
      </c>
      <c r="Y35" s="123">
        <f t="shared" si="41"/>
        <v>303302.39000832848</v>
      </c>
      <c r="Z35" s="162">
        <f t="shared" si="17"/>
        <v>0.88971787175723716</v>
      </c>
      <c r="AA35" s="163">
        <f t="shared" si="18"/>
        <v>0</v>
      </c>
      <c r="AB35" s="163">
        <f t="shared" si="19"/>
        <v>0</v>
      </c>
      <c r="AC35" s="163">
        <f t="shared" si="20"/>
        <v>0</v>
      </c>
      <c r="AD35" s="163">
        <f t="shared" si="21"/>
        <v>0</v>
      </c>
      <c r="AE35" s="163">
        <f t="shared" si="42"/>
        <v>0.88349777243115524</v>
      </c>
      <c r="AF35" s="164">
        <f t="shared" si="43"/>
        <v>0.91024717345775963</v>
      </c>
      <c r="AG35" s="162">
        <f t="shared" si="22"/>
        <v>0.11028212824276282</v>
      </c>
      <c r="AH35" s="163">
        <f t="shared" si="23"/>
        <v>1</v>
      </c>
      <c r="AI35" s="163">
        <f t="shared" si="24"/>
        <v>1</v>
      </c>
      <c r="AJ35" s="163">
        <f t="shared" si="25"/>
        <v>1</v>
      </c>
      <c r="AK35" s="163">
        <f t="shared" si="26"/>
        <v>1</v>
      </c>
      <c r="AL35" s="163">
        <f t="shared" si="44"/>
        <v>0.11650222756884479</v>
      </c>
      <c r="AM35" s="164">
        <f t="shared" si="45"/>
        <v>8.9752826542240358E-2</v>
      </c>
      <c r="AN35" s="104">
        <v>212.74300391450899</v>
      </c>
      <c r="AO35" s="104">
        <v>2.38804353829178E-8</v>
      </c>
      <c r="AP35" s="104">
        <v>6.2159987236946404E-8</v>
      </c>
      <c r="AQ35" s="104">
        <v>9.01187994543759E-4</v>
      </c>
      <c r="AR35" s="104">
        <v>0.141573700723961</v>
      </c>
      <c r="AS35" s="104">
        <v>104.84362528796142</v>
      </c>
      <c r="AT35" s="104">
        <v>107.89937862654759</v>
      </c>
      <c r="AU35" s="134">
        <f t="shared" si="27"/>
        <v>189.28125267405852</v>
      </c>
      <c r="AV35" s="113">
        <f t="shared" si="28"/>
        <v>0</v>
      </c>
      <c r="AW35" s="113">
        <f t="shared" si="29"/>
        <v>0</v>
      </c>
      <c r="AX35" s="113">
        <f t="shared" si="30"/>
        <v>0</v>
      </c>
      <c r="AY35" s="113">
        <f t="shared" si="31"/>
        <v>0</v>
      </c>
      <c r="AZ35" s="113">
        <f t="shared" si="46"/>
        <v>92.629109395520643</v>
      </c>
      <c r="BA35" s="113">
        <f t="shared" si="47"/>
        <v>98.21510441266355</v>
      </c>
      <c r="BB35" s="134">
        <f t="shared" si="32"/>
        <v>23.461751240450472</v>
      </c>
      <c r="BC35" s="113">
        <f t="shared" si="33"/>
        <v>2.38804353829178E-8</v>
      </c>
      <c r="BD35" s="113">
        <f t="shared" si="34"/>
        <v>6.2159987236946404E-8</v>
      </c>
      <c r="BE35" s="113">
        <f t="shared" si="35"/>
        <v>9.01187994543759E-4</v>
      </c>
      <c r="BF35" s="113">
        <f t="shared" si="36"/>
        <v>0.141573700723961</v>
      </c>
      <c r="BG35" s="113">
        <f t="shared" si="48"/>
        <v>12.214515892440771</v>
      </c>
      <c r="BH35" s="135">
        <f t="shared" si="49"/>
        <v>9.6842742138840414</v>
      </c>
    </row>
    <row r="36" spans="1:60" x14ac:dyDescent="0.25">
      <c r="A36" s="4" t="s">
        <v>17</v>
      </c>
      <c r="B36" s="1" t="s">
        <v>80</v>
      </c>
      <c r="C36" s="1">
        <v>2024</v>
      </c>
      <c r="D36" s="56">
        <v>45413</v>
      </c>
      <c r="E36" s="57">
        <v>63784715.428571403</v>
      </c>
      <c r="F36" s="57">
        <v>21903</v>
      </c>
      <c r="G36" s="57">
        <v>0</v>
      </c>
      <c r="H36" s="57">
        <v>0</v>
      </c>
      <c r="I36" s="57">
        <v>22.686274509803901</v>
      </c>
      <c r="J36" s="57">
        <v>51393559</v>
      </c>
      <c r="K36" s="57">
        <v>12391156.428571399</v>
      </c>
      <c r="L36" s="122">
        <f t="shared" si="37"/>
        <v>73230929.787641272</v>
      </c>
      <c r="M36" s="122">
        <f t="shared" si="8"/>
        <v>21964.9384765625</v>
      </c>
      <c r="N36" s="122">
        <f t="shared" si="9"/>
        <v>3723.83056640625</v>
      </c>
      <c r="O36" s="122">
        <f t="shared" si="10"/>
        <v>11.173237335639502</v>
      </c>
      <c r="P36" s="122">
        <f t="shared" si="11"/>
        <v>29.192743523782219</v>
      </c>
      <c r="Q36" s="122">
        <f t="shared" si="38"/>
        <v>58643223.555564448</v>
      </c>
      <c r="R36" s="122">
        <f t="shared" si="39"/>
        <v>14587706.232076813</v>
      </c>
      <c r="S36" s="123">
        <f t="shared" si="12"/>
        <v>9446214.3590698689</v>
      </c>
      <c r="T36" s="123">
        <f t="shared" si="13"/>
        <v>61.9384765625</v>
      </c>
      <c r="U36" s="123">
        <f t="shared" si="14"/>
        <v>3723.83056640625</v>
      </c>
      <c r="V36" s="123">
        <f t="shared" si="15"/>
        <v>11.173237335639502</v>
      </c>
      <c r="W36" s="123">
        <f t="shared" si="16"/>
        <v>6.5064690139783181</v>
      </c>
      <c r="X36" s="123">
        <f t="shared" si="40"/>
        <v>7249664.5555644482</v>
      </c>
      <c r="Y36" s="123">
        <f t="shared" si="41"/>
        <v>2196549.8035054132</v>
      </c>
      <c r="Z36" s="162">
        <f t="shared" si="17"/>
        <v>0.8710078598419756</v>
      </c>
      <c r="AA36" s="163">
        <f t="shared" si="18"/>
        <v>0.9971801206441534</v>
      </c>
      <c r="AB36" s="163">
        <f t="shared" si="19"/>
        <v>0</v>
      </c>
      <c r="AC36" s="163">
        <f t="shared" si="20"/>
        <v>0</v>
      </c>
      <c r="AD36" s="163">
        <f t="shared" si="21"/>
        <v>0.77712033099329136</v>
      </c>
      <c r="AE36" s="163">
        <f t="shared" si="42"/>
        <v>0.87637677269402847</v>
      </c>
      <c r="AF36" s="164">
        <f t="shared" si="43"/>
        <v>0.84942459297161921</v>
      </c>
      <c r="AG36" s="162">
        <f t="shared" si="22"/>
        <v>0.12899214015802443</v>
      </c>
      <c r="AH36" s="163">
        <f t="shared" si="23"/>
        <v>2.8198793558466338E-3</v>
      </c>
      <c r="AI36" s="163">
        <f t="shared" si="24"/>
        <v>1</v>
      </c>
      <c r="AJ36" s="163">
        <f t="shared" si="25"/>
        <v>1</v>
      </c>
      <c r="AK36" s="163">
        <f t="shared" si="26"/>
        <v>0.22287966900670864</v>
      </c>
      <c r="AL36" s="163">
        <f t="shared" si="44"/>
        <v>0.12362322730597154</v>
      </c>
      <c r="AM36" s="164">
        <f t="shared" si="45"/>
        <v>0.15057540702838079</v>
      </c>
      <c r="AN36" s="104">
        <v>375.13119066206002</v>
      </c>
      <c r="AO36" s="104">
        <v>73.117875237566594</v>
      </c>
      <c r="AP36" s="104">
        <v>4.1061125009236202E-8</v>
      </c>
      <c r="AQ36" s="104">
        <v>7.2052681274695397E-5</v>
      </c>
      <c r="AR36" s="104">
        <v>77.838028976607603</v>
      </c>
      <c r="AS36" s="104">
        <v>221.74281274899246</v>
      </c>
      <c r="AT36" s="104">
        <v>153.38837791306759</v>
      </c>
      <c r="AU36" s="170">
        <f t="shared" si="27"/>
        <v>326.742215538533</v>
      </c>
      <c r="AV36" s="115">
        <f t="shared" si="28"/>
        <v>72.911691650640819</v>
      </c>
      <c r="AW36" s="115">
        <f t="shared" si="29"/>
        <v>0</v>
      </c>
      <c r="AX36" s="115">
        <f t="shared" si="30"/>
        <v>0</v>
      </c>
      <c r="AY36" s="115">
        <f t="shared" si="31"/>
        <v>60.489514842166706</v>
      </c>
      <c r="AZ36" s="115">
        <f t="shared" si="46"/>
        <v>194.3302506050583</v>
      </c>
      <c r="BA36" s="115">
        <f t="shared" si="47"/>
        <v>130.29186047538434</v>
      </c>
      <c r="BB36" s="170">
        <f t="shared" si="32"/>
        <v>48.388975123527032</v>
      </c>
      <c r="BC36" s="115">
        <f t="shared" si="33"/>
        <v>0.20618358692578381</v>
      </c>
      <c r="BD36" s="115">
        <f t="shared" si="34"/>
        <v>4.1061125009236202E-8</v>
      </c>
      <c r="BE36" s="115">
        <f t="shared" si="35"/>
        <v>7.2052681274695397E-5</v>
      </c>
      <c r="BF36" s="115">
        <f t="shared" si="36"/>
        <v>17.348514134440897</v>
      </c>
      <c r="BG36" s="115">
        <f t="shared" si="48"/>
        <v>27.412562143934181</v>
      </c>
      <c r="BH36" s="171">
        <f t="shared" si="49"/>
        <v>23.096517437683246</v>
      </c>
    </row>
    <row r="37" spans="1:60" x14ac:dyDescent="0.25">
      <c r="A37" s="4" t="s">
        <v>17</v>
      </c>
      <c r="B37" s="1" t="s">
        <v>80</v>
      </c>
      <c r="C37" s="1">
        <v>2024</v>
      </c>
      <c r="D37" s="56">
        <v>45444</v>
      </c>
      <c r="E37" s="57">
        <v>57380577.285714298</v>
      </c>
      <c r="F37" s="57">
        <v>11517</v>
      </c>
      <c r="G37" s="57">
        <v>0</v>
      </c>
      <c r="H37" s="57">
        <v>0</v>
      </c>
      <c r="I37" s="57">
        <v>26.176470588235301</v>
      </c>
      <c r="J37" s="57">
        <v>47341556.714285702</v>
      </c>
      <c r="K37" s="57">
        <v>10039020.571428601</v>
      </c>
      <c r="L37" s="122">
        <f t="shared" si="37"/>
        <v>104980681.64768112</v>
      </c>
      <c r="M37" s="122">
        <f t="shared" si="8"/>
        <v>22499.46923828125</v>
      </c>
      <c r="N37" s="122">
        <f t="shared" si="9"/>
        <v>1861.915283203125</v>
      </c>
      <c r="O37" s="122">
        <f t="shared" si="10"/>
        <v>7.8212661349476509</v>
      </c>
      <c r="P37" s="122">
        <f t="shared" si="11"/>
        <v>46.611391054882851</v>
      </c>
      <c r="Q37" s="122">
        <f t="shared" si="38"/>
        <v>85459652.025402591</v>
      </c>
      <c r="R37" s="122">
        <f t="shared" si="39"/>
        <v>19521029.622278526</v>
      </c>
      <c r="S37" s="123">
        <f t="shared" si="12"/>
        <v>47600104.361966819</v>
      </c>
      <c r="T37" s="123">
        <f t="shared" si="13"/>
        <v>10982.46923828125</v>
      </c>
      <c r="U37" s="123">
        <f t="shared" si="14"/>
        <v>1861.915283203125</v>
      </c>
      <c r="V37" s="123">
        <f t="shared" si="15"/>
        <v>7.8212661349476509</v>
      </c>
      <c r="W37" s="123">
        <f t="shared" si="16"/>
        <v>20.434920466647551</v>
      </c>
      <c r="X37" s="123">
        <f t="shared" si="40"/>
        <v>38118095.311116889</v>
      </c>
      <c r="Y37" s="123">
        <f t="shared" si="41"/>
        <v>9482009.0508499257</v>
      </c>
      <c r="Z37" s="162">
        <f t="shared" si="17"/>
        <v>0.54658225099247826</v>
      </c>
      <c r="AA37" s="163">
        <f t="shared" si="18"/>
        <v>0.51187874158403002</v>
      </c>
      <c r="AB37" s="163">
        <f t="shared" si="19"/>
        <v>0</v>
      </c>
      <c r="AC37" s="163">
        <f t="shared" si="20"/>
        <v>0</v>
      </c>
      <c r="AD37" s="163">
        <f t="shared" si="21"/>
        <v>0.56158955988705994</v>
      </c>
      <c r="AE37" s="163">
        <f t="shared" si="42"/>
        <v>0.55396383664438031</v>
      </c>
      <c r="AF37" s="164">
        <f t="shared" si="43"/>
        <v>0.51426696058959365</v>
      </c>
      <c r="AG37" s="162">
        <f t="shared" si="22"/>
        <v>0.45341774900752174</v>
      </c>
      <c r="AH37" s="163">
        <f t="shared" si="23"/>
        <v>0.48812125841597004</v>
      </c>
      <c r="AI37" s="163">
        <f t="shared" si="24"/>
        <v>1</v>
      </c>
      <c r="AJ37" s="163">
        <f t="shared" si="25"/>
        <v>1</v>
      </c>
      <c r="AK37" s="163">
        <f t="shared" si="26"/>
        <v>0.43841044011294011</v>
      </c>
      <c r="AL37" s="163">
        <f t="shared" si="44"/>
        <v>0.44603616335561974</v>
      </c>
      <c r="AM37" s="164">
        <f t="shared" si="45"/>
        <v>0.48573303941040635</v>
      </c>
      <c r="AN37" s="104">
        <v>375.12122710099499</v>
      </c>
      <c r="AO37" s="104">
        <v>77.457519627112504</v>
      </c>
      <c r="AP37" s="104">
        <v>3.3269419757360001E-8</v>
      </c>
      <c r="AQ37" s="104">
        <v>9.09734398667923E-6</v>
      </c>
      <c r="AR37" s="104">
        <v>122.29203945467199</v>
      </c>
      <c r="AS37" s="104">
        <v>221.34869449538726</v>
      </c>
      <c r="AT37" s="104">
        <v>153.77253260560775</v>
      </c>
      <c r="AU37" s="170">
        <f t="shared" si="27"/>
        <v>205.03460470392247</v>
      </c>
      <c r="AV37" s="115">
        <f t="shared" si="28"/>
        <v>39.648857672946654</v>
      </c>
      <c r="AW37" s="115">
        <f t="shared" si="29"/>
        <v>0</v>
      </c>
      <c r="AX37" s="115">
        <f t="shared" si="30"/>
        <v>0</v>
      </c>
      <c r="AY37" s="115">
        <f t="shared" si="31"/>
        <v>68.67793261504022</v>
      </c>
      <c r="AZ37" s="115">
        <f t="shared" si="46"/>
        <v>122.61917203888956</v>
      </c>
      <c r="BA37" s="115">
        <f t="shared" si="47"/>
        <v>79.080132965250087</v>
      </c>
      <c r="BB37" s="170">
        <f t="shared" si="32"/>
        <v>170.08662239707252</v>
      </c>
      <c r="BC37" s="115">
        <f t="shared" si="33"/>
        <v>37.808661954165856</v>
      </c>
      <c r="BD37" s="115">
        <f t="shared" si="34"/>
        <v>3.3269419757360001E-8</v>
      </c>
      <c r="BE37" s="115">
        <f t="shared" si="35"/>
        <v>9.09734398667923E-6</v>
      </c>
      <c r="BF37" s="115">
        <f t="shared" si="36"/>
        <v>53.614106839631788</v>
      </c>
      <c r="BG37" s="115">
        <f t="shared" si="48"/>
        <v>98.729522456497719</v>
      </c>
      <c r="BH37" s="171">
        <f t="shared" si="49"/>
        <v>74.692399640357664</v>
      </c>
    </row>
    <row r="38" spans="1:60" x14ac:dyDescent="0.25">
      <c r="A38" s="4" t="s">
        <v>17</v>
      </c>
      <c r="B38" s="1" t="s">
        <v>80</v>
      </c>
      <c r="C38" s="1">
        <v>2024</v>
      </c>
      <c r="D38" s="56">
        <v>45474</v>
      </c>
      <c r="E38" s="57">
        <v>57252357</v>
      </c>
      <c r="F38" s="57">
        <v>7899</v>
      </c>
      <c r="G38" s="57">
        <v>0</v>
      </c>
      <c r="H38" s="57">
        <v>0</v>
      </c>
      <c r="I38" s="57">
        <v>27.0490196078431</v>
      </c>
      <c r="J38" s="57">
        <v>50246461</v>
      </c>
      <c r="K38" s="57">
        <v>7005896</v>
      </c>
      <c r="L38" s="122">
        <f t="shared" si="37"/>
        <v>125489800.07099272</v>
      </c>
      <c r="M38" s="122">
        <f t="shared" si="8"/>
        <v>19148.734619140625</v>
      </c>
      <c r="N38" s="122">
        <f t="shared" si="9"/>
        <v>930.9576416015625</v>
      </c>
      <c r="O38" s="122">
        <f t="shared" si="10"/>
        <v>5.4748862944633556</v>
      </c>
      <c r="P38" s="122">
        <f t="shared" si="11"/>
        <v>59.676993346261092</v>
      </c>
      <c r="Q38" s="122">
        <f t="shared" si="38"/>
        <v>105795234.81651169</v>
      </c>
      <c r="R38" s="122">
        <f t="shared" si="39"/>
        <v>19694565.25448104</v>
      </c>
      <c r="S38" s="123">
        <f t="shared" si="12"/>
        <v>68237443.070992723</v>
      </c>
      <c r="T38" s="123">
        <f t="shared" si="13"/>
        <v>11249.734619140625</v>
      </c>
      <c r="U38" s="123">
        <f t="shared" si="14"/>
        <v>930.9576416015625</v>
      </c>
      <c r="V38" s="123">
        <f t="shared" si="15"/>
        <v>5.4748862944633556</v>
      </c>
      <c r="W38" s="123">
        <f t="shared" si="16"/>
        <v>32.627973738417992</v>
      </c>
      <c r="X38" s="123">
        <f t="shared" si="40"/>
        <v>55548773.816511691</v>
      </c>
      <c r="Y38" s="123">
        <f t="shared" si="41"/>
        <v>12688669.25448104</v>
      </c>
      <c r="Z38" s="162">
        <f t="shared" si="17"/>
        <v>0.45623115956524679</v>
      </c>
      <c r="AA38" s="163">
        <f t="shared" si="18"/>
        <v>0.4125076751601302</v>
      </c>
      <c r="AB38" s="163">
        <f t="shared" si="19"/>
        <v>0</v>
      </c>
      <c r="AC38" s="163">
        <f t="shared" si="20"/>
        <v>0</v>
      </c>
      <c r="AD38" s="163">
        <f t="shared" si="21"/>
        <v>0.45325707766304191</v>
      </c>
      <c r="AE38" s="163">
        <f t="shared" si="42"/>
        <v>0.47494068222586833</v>
      </c>
      <c r="AF38" s="164">
        <f t="shared" si="43"/>
        <v>0.35572737501306212</v>
      </c>
      <c r="AG38" s="162">
        <f t="shared" si="22"/>
        <v>0.54376884043475315</v>
      </c>
      <c r="AH38" s="163">
        <f t="shared" si="23"/>
        <v>0.5874923248398698</v>
      </c>
      <c r="AI38" s="163">
        <f t="shared" si="24"/>
        <v>1</v>
      </c>
      <c r="AJ38" s="163">
        <f t="shared" si="25"/>
        <v>1</v>
      </c>
      <c r="AK38" s="163">
        <f t="shared" si="26"/>
        <v>0.54674292233695809</v>
      </c>
      <c r="AL38" s="163">
        <f t="shared" si="44"/>
        <v>0.52505931777413162</v>
      </c>
      <c r="AM38" s="164">
        <f t="shared" si="45"/>
        <v>0.64427262498693794</v>
      </c>
      <c r="AN38" s="104">
        <v>375.54080359073203</v>
      </c>
      <c r="AO38" s="104">
        <v>48.559182793547699</v>
      </c>
      <c r="AP38" s="104">
        <v>2.9937239654026199E-8</v>
      </c>
      <c r="AQ38" s="104">
        <v>1.8031147807861601E-6</v>
      </c>
      <c r="AR38" s="104">
        <v>126.615893164665</v>
      </c>
      <c r="AS38" s="104">
        <v>221.32621615954289</v>
      </c>
      <c r="AT38" s="104">
        <v>154.21458743118913</v>
      </c>
      <c r="AU38" s="170">
        <f t="shared" si="27"/>
        <v>171.33341628626428</v>
      </c>
      <c r="AV38" s="115">
        <f t="shared" si="28"/>
        <v>20.031035601842159</v>
      </c>
      <c r="AW38" s="115">
        <f t="shared" si="29"/>
        <v>0</v>
      </c>
      <c r="AX38" s="115">
        <f t="shared" si="30"/>
        <v>0</v>
      </c>
      <c r="AY38" s="115">
        <f t="shared" si="31"/>
        <v>57.389549721511976</v>
      </c>
      <c r="AZ38" s="115">
        <f t="shared" si="46"/>
        <v>105.1168240972833</v>
      </c>
      <c r="BA38" s="115">
        <f t="shared" si="47"/>
        <v>54.858350375619274</v>
      </c>
      <c r="BB38" s="170">
        <f t="shared" si="32"/>
        <v>204.20738730446774</v>
      </c>
      <c r="BC38" s="115">
        <f t="shared" si="33"/>
        <v>28.528147191705539</v>
      </c>
      <c r="BD38" s="115">
        <f t="shared" si="34"/>
        <v>2.9937239654026199E-8</v>
      </c>
      <c r="BE38" s="115">
        <f t="shared" si="35"/>
        <v>1.8031147807861601E-6</v>
      </c>
      <c r="BF38" s="115">
        <f t="shared" si="36"/>
        <v>69.226343443153013</v>
      </c>
      <c r="BG38" s="115">
        <f t="shared" si="48"/>
        <v>116.20939206225958</v>
      </c>
      <c r="BH38" s="171">
        <f t="shared" si="49"/>
        <v>99.356237055569864</v>
      </c>
    </row>
    <row r="39" spans="1:60" x14ac:dyDescent="0.25">
      <c r="A39" s="4" t="s">
        <v>17</v>
      </c>
      <c r="B39" s="1" t="s">
        <v>80</v>
      </c>
      <c r="C39" s="1">
        <v>2024</v>
      </c>
      <c r="D39" s="56">
        <v>45505</v>
      </c>
      <c r="E39" s="57">
        <v>0</v>
      </c>
      <c r="F39" s="57">
        <v>0</v>
      </c>
      <c r="G39" s="57">
        <v>0</v>
      </c>
      <c r="H39" s="57">
        <v>0</v>
      </c>
      <c r="I39" s="57">
        <v>13.088235294117601</v>
      </c>
      <c r="J39" s="57">
        <v>0</v>
      </c>
      <c r="K39" s="57">
        <v>0</v>
      </c>
      <c r="L39" s="122">
        <f t="shared" si="37"/>
        <v>81568370.046145275</v>
      </c>
      <c r="M39" s="122">
        <f t="shared" si="8"/>
        <v>9574.3673095703125</v>
      </c>
      <c r="N39" s="122">
        <f t="shared" si="9"/>
        <v>465.47882080078125</v>
      </c>
      <c r="O39" s="122">
        <f t="shared" si="10"/>
        <v>3.8324204061243488</v>
      </c>
      <c r="P39" s="122">
        <f t="shared" si="11"/>
        <v>54.862130636500368</v>
      </c>
      <c r="Q39" s="122">
        <f t="shared" si="38"/>
        <v>68766902.630732596</v>
      </c>
      <c r="R39" s="122">
        <f t="shared" si="39"/>
        <v>12801467.415412676</v>
      </c>
      <c r="S39" s="123">
        <f t="shared" si="12"/>
        <v>81568370.046145275</v>
      </c>
      <c r="T39" s="123">
        <f t="shared" si="13"/>
        <v>9574.3673095703125</v>
      </c>
      <c r="U39" s="123">
        <f t="shared" si="14"/>
        <v>465.47882080078125</v>
      </c>
      <c r="V39" s="123">
        <f t="shared" si="15"/>
        <v>3.8324204061243488</v>
      </c>
      <c r="W39" s="123">
        <f t="shared" si="16"/>
        <v>41.773895342382765</v>
      </c>
      <c r="X39" s="123">
        <f t="shared" si="40"/>
        <v>68766902.630732596</v>
      </c>
      <c r="Y39" s="123">
        <f t="shared" si="41"/>
        <v>12801467.415412676</v>
      </c>
      <c r="Z39" s="162">
        <f t="shared" si="17"/>
        <v>0</v>
      </c>
      <c r="AA39" s="163">
        <f t="shared" si="18"/>
        <v>0</v>
      </c>
      <c r="AB39" s="163">
        <f t="shared" si="19"/>
        <v>0</v>
      </c>
      <c r="AC39" s="163">
        <f t="shared" si="20"/>
        <v>0</v>
      </c>
      <c r="AD39" s="163">
        <f t="shared" si="21"/>
        <v>0.23856593140423635</v>
      </c>
      <c r="AE39" s="163">
        <f t="shared" si="42"/>
        <v>0</v>
      </c>
      <c r="AF39" s="164">
        <f t="shared" si="43"/>
        <v>0</v>
      </c>
      <c r="AG39" s="162">
        <f t="shared" si="22"/>
        <v>1</v>
      </c>
      <c r="AH39" s="163">
        <f t="shared" si="23"/>
        <v>1</v>
      </c>
      <c r="AI39" s="163">
        <f t="shared" si="24"/>
        <v>1</v>
      </c>
      <c r="AJ39" s="163">
        <f t="shared" si="25"/>
        <v>1</v>
      </c>
      <c r="AK39" s="163">
        <f t="shared" si="26"/>
        <v>0.76143406859576357</v>
      </c>
      <c r="AL39" s="163">
        <f t="shared" si="44"/>
        <v>1</v>
      </c>
      <c r="AM39" s="164">
        <f t="shared" si="45"/>
        <v>1</v>
      </c>
      <c r="AN39" s="104">
        <v>375.47227683081798</v>
      </c>
      <c r="AO39" s="104">
        <v>0.88250619127672603</v>
      </c>
      <c r="AP39" s="104">
        <v>2.8395308367751E-8</v>
      </c>
      <c r="AQ39" s="104">
        <v>5.3154179915373195E-7</v>
      </c>
      <c r="AR39" s="104">
        <v>129.339304908945</v>
      </c>
      <c r="AS39" s="104">
        <v>221.11761748437868</v>
      </c>
      <c r="AT39" s="104">
        <v>154.35465934643929</v>
      </c>
      <c r="AU39" s="170">
        <f t="shared" si="27"/>
        <v>0</v>
      </c>
      <c r="AV39" s="115">
        <f t="shared" si="28"/>
        <v>0</v>
      </c>
      <c r="AW39" s="115">
        <f t="shared" si="29"/>
        <v>0</v>
      </c>
      <c r="AX39" s="115">
        <f t="shared" si="30"/>
        <v>0</v>
      </c>
      <c r="AY39" s="115">
        <f t="shared" si="31"/>
        <v>30.855951742778981</v>
      </c>
      <c r="AZ39" s="115">
        <f t="shared" si="46"/>
        <v>0</v>
      </c>
      <c r="BA39" s="115">
        <f t="shared" si="47"/>
        <v>0</v>
      </c>
      <c r="BB39" s="170">
        <f t="shared" si="32"/>
        <v>375.47227683081798</v>
      </c>
      <c r="BC39" s="115">
        <f t="shared" si="33"/>
        <v>0.88250619127672603</v>
      </c>
      <c r="BD39" s="115">
        <f t="shared" si="34"/>
        <v>2.8395308367751E-8</v>
      </c>
      <c r="BE39" s="115">
        <f t="shared" si="35"/>
        <v>5.3154179915373195E-7</v>
      </c>
      <c r="BF39" s="115">
        <f t="shared" si="36"/>
        <v>98.483353166165998</v>
      </c>
      <c r="BG39" s="115">
        <f t="shared" si="48"/>
        <v>221.11761748437868</v>
      </c>
      <c r="BH39" s="171">
        <f t="shared" si="49"/>
        <v>154.35465934643929</v>
      </c>
    </row>
    <row r="40" spans="1:60" ht="15.75" thickBot="1" x14ac:dyDescent="0.3">
      <c r="A40" s="4" t="s">
        <v>20</v>
      </c>
      <c r="B40" s="1" t="s">
        <v>80</v>
      </c>
      <c r="C40" s="1">
        <v>2024</v>
      </c>
      <c r="D40" s="56">
        <v>45536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122">
        <f t="shared" si="37"/>
        <v>53019440.529994428</v>
      </c>
      <c r="M40" s="122">
        <f t="shared" si="8"/>
        <v>4787.1836547851563</v>
      </c>
      <c r="N40" s="122">
        <f t="shared" si="9"/>
        <v>232.73941040039063</v>
      </c>
      <c r="O40" s="122">
        <f t="shared" si="10"/>
        <v>2.6826942842870438</v>
      </c>
      <c r="P40" s="122">
        <f t="shared" si="11"/>
        <v>38.403491445550252</v>
      </c>
      <c r="Q40" s="122">
        <f t="shared" si="38"/>
        <v>44698486.709976189</v>
      </c>
      <c r="R40" s="122">
        <f t="shared" si="39"/>
        <v>8320953.8200182393</v>
      </c>
      <c r="S40" s="123">
        <f t="shared" si="12"/>
        <v>53019440.529994428</v>
      </c>
      <c r="T40" s="123">
        <f t="shared" si="13"/>
        <v>4787.1836547851563</v>
      </c>
      <c r="U40" s="123">
        <f t="shared" si="14"/>
        <v>232.73941040039063</v>
      </c>
      <c r="V40" s="123">
        <f t="shared" si="15"/>
        <v>2.6826942842870438</v>
      </c>
      <c r="W40" s="123">
        <f t="shared" si="16"/>
        <v>38.403491445550252</v>
      </c>
      <c r="X40" s="123">
        <f t="shared" si="40"/>
        <v>44698486.709976189</v>
      </c>
      <c r="Y40" s="123">
        <f t="shared" si="41"/>
        <v>8320953.8200182393</v>
      </c>
      <c r="Z40" s="165">
        <f t="shared" si="17"/>
        <v>0</v>
      </c>
      <c r="AA40" s="166">
        <f t="shared" si="18"/>
        <v>0</v>
      </c>
      <c r="AB40" s="166">
        <f t="shared" si="19"/>
        <v>0</v>
      </c>
      <c r="AC40" s="166">
        <f t="shared" si="20"/>
        <v>0</v>
      </c>
      <c r="AD40" s="166">
        <f t="shared" si="21"/>
        <v>0</v>
      </c>
      <c r="AE40" s="166">
        <f t="shared" si="42"/>
        <v>0</v>
      </c>
      <c r="AF40" s="167">
        <f t="shared" si="43"/>
        <v>0</v>
      </c>
      <c r="AG40" s="165">
        <f t="shared" si="22"/>
        <v>1</v>
      </c>
      <c r="AH40" s="166">
        <f t="shared" si="23"/>
        <v>1</v>
      </c>
      <c r="AI40" s="166">
        <f t="shared" si="24"/>
        <v>1</v>
      </c>
      <c r="AJ40" s="166">
        <f t="shared" si="25"/>
        <v>1</v>
      </c>
      <c r="AK40" s="166">
        <f t="shared" si="26"/>
        <v>1</v>
      </c>
      <c r="AL40" s="166">
        <f t="shared" si="44"/>
        <v>1</v>
      </c>
      <c r="AM40" s="167">
        <f t="shared" si="45"/>
        <v>1</v>
      </c>
      <c r="AN40" s="104">
        <v>375.349620736394</v>
      </c>
      <c r="AO40" s="104">
        <v>2.8087807422585002E-3</v>
      </c>
      <c r="AP40" s="104">
        <v>2.76416882247753E-8</v>
      </c>
      <c r="AQ40" s="104">
        <v>2.1569365164505699E-7</v>
      </c>
      <c r="AR40" s="104">
        <v>115.599841631545</v>
      </c>
      <c r="AS40" s="104">
        <v>221.00193086298532</v>
      </c>
      <c r="AT40" s="104">
        <v>154.34768987340871</v>
      </c>
      <c r="AU40" s="172">
        <f t="shared" si="27"/>
        <v>0</v>
      </c>
      <c r="AV40" s="173">
        <f t="shared" si="28"/>
        <v>0</v>
      </c>
      <c r="AW40" s="173">
        <f t="shared" si="29"/>
        <v>0</v>
      </c>
      <c r="AX40" s="173">
        <f t="shared" si="30"/>
        <v>0</v>
      </c>
      <c r="AY40" s="173">
        <f t="shared" si="31"/>
        <v>0</v>
      </c>
      <c r="AZ40" s="173">
        <f t="shared" si="46"/>
        <v>0</v>
      </c>
      <c r="BA40" s="173">
        <f t="shared" si="47"/>
        <v>0</v>
      </c>
      <c r="BB40" s="172">
        <f t="shared" si="32"/>
        <v>375.349620736394</v>
      </c>
      <c r="BC40" s="173">
        <f t="shared" si="33"/>
        <v>2.8087807422585002E-3</v>
      </c>
      <c r="BD40" s="173">
        <f t="shared" si="34"/>
        <v>2.76416882247753E-8</v>
      </c>
      <c r="BE40" s="173">
        <f t="shared" si="35"/>
        <v>2.1569365164505699E-7</v>
      </c>
      <c r="BF40" s="173">
        <f t="shared" si="36"/>
        <v>115.599841631545</v>
      </c>
      <c r="BG40" s="173">
        <f t="shared" si="48"/>
        <v>221.00193086298532</v>
      </c>
      <c r="BH40" s="174">
        <f t="shared" si="49"/>
        <v>154.34768987340871</v>
      </c>
    </row>
    <row r="41" spans="1:60" x14ac:dyDescent="0.25">
      <c r="AU41" t="s">
        <v>200</v>
      </c>
      <c r="AV41" t="s">
        <v>201</v>
      </c>
      <c r="AW41" t="s">
        <v>202</v>
      </c>
      <c r="AX41" t="s">
        <v>203</v>
      </c>
      <c r="AY41" t="s">
        <v>204</v>
      </c>
      <c r="AZ41" t="s">
        <v>205</v>
      </c>
      <c r="BA41" t="s">
        <v>206</v>
      </c>
      <c r="BB41" t="s">
        <v>207</v>
      </c>
      <c r="BC41" t="s">
        <v>208</v>
      </c>
      <c r="BD41" t="s">
        <v>209</v>
      </c>
      <c r="BE41" t="s">
        <v>210</v>
      </c>
      <c r="BF41" t="s">
        <v>211</v>
      </c>
      <c r="BG41" t="s">
        <v>212</v>
      </c>
      <c r="BH41" t="s">
        <v>213</v>
      </c>
    </row>
    <row r="42" spans="1:60" x14ac:dyDescent="0.25">
      <c r="AR42" s="4" t="s">
        <v>15</v>
      </c>
      <c r="AS42" s="1"/>
      <c r="AT42" s="1"/>
      <c r="AU42" s="115">
        <f t="shared" ref="AU42:AY43" si="50">SUMIFS(AU$4:AU$40,$A$4:$A$40,$AR42)</f>
        <v>773.58423571606318</v>
      </c>
      <c r="AV42" s="115">
        <f t="shared" si="50"/>
        <v>224.61938876529925</v>
      </c>
      <c r="AW42" s="115">
        <f t="shared" si="50"/>
        <v>577.54549772013593</v>
      </c>
      <c r="AX42" s="115">
        <f t="shared" si="50"/>
        <v>350.74416887751869</v>
      </c>
      <c r="AY42" s="115">
        <f t="shared" si="50"/>
        <v>164.76488654579651</v>
      </c>
      <c r="AZ42" s="115">
        <f t="shared" ref="AZ42:BA43" si="51">SUMIFS(AZ$4:AZ$40,$A$4:$A$40,$AR42)</f>
        <v>416.50986808805402</v>
      </c>
      <c r="BA42" s="115">
        <f t="shared" ref="BA42:BF42" si="52">SUMIFS(BA$4:BA$40,$A$4:$A$40,$AR42)</f>
        <v>353.18305680745874</v>
      </c>
      <c r="BB42" s="115">
        <f t="shared" si="52"/>
        <v>406.31878348397584</v>
      </c>
      <c r="BC42" s="115">
        <f t="shared" si="52"/>
        <v>133.09800539159406</v>
      </c>
      <c r="BD42" s="115">
        <f t="shared" si="52"/>
        <v>223.92895344531101</v>
      </c>
      <c r="BE42" s="115">
        <f t="shared" si="52"/>
        <v>307.71796197631033</v>
      </c>
      <c r="BF42" s="115">
        <f t="shared" si="52"/>
        <v>65.366914600698379</v>
      </c>
      <c r="BG42" s="115">
        <f t="shared" ref="BG42:BH43" si="53">SUMIFS(BG$4:BG$40,$A$4:$A$40,$AR42)</f>
        <v>219.76782188058729</v>
      </c>
      <c r="BH42" s="115">
        <f t="shared" si="53"/>
        <v>190.44227242393913</v>
      </c>
    </row>
    <row r="43" spans="1:60" x14ac:dyDescent="0.25">
      <c r="AR43" s="4" t="s">
        <v>17</v>
      </c>
      <c r="AS43" s="1"/>
      <c r="AT43" s="1"/>
      <c r="AU43" s="115">
        <f t="shared" si="50"/>
        <v>892.3914892027783</v>
      </c>
      <c r="AV43" s="115">
        <f t="shared" si="50"/>
        <v>132.59158492542963</v>
      </c>
      <c r="AW43" s="115">
        <f t="shared" si="50"/>
        <v>0</v>
      </c>
      <c r="AX43" s="115">
        <f t="shared" si="50"/>
        <v>0</v>
      </c>
      <c r="AY43" s="115">
        <f t="shared" si="50"/>
        <v>227.27838966395228</v>
      </c>
      <c r="AZ43" s="115">
        <f t="shared" si="51"/>
        <v>514.6953561367518</v>
      </c>
      <c r="BA43" s="115">
        <f t="shared" si="51"/>
        <v>362.44544822891726</v>
      </c>
      <c r="BB43" s="115">
        <f>SUMIFS(BB$4:BB$40,$A$4:$A$40,$AR43)</f>
        <v>1789.3192725325634</v>
      </c>
      <c r="BC43" s="115">
        <f>SUMIFS(BC$4:BC$40,$A$4:$A$40,$AR43)</f>
        <v>92.784629874308976</v>
      </c>
      <c r="BD43" s="115">
        <f>SUMIFS(BD$4:BD$40,$A$4:$A$40,$AR43)</f>
        <v>252.76922405659792</v>
      </c>
      <c r="BE43" s="115">
        <f>SUMIFS(BE$4:BE$40,$A$4:$A$40,$AR43)</f>
        <v>568.89779903541717</v>
      </c>
      <c r="BF43" s="115">
        <f>SUMIFS(BF$4:BF$40,$A$4:$A$40,$AR43)</f>
        <v>744.92317415072728</v>
      </c>
      <c r="BG43" s="115">
        <f t="shared" si="53"/>
        <v>1016.9833012887096</v>
      </c>
      <c r="BH43" s="115">
        <f t="shared" si="53"/>
        <v>787.58665608096317</v>
      </c>
    </row>
    <row r="45" spans="1:60" x14ac:dyDescent="0.25">
      <c r="AR45" s="1" t="s">
        <v>79</v>
      </c>
      <c r="AS45" s="1"/>
      <c r="AT45" s="1"/>
      <c r="AU45" s="115">
        <f t="shared" ref="AU45:AY46" si="54">SUMIFS(AU$4:AU$40,$B$4:$B$40,$AR45)</f>
        <v>773.58423571606318</v>
      </c>
      <c r="AV45" s="115">
        <f t="shared" si="54"/>
        <v>224.61938876529925</v>
      </c>
      <c r="AW45" s="115">
        <f t="shared" si="54"/>
        <v>577.54549772013593</v>
      </c>
      <c r="AX45" s="115">
        <f t="shared" si="54"/>
        <v>350.74416887751869</v>
      </c>
      <c r="AY45" s="115">
        <f t="shared" si="54"/>
        <v>174.63032728825092</v>
      </c>
      <c r="AZ45" s="115">
        <f t="shared" ref="AZ45:BA46" si="55">SUMIFS(AZ$4:AZ$40,$B$4:$B$40,$AR45)</f>
        <v>416.50986808805402</v>
      </c>
      <c r="BA45" s="115">
        <f t="shared" si="55"/>
        <v>353.18305680745874</v>
      </c>
      <c r="BB45" s="115">
        <f t="shared" ref="BB45:BF46" si="56">SUMIFS(BB$4:BB$40,$B$4:$B$40,$AR45)</f>
        <v>1374.0210431202033</v>
      </c>
      <c r="BC45" s="115">
        <f t="shared" si="56"/>
        <v>158.45713631794865</v>
      </c>
      <c r="BD45" s="115">
        <f t="shared" si="56"/>
        <v>476.69817730708576</v>
      </c>
      <c r="BE45" s="115">
        <f t="shared" si="56"/>
        <v>876.6147763390511</v>
      </c>
      <c r="BF45" s="115">
        <f t="shared" si="56"/>
        <v>571.47619746731004</v>
      </c>
      <c r="BG45" s="115">
        <f t="shared" ref="BG45:BH46" si="57">SUMIFS(BG$4:BG$40,$B$4:$B$40,$AR45)</f>
        <v>761.06751312978599</v>
      </c>
      <c r="BH45" s="115">
        <f t="shared" si="57"/>
        <v>616.84484081096809</v>
      </c>
    </row>
    <row r="46" spans="1:60" x14ac:dyDescent="0.25">
      <c r="AR46" s="1" t="s">
        <v>80</v>
      </c>
      <c r="AS46" s="1"/>
      <c r="AT46" s="1"/>
      <c r="AU46" s="115">
        <f t="shared" si="54"/>
        <v>892.3914892027783</v>
      </c>
      <c r="AV46" s="115">
        <f t="shared" si="54"/>
        <v>132.59158492542963</v>
      </c>
      <c r="AW46" s="115">
        <f t="shared" si="54"/>
        <v>0</v>
      </c>
      <c r="AX46" s="115">
        <f t="shared" si="54"/>
        <v>0</v>
      </c>
      <c r="AY46" s="115">
        <f t="shared" si="54"/>
        <v>217.41294892149787</v>
      </c>
      <c r="AZ46" s="115">
        <f t="shared" si="55"/>
        <v>514.6953561367518</v>
      </c>
      <c r="BA46" s="115">
        <f t="shared" si="55"/>
        <v>362.44544822891726</v>
      </c>
      <c r="BB46" s="115">
        <f t="shared" si="56"/>
        <v>1196.9666336327298</v>
      </c>
      <c r="BC46" s="115">
        <f t="shared" si="56"/>
        <v>67.428307728696609</v>
      </c>
      <c r="BD46" s="115">
        <f t="shared" si="56"/>
        <v>2.2246476825009509E-7</v>
      </c>
      <c r="BE46" s="115">
        <f t="shared" si="56"/>
        <v>9.8488837003671845E-4</v>
      </c>
      <c r="BF46" s="115">
        <f t="shared" si="56"/>
        <v>354.41373291566066</v>
      </c>
      <c r="BG46" s="115">
        <f t="shared" si="57"/>
        <v>696.68554090249631</v>
      </c>
      <c r="BH46" s="115">
        <f t="shared" si="57"/>
        <v>515.53177756734283</v>
      </c>
    </row>
    <row r="48" spans="1:60" x14ac:dyDescent="0.25">
      <c r="AR48" s="1">
        <v>2023</v>
      </c>
      <c r="AS48" s="1"/>
      <c r="AT48" s="1"/>
      <c r="AU48" s="115">
        <f>SUMIFS(AU$4:AU$40,$C$4:$C$40,$AR48)</f>
        <v>773.58423571606318</v>
      </c>
      <c r="AV48" s="115">
        <f t="shared" ref="AV48:BH49" si="58">SUMIFS(AV$4:AV$40,$C$4:$C$40,$AR48)</f>
        <v>224.61938876529925</v>
      </c>
      <c r="AW48" s="115">
        <f t="shared" si="58"/>
        <v>577.54549772013593</v>
      </c>
      <c r="AX48" s="115">
        <f t="shared" si="58"/>
        <v>350.74416887751869</v>
      </c>
      <c r="AY48" s="115">
        <f t="shared" si="58"/>
        <v>174.63032728825092</v>
      </c>
      <c r="AZ48" s="115">
        <f t="shared" si="58"/>
        <v>416.50986808805402</v>
      </c>
      <c r="BA48" s="115">
        <f t="shared" si="58"/>
        <v>353.18305680745874</v>
      </c>
      <c r="BB48" s="115">
        <f t="shared" si="58"/>
        <v>1142.6885356884868</v>
      </c>
      <c r="BC48" s="115">
        <f t="shared" si="58"/>
        <v>158.45646403120935</v>
      </c>
      <c r="BD48" s="115">
        <f t="shared" si="58"/>
        <v>476.46066528673219</v>
      </c>
      <c r="BE48" s="115">
        <f t="shared" si="58"/>
        <v>712.39713309094429</v>
      </c>
      <c r="BF48" s="115">
        <f t="shared" si="58"/>
        <v>256.54908167350544</v>
      </c>
      <c r="BG48" s="115">
        <f t="shared" si="58"/>
        <v>626.25519508978539</v>
      </c>
      <c r="BH48" s="115">
        <f t="shared" si="58"/>
        <v>520.32465141925206</v>
      </c>
    </row>
    <row r="49" spans="44:62" x14ac:dyDescent="0.25">
      <c r="AR49" s="1">
        <v>2024</v>
      </c>
      <c r="AS49" s="1"/>
      <c r="AT49" s="1"/>
      <c r="AU49" s="115">
        <f>SUMIFS(AU$4:AU$40,$C$4:$C$40,$AR49)</f>
        <v>892.3914892027783</v>
      </c>
      <c r="AV49" s="115">
        <f t="shared" si="58"/>
        <v>132.59158492542963</v>
      </c>
      <c r="AW49" s="115">
        <f t="shared" si="58"/>
        <v>0</v>
      </c>
      <c r="AX49" s="115">
        <f t="shared" si="58"/>
        <v>0</v>
      </c>
      <c r="AY49" s="115">
        <f t="shared" si="58"/>
        <v>217.41294892149787</v>
      </c>
      <c r="AZ49" s="115">
        <f t="shared" si="58"/>
        <v>514.6953561367518</v>
      </c>
      <c r="BA49" s="115">
        <f t="shared" si="58"/>
        <v>362.44544822891726</v>
      </c>
      <c r="BB49" s="115">
        <f t="shared" si="58"/>
        <v>1196.9666336327298</v>
      </c>
      <c r="BC49" s="115">
        <f t="shared" si="58"/>
        <v>67.428307728696609</v>
      </c>
      <c r="BD49" s="115">
        <f t="shared" si="58"/>
        <v>2.2246476825009509E-7</v>
      </c>
      <c r="BE49" s="115">
        <f t="shared" si="58"/>
        <v>9.8488837003671845E-4</v>
      </c>
      <c r="BF49" s="115">
        <f t="shared" si="58"/>
        <v>354.41373291566066</v>
      </c>
      <c r="BG49" s="115">
        <f t="shared" si="58"/>
        <v>696.68554090249631</v>
      </c>
      <c r="BH49" s="115">
        <f t="shared" si="58"/>
        <v>515.53177756734283</v>
      </c>
    </row>
    <row r="57" spans="44:62" x14ac:dyDescent="0.25">
      <c r="BA57" t="s">
        <v>214</v>
      </c>
      <c r="BB57" t="s">
        <v>215</v>
      </c>
      <c r="BC57" t="s">
        <v>214</v>
      </c>
      <c r="BD57" t="s">
        <v>215</v>
      </c>
      <c r="BG57" t="s">
        <v>214</v>
      </c>
      <c r="BH57" t="s">
        <v>215</v>
      </c>
      <c r="BI57" t="s">
        <v>214</v>
      </c>
      <c r="BJ57" t="s">
        <v>215</v>
      </c>
    </row>
    <row r="58" spans="44:62" x14ac:dyDescent="0.25">
      <c r="BA58" s="1" t="s">
        <v>79</v>
      </c>
      <c r="BB58" s="1" t="s">
        <v>79</v>
      </c>
      <c r="BC58" s="1" t="s">
        <v>80</v>
      </c>
      <c r="BD58" s="1" t="s">
        <v>80</v>
      </c>
      <c r="BG58" s="1">
        <v>2023</v>
      </c>
      <c r="BH58" s="1">
        <v>2023</v>
      </c>
      <c r="BI58" s="1">
        <v>2024</v>
      </c>
      <c r="BJ58" s="1">
        <v>2024</v>
      </c>
    </row>
    <row r="59" spans="44:62" x14ac:dyDescent="0.25">
      <c r="AW59" s="4" t="s">
        <v>15</v>
      </c>
      <c r="AX59" s="4" t="s">
        <v>17</v>
      </c>
      <c r="BA59" t="str">
        <f>_xlfn.TEXTJOIN(" - ",TRUE,BA58,BA57)</f>
        <v>2023 Campaign - Direct contribution</v>
      </c>
      <c r="BB59" t="str">
        <f t="shared" ref="BB59:BD59" si="59">_xlfn.TEXTJOIN(" - ",TRUE,BB58,BB57)</f>
        <v>2023 Campaign - Lagged contribution</v>
      </c>
      <c r="BC59" t="str">
        <f t="shared" si="59"/>
        <v>2024 Campaign - Direct contribution</v>
      </c>
      <c r="BD59" t="str">
        <f t="shared" si="59"/>
        <v>2024 Campaign - Lagged contribution</v>
      </c>
      <c r="BG59" t="str">
        <f>_xlfn.TEXTJOIN(" - ",TRUE,BG58,BG57)</f>
        <v>2023 - Direct contribution</v>
      </c>
      <c r="BH59" t="str">
        <f t="shared" ref="BH59:BJ59" si="60">_xlfn.TEXTJOIN(" - ",TRUE,BH58,BH57)</f>
        <v>2023 - Lagged contribution</v>
      </c>
      <c r="BI59" t="str">
        <f t="shared" si="60"/>
        <v>2024 - Direct contribution</v>
      </c>
      <c r="BJ59" t="str">
        <f t="shared" si="60"/>
        <v>2024 - Lagged contribution</v>
      </c>
    </row>
    <row r="60" spans="44:62" ht="45" x14ac:dyDescent="0.25">
      <c r="AV60" t="s">
        <v>200</v>
      </c>
      <c r="AW60" s="115">
        <v>773.58423571606318</v>
      </c>
      <c r="AX60" s="115">
        <v>892.3914892027783</v>
      </c>
      <c r="AZ60" s="168" t="s">
        <v>136</v>
      </c>
      <c r="BA60" s="115">
        <v>773.58423571606318</v>
      </c>
      <c r="BB60" s="115">
        <v>1374.0210431202033</v>
      </c>
      <c r="BC60" s="115">
        <v>892.3914892027783</v>
      </c>
      <c r="BD60" s="115">
        <v>1196.9666336327298</v>
      </c>
      <c r="BF60" s="168" t="s">
        <v>136</v>
      </c>
      <c r="BG60" s="115">
        <f>SUMIFS(AU$4:AU$40,$C$4:$C$40,$AR48)</f>
        <v>773.58423571606318</v>
      </c>
      <c r="BH60" s="115">
        <f>SUMIFS(BB$4:BB$40,$C$4:$C$40,$AR48)</f>
        <v>1142.6885356884868</v>
      </c>
      <c r="BI60" s="115">
        <f>SUMIFS(AU$4:AU$40,$C$4:$C$40,$AR49)</f>
        <v>892.3914892027783</v>
      </c>
      <c r="BJ60" s="115">
        <f>SUMIFS(BB$4:BB$40,$C$4:$C$40,$AR49)</f>
        <v>1196.9666336327298</v>
      </c>
    </row>
    <row r="61" spans="44:62" x14ac:dyDescent="0.25">
      <c r="AV61" t="s">
        <v>201</v>
      </c>
      <c r="AW61" s="115">
        <v>224.61938876529925</v>
      </c>
      <c r="AX61" s="115">
        <v>132.59158492542963</v>
      </c>
      <c r="AZ61" s="55" t="s">
        <v>113</v>
      </c>
      <c r="BA61" s="115">
        <v>224.61938876529925</v>
      </c>
      <c r="BB61" s="115">
        <v>158.45713631794865</v>
      </c>
      <c r="BC61" s="115">
        <v>132.59158492542963</v>
      </c>
      <c r="BD61" s="115">
        <v>67.428307728696609</v>
      </c>
      <c r="BF61" s="55" t="s">
        <v>113</v>
      </c>
      <c r="BG61" s="115">
        <f>SUMIFS(AV$4:AV$40,$C$4:$C$40,$AR48)</f>
        <v>224.61938876529925</v>
      </c>
      <c r="BH61" s="115">
        <f>SUMIFS(BC$4:BC$40,$C$4:$C$40,$AR48)</f>
        <v>158.45646403120935</v>
      </c>
      <c r="BI61" s="115">
        <f>SUMIFS(AV$4:AV$40,$C$4:$C$40,$AR49)</f>
        <v>132.59158492542963</v>
      </c>
      <c r="BJ61" s="115">
        <f>SUMIFS(BC$4:BC$40,$C$4:$C$40,$AR49)</f>
        <v>67.428307728696609</v>
      </c>
    </row>
    <row r="62" spans="44:62" ht="30" x14ac:dyDescent="0.25">
      <c r="AV62" t="s">
        <v>202</v>
      </c>
      <c r="AW62" s="115">
        <v>577.54549772013593</v>
      </c>
      <c r="AX62" s="115">
        <v>0</v>
      </c>
      <c r="AZ62" s="55" t="s">
        <v>114</v>
      </c>
      <c r="BA62" s="115">
        <v>577.54549772013593</v>
      </c>
      <c r="BB62" s="115">
        <v>476.69817730708576</v>
      </c>
      <c r="BC62" s="115">
        <v>0</v>
      </c>
      <c r="BD62" s="115">
        <v>2.2246476825009509E-7</v>
      </c>
      <c r="BF62" s="55" t="s">
        <v>114</v>
      </c>
      <c r="BG62" s="115">
        <f>SUMIFS(AW$4:AW$40,$C$4:$C$40,$AR48)</f>
        <v>577.54549772013593</v>
      </c>
      <c r="BH62" s="115">
        <f>SUMIFS(BD$4:BD$40,$C$4:$C$40,$AR48)</f>
        <v>476.46066528673219</v>
      </c>
      <c r="BI62" s="115">
        <f>SUMIFS(AW$4:AW$40,$C$4:$C$40,$AR49)</f>
        <v>0</v>
      </c>
      <c r="BJ62" s="115">
        <f>SUMIFS(BD$4:BD$40,$C$4:$C$40,$AR49)</f>
        <v>2.2246476825009509E-7</v>
      </c>
    </row>
    <row r="63" spans="44:62" ht="30" x14ac:dyDescent="0.25">
      <c r="AV63" t="s">
        <v>203</v>
      </c>
      <c r="AW63" s="115">
        <v>350.74416887751869</v>
      </c>
      <c r="AX63" s="115">
        <v>0</v>
      </c>
      <c r="AZ63" s="55" t="s">
        <v>115</v>
      </c>
      <c r="BA63" s="115">
        <v>350.74416887751869</v>
      </c>
      <c r="BB63" s="115">
        <v>876.6147763390511</v>
      </c>
      <c r="BC63" s="115">
        <v>0</v>
      </c>
      <c r="BD63" s="115">
        <v>9.8488837003671845E-4</v>
      </c>
      <c r="BF63" s="55" t="s">
        <v>115</v>
      </c>
      <c r="BG63" s="115">
        <f>SUMIFS(AX$4:AX$40,$C$4:$C$40,$AR48)</f>
        <v>350.74416887751869</v>
      </c>
      <c r="BH63" s="115">
        <f>SUMIFS(BE$4:BE$40,$C$4:$C$40,$AR48)</f>
        <v>712.39713309094429</v>
      </c>
      <c r="BI63" s="115">
        <f>SUMIFS(AX$4:AX$40,$C$4:$C$40,$AR49)</f>
        <v>0</v>
      </c>
      <c r="BJ63" s="115">
        <f>SUMIFS(BE$4:BE$40,$C$4:$C$40,$AR49)</f>
        <v>9.8488837003671845E-4</v>
      </c>
    </row>
    <row r="64" spans="44:62" x14ac:dyDescent="0.25">
      <c r="AV64" t="s">
        <v>204</v>
      </c>
      <c r="AW64" s="115">
        <v>164.76488654579651</v>
      </c>
      <c r="AX64" s="115">
        <v>227.27838966395228</v>
      </c>
      <c r="AZ64" s="169" t="s">
        <v>197</v>
      </c>
      <c r="BA64" s="115">
        <v>174.63032728825092</v>
      </c>
      <c r="BB64" s="115">
        <v>571.47619746731004</v>
      </c>
      <c r="BC64" s="115">
        <v>217.41294892149787</v>
      </c>
      <c r="BD64" s="115">
        <v>354.41373291566066</v>
      </c>
      <c r="BF64" s="169" t="s">
        <v>197</v>
      </c>
      <c r="BG64" s="115">
        <f>SUMIFS(AY$4:AY$40,$C$4:$C$40,$AR48)</f>
        <v>174.63032728825092</v>
      </c>
      <c r="BH64" s="115">
        <f>SUMIFS(BF$4:BF$40,$C$4:$C$40,$AR48)</f>
        <v>256.54908167350544</v>
      </c>
      <c r="BI64" s="115">
        <f>SUMIFS(AY$4:AY$40,$C$4:$C$40,$AR49)</f>
        <v>217.41294892149787</v>
      </c>
      <c r="BJ64" s="115">
        <f>SUMIFS(BF$4:BF$40,$C$4:$C$40,$AR49)</f>
        <v>354.41373291566066</v>
      </c>
    </row>
    <row r="65" spans="48:62" ht="30" x14ac:dyDescent="0.25">
      <c r="AV65" t="s">
        <v>207</v>
      </c>
      <c r="AW65" s="115">
        <v>406.31878348397584</v>
      </c>
      <c r="AX65" s="115">
        <v>1789.3192725325634</v>
      </c>
      <c r="AZ65" s="55" t="s">
        <v>198</v>
      </c>
      <c r="BA65" s="115">
        <v>416.50986808805402</v>
      </c>
      <c r="BB65" s="115">
        <v>761.06751312978599</v>
      </c>
      <c r="BC65" s="115">
        <v>514.6953561367518</v>
      </c>
      <c r="BD65" s="115">
        <v>696.68554090249631</v>
      </c>
      <c r="BF65" s="55" t="s">
        <v>198</v>
      </c>
      <c r="BG65" s="115">
        <f>SUMIFS(AZ$4:AZ$40,$C$4:$C$40,$AR48)</f>
        <v>416.50986808805402</v>
      </c>
      <c r="BH65" s="115">
        <f>SUMIFS(BG$4:BG$40,$C$4:$C$40,$AR48)</f>
        <v>626.25519508978539</v>
      </c>
      <c r="BI65" s="115">
        <f>SUMIFS(AZ$4:AZ$40,$C$4:$C$40,$AR49)</f>
        <v>514.6953561367518</v>
      </c>
      <c r="BJ65" s="115">
        <f>SUMIFS(BG$4:BG$40,$C$4:$C$40,$AR49)</f>
        <v>696.68554090249631</v>
      </c>
    </row>
    <row r="66" spans="48:62" x14ac:dyDescent="0.25">
      <c r="AV66" t="s">
        <v>208</v>
      </c>
      <c r="AW66" s="115">
        <v>133.09800539159406</v>
      </c>
      <c r="AX66" s="115">
        <v>92.784629874308976</v>
      </c>
      <c r="AZ66" s="55" t="s">
        <v>199</v>
      </c>
      <c r="BA66" s="115">
        <v>353.18305680745874</v>
      </c>
      <c r="BB66" s="115">
        <v>616.84484081096809</v>
      </c>
      <c r="BC66" s="115">
        <v>362.44544822891726</v>
      </c>
      <c r="BD66" s="115">
        <v>515.53177756734283</v>
      </c>
      <c r="BF66" s="55" t="s">
        <v>199</v>
      </c>
      <c r="BG66" s="115">
        <f>SUMIFS(BA$4:BA$40,$C$4:$C$40,$AR48)</f>
        <v>353.18305680745874</v>
      </c>
      <c r="BH66" s="115">
        <f>SUMIFS(BH$4:BH$40,$C$4:$C$40,$AR48)</f>
        <v>520.32465141925206</v>
      </c>
      <c r="BI66" s="115">
        <f>SUMIFS(BA$4:BA$40,$C$4:$C$40,$AR49)</f>
        <v>362.44544822891726</v>
      </c>
      <c r="BJ66" s="115">
        <f>SUMIFS(BH$4:BH$40,$C$4:$C$40,$AR49)</f>
        <v>515.53177756734283</v>
      </c>
    </row>
    <row r="67" spans="48:62" x14ac:dyDescent="0.25">
      <c r="AV67" t="s">
        <v>209</v>
      </c>
      <c r="AW67" s="115">
        <v>223.92895344531101</v>
      </c>
      <c r="AX67" s="115">
        <v>252.76922405659792</v>
      </c>
      <c r="AZ67" t="s">
        <v>207</v>
      </c>
    </row>
    <row r="68" spans="48:62" x14ac:dyDescent="0.25">
      <c r="AV68" t="s">
        <v>210</v>
      </c>
      <c r="AW68" s="115">
        <v>307.71796197631033</v>
      </c>
      <c r="AX68" s="115">
        <v>568.89779903541717</v>
      </c>
      <c r="AZ68" t="s">
        <v>208</v>
      </c>
    </row>
    <row r="69" spans="48:62" x14ac:dyDescent="0.25">
      <c r="AV69" t="s">
        <v>211</v>
      </c>
      <c r="AW69" s="115">
        <v>65.366914600698379</v>
      </c>
      <c r="AX69" s="115">
        <v>744.92317415072728</v>
      </c>
      <c r="AZ69" t="s">
        <v>209</v>
      </c>
    </row>
    <row r="70" spans="48:62" x14ac:dyDescent="0.25">
      <c r="AZ70" t="s">
        <v>210</v>
      </c>
    </row>
    <row r="71" spans="48:62" x14ac:dyDescent="0.25">
      <c r="AZ71" t="s">
        <v>211</v>
      </c>
    </row>
    <row r="72" spans="48:62" x14ac:dyDescent="0.25">
      <c r="AZ72" t="s">
        <v>212</v>
      </c>
    </row>
    <row r="73" spans="48:62" x14ac:dyDescent="0.25">
      <c r="AZ73" t="s">
        <v>213</v>
      </c>
    </row>
    <row r="78" spans="48:62" x14ac:dyDescent="0.25">
      <c r="AW78" t="str">
        <f>_xlfn.TEXTJOIN(" ",TRUE,AW79:AW80)</f>
        <v>FY_2023 Direct contribution</v>
      </c>
      <c r="AX78" t="str">
        <f t="shared" ref="AX78:AY78" si="61">_xlfn.TEXTJOIN(" ",TRUE,AX79:AX80)</f>
        <v>FY_2023 Lagged contribution</v>
      </c>
      <c r="AY78" t="str">
        <f t="shared" si="61"/>
        <v>FY_2024 Direct contribution</v>
      </c>
      <c r="AZ78" t="str">
        <f>_xlfn.TEXTJOIN(" ",TRUE,AZ79:AZ80)</f>
        <v>FY_2024 Lagged contribution</v>
      </c>
    </row>
    <row r="79" spans="48:62" x14ac:dyDescent="0.25">
      <c r="AW79" s="4" t="s">
        <v>15</v>
      </c>
      <c r="AX79" s="4" t="s">
        <v>15</v>
      </c>
      <c r="AY79" s="4" t="s">
        <v>17</v>
      </c>
      <c r="AZ79" s="4" t="s">
        <v>17</v>
      </c>
      <c r="BA79" s="4"/>
    </row>
    <row r="80" spans="48:62" x14ac:dyDescent="0.25">
      <c r="AW80" t="s">
        <v>214</v>
      </c>
      <c r="AX80" t="s">
        <v>215</v>
      </c>
      <c r="AY80" t="s">
        <v>214</v>
      </c>
      <c r="AZ80" t="s">
        <v>215</v>
      </c>
    </row>
    <row r="81" spans="48:53" x14ac:dyDescent="0.25">
      <c r="AV81" s="168" t="s">
        <v>136</v>
      </c>
      <c r="AW81" s="115">
        <v>773.58423571606318</v>
      </c>
      <c r="AX81" s="115">
        <v>406.31878348397584</v>
      </c>
      <c r="AY81" s="115">
        <v>892.3914892027783</v>
      </c>
      <c r="AZ81" s="115">
        <v>1789.3192725325634</v>
      </c>
      <c r="BA81" s="115"/>
    </row>
    <row r="82" spans="48:53" x14ac:dyDescent="0.25">
      <c r="AV82" s="55" t="s">
        <v>113</v>
      </c>
      <c r="AW82" s="115">
        <v>224.61938876529925</v>
      </c>
      <c r="AX82" s="115">
        <v>133.09800539159406</v>
      </c>
      <c r="AY82" s="115">
        <v>132.59158492542963</v>
      </c>
      <c r="AZ82" s="115">
        <v>92.784629874308976</v>
      </c>
      <c r="BA82" s="115"/>
    </row>
    <row r="83" spans="48:53" x14ac:dyDescent="0.25">
      <c r="AV83" s="55" t="s">
        <v>114</v>
      </c>
      <c r="AW83" s="115">
        <v>577.54549772013593</v>
      </c>
      <c r="AX83" s="115">
        <v>223.92895344531101</v>
      </c>
      <c r="AY83" s="115">
        <v>0</v>
      </c>
      <c r="AZ83" s="115">
        <v>252.76922405659792</v>
      </c>
      <c r="BA83" s="115"/>
    </row>
    <row r="84" spans="48:53" x14ac:dyDescent="0.25">
      <c r="AV84" s="55" t="s">
        <v>115</v>
      </c>
      <c r="AW84" s="115">
        <v>350.74416887751869</v>
      </c>
      <c r="AX84" s="115">
        <v>307.71796197631033</v>
      </c>
      <c r="AY84" s="115">
        <v>0</v>
      </c>
      <c r="AZ84" s="115">
        <v>568.89779903541717</v>
      </c>
      <c r="BA84" s="115"/>
    </row>
    <row r="85" spans="48:53" x14ac:dyDescent="0.25">
      <c r="AV85" s="169" t="s">
        <v>197</v>
      </c>
      <c r="AW85" s="115">
        <v>164.76488654579651</v>
      </c>
      <c r="AX85" s="115">
        <v>65.366914600698379</v>
      </c>
      <c r="AY85" s="115">
        <v>227.27838966395228</v>
      </c>
      <c r="AZ85" s="115">
        <v>744.92317415072728</v>
      </c>
      <c r="BA85" s="115"/>
    </row>
  </sheetData>
  <mergeCells count="2">
    <mergeCell ref="AU1:AY1"/>
    <mergeCell ref="BB1:BF1"/>
  </mergeCells>
  <phoneticPr fontId="5" type="noConversion"/>
  <conditionalFormatting sqref="A2:D3">
    <cfRule type="duplicateValues" dxfId="15" priority="10"/>
  </conditionalFormatting>
  <conditionalFormatting sqref="E3:R3 E2:I2 L2:AM2">
    <cfRule type="duplicateValues" dxfId="14" priority="30"/>
  </conditionalFormatting>
  <conditionalFormatting sqref="J2">
    <cfRule type="duplicateValues" dxfId="13" priority="4"/>
  </conditionalFormatting>
  <conditionalFormatting sqref="K2">
    <cfRule type="duplicateValues" dxfId="12" priority="3"/>
  </conditionalFormatting>
  <conditionalFormatting sqref="AN2">
    <cfRule type="duplicateValues" dxfId="11" priority="7"/>
  </conditionalFormatting>
  <conditionalFormatting sqref="AO2">
    <cfRule type="duplicateValues" dxfId="10" priority="8"/>
  </conditionalFormatting>
  <conditionalFormatting sqref="AP2:AR2 AU2:BH2">
    <cfRule type="duplicateValues" dxfId="9" priority="6"/>
  </conditionalFormatting>
  <conditionalFormatting sqref="AV81:AV85">
    <cfRule type="duplicateValues" dxfId="8" priority="5"/>
  </conditionalFormatting>
  <conditionalFormatting sqref="AZ60:AZ66">
    <cfRule type="duplicateValues" dxfId="7" priority="2"/>
  </conditionalFormatting>
  <conditionalFormatting sqref="BF60:BF66">
    <cfRule type="duplicateValues" dxfId="6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5E52-BADF-483B-9344-A66DA5429AB6}">
  <sheetPr codeName="Sheet8">
    <tabColor theme="1"/>
  </sheetPr>
  <dimension ref="A3:F29"/>
  <sheetViews>
    <sheetView topLeftCell="XEB1" workbookViewId="0">
      <selection activeCell="XEO37" sqref="XEO37"/>
    </sheetView>
  </sheetViews>
  <sheetFormatPr defaultRowHeight="15" x14ac:dyDescent="0.25"/>
  <cols>
    <col min="1" max="1" width="28.7109375" bestFit="1" customWidth="1"/>
    <col min="2" max="2" width="16.28515625" bestFit="1" customWidth="1"/>
    <col min="3" max="3" width="10.140625" bestFit="1" customWidth="1"/>
    <col min="4" max="4" width="11.140625" bestFit="1" customWidth="1"/>
    <col min="5" max="5" width="8.140625" bestFit="1" customWidth="1"/>
    <col min="6" max="6" width="11.28515625" bestFit="1" customWidth="1"/>
    <col min="7" max="8" width="24.7109375" bestFit="1" customWidth="1"/>
    <col min="9" max="10" width="29.85546875" bestFit="1" customWidth="1"/>
  </cols>
  <sheetData>
    <row r="3" spans="1:6" x14ac:dyDescent="0.25">
      <c r="B3" s="119" t="s">
        <v>216</v>
      </c>
    </row>
    <row r="4" spans="1:6" x14ac:dyDescent="0.25">
      <c r="A4" s="119" t="s">
        <v>217</v>
      </c>
      <c r="B4" t="s">
        <v>11</v>
      </c>
      <c r="C4" t="s">
        <v>15</v>
      </c>
      <c r="D4" t="s">
        <v>17</v>
      </c>
      <c r="E4" t="s">
        <v>20</v>
      </c>
      <c r="F4" t="s">
        <v>116</v>
      </c>
    </row>
    <row r="5" spans="1:6" x14ac:dyDescent="0.25">
      <c r="A5" s="120" t="s">
        <v>218</v>
      </c>
      <c r="B5">
        <v>7</v>
      </c>
      <c r="C5">
        <v>9</v>
      </c>
      <c r="D5">
        <v>3</v>
      </c>
      <c r="E5">
        <v>0</v>
      </c>
      <c r="F5">
        <v>19</v>
      </c>
    </row>
    <row r="6" spans="1:6" x14ac:dyDescent="0.25">
      <c r="A6" s="120" t="s">
        <v>219</v>
      </c>
      <c r="B6" s="113">
        <v>88278.166749999989</v>
      </c>
      <c r="C6" s="113">
        <v>92585.941666666651</v>
      </c>
      <c r="D6" s="113">
        <v>95308.449916666665</v>
      </c>
      <c r="E6" s="113">
        <v>95547.008000000002</v>
      </c>
      <c r="F6" s="113">
        <v>92151.829945945952</v>
      </c>
    </row>
    <row r="7" spans="1:6" x14ac:dyDescent="0.25">
      <c r="A7" s="120" t="s">
        <v>220</v>
      </c>
      <c r="B7" s="114">
        <v>6.0812734913732513E-2</v>
      </c>
      <c r="C7" s="114">
        <v>7.3015945988720313E-2</v>
      </c>
      <c r="D7" s="114">
        <v>1.6340343013618006E-2</v>
      </c>
      <c r="E7" s="114">
        <v>0</v>
      </c>
      <c r="F7" s="114">
        <v>4.8703467216022971E-2</v>
      </c>
    </row>
    <row r="8" spans="1:6" x14ac:dyDescent="0.25">
      <c r="A8" s="120" t="s">
        <v>221</v>
      </c>
      <c r="B8" s="113">
        <v>76.932083333333338</v>
      </c>
      <c r="C8" s="113">
        <v>76.607083333333335</v>
      </c>
      <c r="D8" s="113">
        <v>79.410416666666663</v>
      </c>
      <c r="E8" s="113">
        <v>83.384</v>
      </c>
      <c r="F8" s="113">
        <v>77.804837837837837</v>
      </c>
    </row>
    <row r="9" spans="1:6" x14ac:dyDescent="0.25">
      <c r="A9" s="120" t="s">
        <v>222</v>
      </c>
      <c r="B9" s="113">
        <v>0</v>
      </c>
      <c r="C9" s="113">
        <v>50075894</v>
      </c>
      <c r="D9" s="113">
        <v>137198308.16699219</v>
      </c>
      <c r="E9" s="113">
        <v>0</v>
      </c>
      <c r="F9" s="113">
        <v>187274202.16699222</v>
      </c>
    </row>
    <row r="10" spans="1:6" x14ac:dyDescent="0.25">
      <c r="A10" s="120" t="s">
        <v>223</v>
      </c>
      <c r="B10" s="113">
        <v>0</v>
      </c>
      <c r="C10" s="113">
        <v>7012253</v>
      </c>
      <c r="D10" s="113">
        <v>6869130.9873046903</v>
      </c>
      <c r="E10" s="113">
        <v>0</v>
      </c>
      <c r="F10" s="113">
        <v>13881383.987304689</v>
      </c>
    </row>
    <row r="11" spans="1:6" x14ac:dyDescent="0.25">
      <c r="A11" s="120" t="s">
        <v>224</v>
      </c>
      <c r="B11" s="113">
        <v>0</v>
      </c>
      <c r="C11" s="113">
        <v>18374818</v>
      </c>
      <c r="D11" s="113">
        <v>0</v>
      </c>
      <c r="E11" s="113">
        <v>0</v>
      </c>
      <c r="F11" s="113">
        <v>18374818</v>
      </c>
    </row>
    <row r="12" spans="1:6" x14ac:dyDescent="0.25">
      <c r="A12" s="120" t="s">
        <v>225</v>
      </c>
      <c r="B12" s="113">
        <v>0</v>
      </c>
      <c r="C12" s="113">
        <v>45574922.761904821</v>
      </c>
      <c r="D12" s="113">
        <v>0</v>
      </c>
      <c r="E12" s="113">
        <v>0</v>
      </c>
      <c r="F12" s="113">
        <v>45574922.761904821</v>
      </c>
    </row>
    <row r="13" spans="1:6" x14ac:dyDescent="0.25">
      <c r="A13" s="120" t="s">
        <v>226</v>
      </c>
      <c r="B13" s="113">
        <v>0</v>
      </c>
      <c r="C13" s="113">
        <v>18526086.527950309</v>
      </c>
      <c r="D13" s="113">
        <v>32173913.04347821</v>
      </c>
      <c r="E13" s="113">
        <v>0</v>
      </c>
      <c r="F13" s="113">
        <v>50699999.571428522</v>
      </c>
    </row>
    <row r="14" spans="1:6" x14ac:dyDescent="0.25">
      <c r="A14" s="120" t="s">
        <v>227</v>
      </c>
      <c r="B14" s="113">
        <v>31.908333333333331</v>
      </c>
      <c r="C14" s="113">
        <v>5.75</v>
      </c>
      <c r="D14" s="113">
        <v>0</v>
      </c>
      <c r="E14" s="113">
        <v>0</v>
      </c>
      <c r="F14" s="113">
        <v>12.213513513513513</v>
      </c>
    </row>
    <row r="15" spans="1:6" x14ac:dyDescent="0.25">
      <c r="A15" s="120" t="s">
        <v>228</v>
      </c>
      <c r="B15" s="113">
        <v>15817.120324389934</v>
      </c>
      <c r="C15" s="113">
        <v>18229.289494189801</v>
      </c>
      <c r="D15" s="113">
        <v>19657.273650075065</v>
      </c>
      <c r="E15" s="113">
        <v>20692.3965399152</v>
      </c>
      <c r="F15" s="113">
        <v>17976.664815237105</v>
      </c>
    </row>
    <row r="16" spans="1:6" x14ac:dyDescent="0.25">
      <c r="A16" s="120" t="s">
        <v>229</v>
      </c>
      <c r="B16" s="113">
        <v>3856.0564219132075</v>
      </c>
      <c r="C16" s="113">
        <v>4943.1281305327993</v>
      </c>
      <c r="D16" s="113">
        <v>4745.0780941992989</v>
      </c>
      <c r="E16" s="113">
        <v>530.12078812718403</v>
      </c>
      <c r="F16" s="113">
        <v>14074.383434772491</v>
      </c>
    </row>
    <row r="20" spans="1:6" x14ac:dyDescent="0.25">
      <c r="A20" t="s">
        <v>230</v>
      </c>
      <c r="B20" t="s">
        <v>231</v>
      </c>
      <c r="C20" t="s">
        <v>232</v>
      </c>
      <c r="D20" t="s">
        <v>233</v>
      </c>
      <c r="E20" t="s">
        <v>234</v>
      </c>
      <c r="F20" t="s">
        <v>235</v>
      </c>
    </row>
    <row r="21" spans="1:6" x14ac:dyDescent="0.25">
      <c r="A21" t="s">
        <v>236</v>
      </c>
      <c r="B21" s="122">
        <v>88278.166749999989</v>
      </c>
      <c r="C21" s="122">
        <v>92585.941666666651</v>
      </c>
      <c r="D21" s="122">
        <v>95308.449916666665</v>
      </c>
      <c r="E21" s="124">
        <f>C21/B21-1</f>
        <v>4.8797738730416818E-2</v>
      </c>
      <c r="F21" s="124">
        <f>D21/C21-1</f>
        <v>2.9405201275607862E-2</v>
      </c>
    </row>
    <row r="22" spans="1:6" x14ac:dyDescent="0.25">
      <c r="A22" t="s">
        <v>237</v>
      </c>
      <c r="B22" s="124">
        <v>6.0812734913732513E-2</v>
      </c>
      <c r="C22" s="124">
        <v>7.3015945988720313E-2</v>
      </c>
      <c r="D22" s="124">
        <v>1.6340343013618006E-2</v>
      </c>
      <c r="E22" s="124">
        <f t="shared" ref="E22:F25" si="0">C22/B22-1</f>
        <v>0.20066867724826021</v>
      </c>
      <c r="F22" s="124">
        <f t="shared" si="0"/>
        <v>-0.77620856934261584</v>
      </c>
    </row>
    <row r="23" spans="1:6" x14ac:dyDescent="0.25">
      <c r="A23" t="s">
        <v>238</v>
      </c>
      <c r="B23" s="115">
        <v>76.932083333333338</v>
      </c>
      <c r="C23" s="115">
        <v>76.607083333333335</v>
      </c>
      <c r="D23" s="115">
        <v>79.410416666666663</v>
      </c>
      <c r="E23" s="118">
        <f t="shared" si="0"/>
        <v>-4.2245053808284139E-3</v>
      </c>
      <c r="F23" s="124">
        <f t="shared" si="0"/>
        <v>3.6593657026928517E-2</v>
      </c>
    </row>
    <row r="24" spans="1:6" x14ac:dyDescent="0.25">
      <c r="A24" t="s">
        <v>239</v>
      </c>
      <c r="B24" s="153">
        <v>0</v>
      </c>
      <c r="C24" s="153">
        <v>139563974.28985512</v>
      </c>
      <c r="D24" s="153">
        <v>176241352.1977751</v>
      </c>
      <c r="E24" s="124"/>
      <c r="F24" s="124">
        <f t="shared" si="0"/>
        <v>0.26279975254750276</v>
      </c>
    </row>
    <row r="25" spans="1:6" x14ac:dyDescent="0.25">
      <c r="A25" t="s">
        <v>240</v>
      </c>
      <c r="B25" s="115">
        <v>31.908333333333331</v>
      </c>
      <c r="C25" s="115">
        <v>5.75</v>
      </c>
      <c r="D25" s="115">
        <v>0</v>
      </c>
      <c r="E25" s="124">
        <f t="shared" si="0"/>
        <v>-0.81979629145991118</v>
      </c>
      <c r="F25" s="124">
        <f t="shared" si="0"/>
        <v>-1</v>
      </c>
    </row>
    <row r="26" spans="1:6" x14ac:dyDescent="0.25">
      <c r="A26" s="120" t="s">
        <v>228</v>
      </c>
      <c r="B26" s="113">
        <v>15817.120324389934</v>
      </c>
      <c r="C26" s="113">
        <v>18229.289494189801</v>
      </c>
      <c r="D26" s="113">
        <v>19657.273650075065</v>
      </c>
      <c r="E26" s="124">
        <f t="shared" ref="E26" si="1">C26/B26-1</f>
        <v>0.15250368716486973</v>
      </c>
      <c r="F26" s="124">
        <f t="shared" ref="F26" si="2">D26/C26-1</f>
        <v>7.8334603021165572E-2</v>
      </c>
    </row>
    <row r="27" spans="1:6" x14ac:dyDescent="0.25">
      <c r="A27" s="120" t="s">
        <v>229</v>
      </c>
      <c r="B27" s="113">
        <v>3856.0564219132075</v>
      </c>
      <c r="C27" s="113">
        <v>4943.1281305327993</v>
      </c>
      <c r="D27" s="113">
        <v>4745.0780941992989</v>
      </c>
      <c r="E27" s="124">
        <f t="shared" ref="E27" si="3">C27/B27-1</f>
        <v>0.2819128118670613</v>
      </c>
      <c r="F27" s="124">
        <f t="shared" ref="F27" si="4">D27/C27-1</f>
        <v>-4.0065729858423382E-2</v>
      </c>
    </row>
    <row r="28" spans="1:6" x14ac:dyDescent="0.25">
      <c r="E28" s="124" t="e">
        <f t="shared" ref="E28:E29" si="5">C28/B28-1</f>
        <v>#DIV/0!</v>
      </c>
      <c r="F28" s="124" t="e">
        <f t="shared" ref="F28:F29" si="6">D28/C28-1</f>
        <v>#DIV/0!</v>
      </c>
    </row>
    <row r="29" spans="1:6" x14ac:dyDescent="0.25">
      <c r="B29">
        <v>7</v>
      </c>
      <c r="C29">
        <v>9</v>
      </c>
      <c r="D29">
        <v>3</v>
      </c>
      <c r="E29" s="124">
        <f t="shared" si="5"/>
        <v>0.28571428571428581</v>
      </c>
      <c r="F29" s="124">
        <f t="shared" si="6"/>
        <v>-0.66666666666666674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83BD-2424-4FE1-8700-9777C55CBF8D}">
  <sheetPr codeName="Sheet9">
    <tabColor theme="1"/>
  </sheetPr>
  <dimension ref="A1:BQ44"/>
  <sheetViews>
    <sheetView topLeftCell="AP1" zoomScaleNormal="100" workbookViewId="0">
      <selection activeCell="BQ1" sqref="BQ1"/>
    </sheetView>
  </sheetViews>
  <sheetFormatPr defaultRowHeight="15" x14ac:dyDescent="0.25"/>
  <cols>
    <col min="1" max="1" width="8.5703125" bestFit="1" customWidth="1"/>
    <col min="2" max="2" width="10.7109375" bestFit="1" customWidth="1"/>
    <col min="3" max="3" width="10.7109375" customWidth="1"/>
    <col min="4" max="4" width="9" bestFit="1" customWidth="1"/>
    <col min="5" max="5" width="11.140625" bestFit="1" customWidth="1"/>
    <col min="6" max="6" width="8.85546875" bestFit="1" customWidth="1"/>
    <col min="7" max="7" width="9" bestFit="1" customWidth="1"/>
    <col min="8" max="8" width="8.85546875" bestFit="1" customWidth="1"/>
    <col min="9" max="9" width="8.28515625" bestFit="1" customWidth="1"/>
    <col min="11" max="11" width="8.5703125" bestFit="1" customWidth="1"/>
    <col min="12" max="12" width="8.85546875" bestFit="1" customWidth="1"/>
    <col min="14" max="14" width="8.85546875" bestFit="1" customWidth="1"/>
    <col min="15" max="15" width="8.85546875" customWidth="1"/>
    <col min="16" max="16" width="8.85546875" bestFit="1" customWidth="1"/>
    <col min="17" max="22" width="10.140625" bestFit="1" customWidth="1"/>
    <col min="23" max="23" width="9" bestFit="1" customWidth="1"/>
    <col min="25" max="25" width="8.7109375" bestFit="1" customWidth="1"/>
    <col min="28" max="28" width="10.140625" bestFit="1" customWidth="1"/>
    <col min="30" max="30" width="10.140625" bestFit="1" customWidth="1"/>
    <col min="32" max="32" width="10.140625" bestFit="1" customWidth="1"/>
    <col min="33" max="34" width="9" bestFit="1" customWidth="1"/>
    <col min="36" max="36" width="9" bestFit="1" customWidth="1"/>
    <col min="38" max="38" width="11.140625" bestFit="1" customWidth="1"/>
    <col min="39" max="40" width="10.140625" bestFit="1" customWidth="1"/>
    <col min="41" max="41" width="11.140625" bestFit="1" customWidth="1"/>
    <col min="42" max="42" width="8.5703125" bestFit="1" customWidth="1"/>
    <col min="43" max="43" width="8.85546875" bestFit="1" customWidth="1"/>
    <col min="44" max="44" width="8.5703125" bestFit="1" customWidth="1"/>
    <col min="45" max="45" width="6.5703125" bestFit="1" customWidth="1"/>
    <col min="46" max="46" width="8.28515625" bestFit="1" customWidth="1"/>
    <col min="47" max="47" width="8.7109375" bestFit="1" customWidth="1"/>
    <col min="48" max="48" width="8.28515625" bestFit="1" customWidth="1"/>
    <col min="49" max="49" width="8.42578125" bestFit="1" customWidth="1"/>
    <col min="50" max="50" width="8.85546875" bestFit="1" customWidth="1"/>
    <col min="54" max="54" width="14.42578125" bestFit="1" customWidth="1"/>
    <col min="55" max="55" width="16.7109375" bestFit="1" customWidth="1"/>
    <col min="56" max="56" width="13.140625" bestFit="1" customWidth="1"/>
  </cols>
  <sheetData>
    <row r="1" spans="1:69" ht="75" x14ac:dyDescent="0.25">
      <c r="A1" s="86" t="s">
        <v>138</v>
      </c>
      <c r="B1" s="55" t="s">
        <v>1</v>
      </c>
      <c r="C1" s="21" t="s">
        <v>8</v>
      </c>
      <c r="D1" s="55" t="s">
        <v>139</v>
      </c>
      <c r="E1" s="55" t="s">
        <v>140</v>
      </c>
      <c r="F1" s="55" t="s">
        <v>36</v>
      </c>
      <c r="G1" s="55" t="s">
        <v>39</v>
      </c>
      <c r="H1" s="55" t="s">
        <v>41</v>
      </c>
      <c r="I1" s="55" t="s">
        <v>141</v>
      </c>
      <c r="J1" s="55" t="s">
        <v>142</v>
      </c>
      <c r="K1" s="55" t="s">
        <v>44</v>
      </c>
      <c r="L1" s="55" t="s">
        <v>143</v>
      </c>
      <c r="M1" s="55" t="s">
        <v>144</v>
      </c>
      <c r="N1" s="55" t="s">
        <v>48</v>
      </c>
      <c r="O1" s="55" t="s">
        <v>241</v>
      </c>
      <c r="P1" s="55" t="s">
        <v>145</v>
      </c>
      <c r="Q1" s="55" t="s">
        <v>146</v>
      </c>
      <c r="R1" s="192" t="s">
        <v>147</v>
      </c>
      <c r="S1" s="55" t="s">
        <v>148</v>
      </c>
      <c r="T1" s="192" t="s">
        <v>149</v>
      </c>
      <c r="U1" s="55" t="s">
        <v>50</v>
      </c>
      <c r="V1" s="192" t="s">
        <v>51</v>
      </c>
      <c r="W1" s="55" t="s">
        <v>54</v>
      </c>
      <c r="X1" s="192" t="s">
        <v>55</v>
      </c>
      <c r="Y1" s="55" t="s">
        <v>150</v>
      </c>
      <c r="Z1" s="55" t="s">
        <v>56</v>
      </c>
      <c r="AA1" s="192" t="s">
        <v>57</v>
      </c>
      <c r="AB1" s="192" t="s">
        <v>59</v>
      </c>
      <c r="AC1" s="55" t="s">
        <v>58</v>
      </c>
      <c r="AD1" s="192" t="s">
        <v>62</v>
      </c>
      <c r="AE1" s="55" t="s">
        <v>61</v>
      </c>
      <c r="AF1" s="192" t="s">
        <v>151</v>
      </c>
      <c r="AG1" s="55" t="s">
        <v>152</v>
      </c>
      <c r="AH1" s="55" t="s">
        <v>153</v>
      </c>
      <c r="AI1" s="55" t="s">
        <v>154</v>
      </c>
      <c r="AJ1" s="55" t="s">
        <v>155</v>
      </c>
      <c r="AK1" s="55" t="s">
        <v>63</v>
      </c>
      <c r="AL1" s="55" t="s">
        <v>156</v>
      </c>
      <c r="AM1" s="55" t="s">
        <v>157</v>
      </c>
      <c r="AN1" s="55" t="s">
        <v>158</v>
      </c>
      <c r="AO1" s="55" t="s">
        <v>64</v>
      </c>
      <c r="AP1" s="55" t="s">
        <v>67</v>
      </c>
      <c r="AQ1" s="55" t="s">
        <v>70</v>
      </c>
      <c r="AR1" s="55" t="s">
        <v>159</v>
      </c>
      <c r="AS1" s="55" t="s">
        <v>160</v>
      </c>
      <c r="AT1" s="55" t="s">
        <v>161</v>
      </c>
      <c r="AU1" s="55" t="s">
        <v>71</v>
      </c>
      <c r="AV1" s="55" t="s">
        <v>72</v>
      </c>
      <c r="AW1" s="55" t="s">
        <v>73</v>
      </c>
      <c r="AX1" s="55" t="s">
        <v>162</v>
      </c>
      <c r="AY1" t="s">
        <v>6</v>
      </c>
      <c r="AZ1" t="s">
        <v>5</v>
      </c>
      <c r="BA1" t="s">
        <v>242</v>
      </c>
      <c r="BB1" t="s">
        <v>243</v>
      </c>
      <c r="BC1" t="s">
        <v>244</v>
      </c>
      <c r="BD1" t="s">
        <v>245</v>
      </c>
      <c r="BE1" t="s">
        <v>246</v>
      </c>
      <c r="BF1" t="s">
        <v>247</v>
      </c>
      <c r="BG1" t="s">
        <v>248</v>
      </c>
      <c r="BH1" t="s">
        <v>249</v>
      </c>
      <c r="BI1" t="s">
        <v>250</v>
      </c>
      <c r="BJ1" t="s">
        <v>251</v>
      </c>
      <c r="BK1" t="s">
        <v>252</v>
      </c>
      <c r="BL1" t="s">
        <v>253</v>
      </c>
      <c r="BM1" t="s">
        <v>254</v>
      </c>
      <c r="BN1" t="s">
        <v>255</v>
      </c>
      <c r="BO1" t="s">
        <v>256</v>
      </c>
      <c r="BP1" t="s">
        <v>257</v>
      </c>
      <c r="BQ1" t="s">
        <v>258</v>
      </c>
    </row>
    <row r="2" spans="1:69" x14ac:dyDescent="0.25">
      <c r="A2" s="87" t="s">
        <v>163</v>
      </c>
      <c r="B2" s="56">
        <v>44440</v>
      </c>
      <c r="C2" s="4" t="s">
        <v>11</v>
      </c>
      <c r="D2" s="57">
        <v>3309.9679999999998</v>
      </c>
      <c r="E2" s="57">
        <v>268358070</v>
      </c>
      <c r="F2" s="57">
        <v>81075.729000000007</v>
      </c>
      <c r="G2" s="57">
        <v>15727.3875062548</v>
      </c>
      <c r="H2" s="57">
        <v>75.557000000000002</v>
      </c>
      <c r="I2" s="57">
        <v>89.316000000000003</v>
      </c>
      <c r="J2" s="57">
        <v>57.873329499999997</v>
      </c>
      <c r="K2" s="57">
        <v>77.155250498757297</v>
      </c>
      <c r="L2" s="58">
        <v>0.14746771586798699</v>
      </c>
      <c r="M2" s="58">
        <v>0.14746771586798699</v>
      </c>
      <c r="N2" s="58">
        <v>0.14746771586798699</v>
      </c>
      <c r="O2" s="154">
        <f>IF(N2&gt;0,1,0)</f>
        <v>1</v>
      </c>
      <c r="P2" s="58">
        <v>0.14746771586798699</v>
      </c>
      <c r="Q2" s="57">
        <v>0</v>
      </c>
      <c r="R2" s="57">
        <v>0</v>
      </c>
      <c r="S2" s="57">
        <v>0</v>
      </c>
      <c r="T2" s="57">
        <v>0</v>
      </c>
      <c r="U2" s="57">
        <v>0</v>
      </c>
      <c r="V2" s="57">
        <v>0</v>
      </c>
      <c r="W2" s="57">
        <v>0</v>
      </c>
      <c r="X2" s="57">
        <v>0</v>
      </c>
      <c r="Y2" s="57">
        <v>0</v>
      </c>
      <c r="Z2" s="57">
        <v>0</v>
      </c>
      <c r="AA2" s="57">
        <v>0</v>
      </c>
      <c r="AB2" s="57">
        <v>0</v>
      </c>
      <c r="AC2" s="57">
        <v>0</v>
      </c>
      <c r="AD2" s="57">
        <v>0</v>
      </c>
      <c r="AE2" s="57">
        <v>0</v>
      </c>
      <c r="AF2" s="57">
        <v>0</v>
      </c>
      <c r="AG2" s="57">
        <v>0</v>
      </c>
      <c r="AH2" s="57">
        <v>468.20819533616299</v>
      </c>
      <c r="AI2" s="57">
        <v>268.21275275945698</v>
      </c>
      <c r="AJ2" s="57">
        <v>39.402785614132902</v>
      </c>
      <c r="AK2" s="57">
        <v>775.82373370975301</v>
      </c>
      <c r="AL2" s="57">
        <v>0</v>
      </c>
      <c r="AM2" s="57">
        <v>0</v>
      </c>
      <c r="AN2" s="57">
        <v>0</v>
      </c>
      <c r="AO2" s="57">
        <v>0</v>
      </c>
      <c r="AP2" s="59">
        <v>1.177877488</v>
      </c>
      <c r="AQ2" s="57">
        <v>12.1</v>
      </c>
      <c r="AR2" s="57">
        <v>8.4056111552988</v>
      </c>
      <c r="AS2" s="57">
        <v>16026.5949762</v>
      </c>
      <c r="AT2" s="57">
        <v>38.602874999999997</v>
      </c>
      <c r="AU2" s="57">
        <v>58.1</v>
      </c>
      <c r="AV2" s="57">
        <v>0</v>
      </c>
      <c r="AW2" s="57">
        <v>1</v>
      </c>
      <c r="AX2" s="57">
        <v>0</v>
      </c>
      <c r="AY2" s="112">
        <v>2.0832139200916762E-2</v>
      </c>
      <c r="AZ2" s="113">
        <v>-68.953714126580053</v>
      </c>
      <c r="BA2" s="113">
        <v>2486.3068578007301</v>
      </c>
      <c r="BB2" s="113">
        <v>-405.807705849858</v>
      </c>
      <c r="BC2" s="113">
        <v>23.457837198065398</v>
      </c>
      <c r="BD2" s="113">
        <v>88.337516913782594</v>
      </c>
      <c r="BE2" s="113">
        <v>-41.214992296714897</v>
      </c>
      <c r="BF2" s="113">
        <v>602.363640036314</v>
      </c>
      <c r="BG2" s="113">
        <v>4.5318190105233498E-8</v>
      </c>
      <c r="BH2" s="113">
        <v>2.4060811361772499E-8</v>
      </c>
      <c r="BI2" s="113">
        <v>3.5499081134420703E-8</v>
      </c>
      <c r="BJ2" s="113">
        <v>2.09101244950685E-8</v>
      </c>
      <c r="BK2" s="113">
        <v>3.62337666511555E-9</v>
      </c>
      <c r="BL2" s="113">
        <v>-72.034821602553606</v>
      </c>
      <c r="BM2" s="113">
        <v>-138.30448343515999</v>
      </c>
      <c r="BN2" s="113">
        <v>-190.76284054744201</v>
      </c>
      <c r="BO2" s="113">
        <v>508.04527659664097</v>
      </c>
      <c r="BP2" s="113">
        <v>0</v>
      </c>
      <c r="BQ2" s="113">
        <v>518.53542918336302</v>
      </c>
    </row>
    <row r="3" spans="1:69" x14ac:dyDescent="0.25">
      <c r="A3" s="87" t="s">
        <v>163</v>
      </c>
      <c r="B3" s="56">
        <v>44470</v>
      </c>
      <c r="C3" s="4" t="s">
        <v>11</v>
      </c>
      <c r="D3" s="57">
        <v>3028.2979999999998</v>
      </c>
      <c r="E3" s="57">
        <v>248996747.59299999</v>
      </c>
      <c r="F3" s="57">
        <v>82223.331000000006</v>
      </c>
      <c r="G3" s="57">
        <v>15195.1631933478</v>
      </c>
      <c r="H3" s="57">
        <v>78.861999999999995</v>
      </c>
      <c r="I3" s="57">
        <v>91.332999999999998</v>
      </c>
      <c r="J3" s="57">
        <v>59.345454500000002</v>
      </c>
      <c r="K3" s="57">
        <v>79.372791137919606</v>
      </c>
      <c r="L3" s="58">
        <v>0.135400383678665</v>
      </c>
      <c r="M3" s="58">
        <v>0.135400383678665</v>
      </c>
      <c r="N3" s="58">
        <v>0.135400383678665</v>
      </c>
      <c r="O3" s="154">
        <f t="shared" ref="O3:O38" si="0">IF(N3&gt;0,1,0)</f>
        <v>1</v>
      </c>
      <c r="P3" s="58">
        <v>0.135400383678665</v>
      </c>
      <c r="Q3" s="57">
        <v>0</v>
      </c>
      <c r="R3" s="57">
        <v>0</v>
      </c>
      <c r="S3" s="57">
        <v>0</v>
      </c>
      <c r="T3" s="57">
        <v>0</v>
      </c>
      <c r="U3" s="57">
        <v>0</v>
      </c>
      <c r="V3" s="57">
        <v>0</v>
      </c>
      <c r="W3" s="57">
        <v>0</v>
      </c>
      <c r="X3" s="57">
        <v>0</v>
      </c>
      <c r="Y3" s="57">
        <v>56</v>
      </c>
      <c r="Z3" s="57">
        <v>0</v>
      </c>
      <c r="AA3" s="57">
        <v>0</v>
      </c>
      <c r="AB3" s="57">
        <v>0</v>
      </c>
      <c r="AC3" s="57">
        <v>0</v>
      </c>
      <c r="AD3" s="57">
        <v>0</v>
      </c>
      <c r="AE3" s="57">
        <v>0</v>
      </c>
      <c r="AF3" s="57">
        <v>0</v>
      </c>
      <c r="AG3" s="57">
        <v>0</v>
      </c>
      <c r="AH3" s="57">
        <v>3.37702619284391</v>
      </c>
      <c r="AI3" s="57">
        <v>170.112766385078</v>
      </c>
      <c r="AJ3" s="57">
        <v>60.249909833073602</v>
      </c>
      <c r="AK3" s="57">
        <v>233.73970241099599</v>
      </c>
      <c r="AL3" s="57">
        <v>0</v>
      </c>
      <c r="AM3" s="57">
        <v>0</v>
      </c>
      <c r="AN3" s="57">
        <v>0</v>
      </c>
      <c r="AO3" s="57">
        <v>0</v>
      </c>
      <c r="AP3" s="59">
        <v>1.3410165000000001</v>
      </c>
      <c r="AQ3" s="57">
        <v>14.8</v>
      </c>
      <c r="AR3" s="57">
        <v>8.0766005069858995</v>
      </c>
      <c r="AS3" s="57">
        <v>16026.5949762</v>
      </c>
      <c r="AT3" s="57">
        <v>38.294674999999998</v>
      </c>
      <c r="AU3" s="57">
        <v>37.700000000000003</v>
      </c>
      <c r="AV3" s="57">
        <v>0</v>
      </c>
      <c r="AW3" s="57">
        <v>0</v>
      </c>
      <c r="AX3" s="57">
        <v>0</v>
      </c>
      <c r="AY3" s="112">
        <v>3.0978030802665358E-2</v>
      </c>
      <c r="AZ3" s="113">
        <v>93.810708723649896</v>
      </c>
      <c r="BA3" s="113">
        <v>2472.8050198772999</v>
      </c>
      <c r="BB3" s="113">
        <v>-300.40606338852598</v>
      </c>
      <c r="BC3" s="113">
        <v>3.25198254240627</v>
      </c>
      <c r="BD3" s="113">
        <v>348.14222628112998</v>
      </c>
      <c r="BE3" s="113">
        <v>-77.633850889765696</v>
      </c>
      <c r="BF3" s="113">
        <v>662.25311097081396</v>
      </c>
      <c r="BG3" s="113">
        <v>4.4237048867877399E-8</v>
      </c>
      <c r="BH3" s="113">
        <v>2.36856737434794E-8</v>
      </c>
      <c r="BI3" s="113">
        <v>3.5473090885576498E-8</v>
      </c>
      <c r="BJ3" s="113">
        <v>2.2251739465110201E-8</v>
      </c>
      <c r="BK3" s="113">
        <v>3.9543282984732304E-9</v>
      </c>
      <c r="BL3" s="113">
        <v>-72.448132634343096</v>
      </c>
      <c r="BM3" s="113">
        <v>-156.981204591216</v>
      </c>
      <c r="BN3" s="113">
        <v>-312.01808851802599</v>
      </c>
      <c r="BO3" s="113">
        <v>367.52229149698002</v>
      </c>
      <c r="BP3" s="113">
        <v>0</v>
      </c>
      <c r="BQ3" s="113">
        <v>0</v>
      </c>
    </row>
    <row r="4" spans="1:69" x14ac:dyDescent="0.25">
      <c r="A4" s="87" t="s">
        <v>163</v>
      </c>
      <c r="B4" s="56">
        <v>44501</v>
      </c>
      <c r="C4" s="4" t="s">
        <v>11</v>
      </c>
      <c r="D4" s="57">
        <v>2525.5610000000001</v>
      </c>
      <c r="E4" s="57">
        <v>212570823</v>
      </c>
      <c r="F4" s="57">
        <v>84167.763999999996</v>
      </c>
      <c r="G4" s="57">
        <v>15021.6500137779</v>
      </c>
      <c r="H4" s="57">
        <v>78.117999999999995</v>
      </c>
      <c r="I4" s="57">
        <v>91.82</v>
      </c>
      <c r="J4" s="57">
        <v>59.635036499999998</v>
      </c>
      <c r="K4" s="57">
        <v>80.879468189047103</v>
      </c>
      <c r="L4" s="58">
        <v>0.114954167193437</v>
      </c>
      <c r="M4" s="58">
        <v>0.114954167193437</v>
      </c>
      <c r="N4" s="58">
        <v>0.114954167193437</v>
      </c>
      <c r="O4" s="154">
        <f t="shared" si="0"/>
        <v>1</v>
      </c>
      <c r="P4" s="58">
        <v>0.114954167193437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7">
        <v>0</v>
      </c>
      <c r="X4" s="57">
        <v>0</v>
      </c>
      <c r="Y4" s="57">
        <v>96</v>
      </c>
      <c r="Z4" s="57">
        <v>0</v>
      </c>
      <c r="AA4" s="57">
        <v>0</v>
      </c>
      <c r="AB4" s="57">
        <v>0</v>
      </c>
      <c r="AC4" s="57">
        <v>0</v>
      </c>
      <c r="AD4" s="57">
        <v>0</v>
      </c>
      <c r="AE4" s="57">
        <v>0</v>
      </c>
      <c r="AF4" s="57">
        <v>0</v>
      </c>
      <c r="AG4" s="57">
        <v>0</v>
      </c>
      <c r="AH4" s="57">
        <v>581.69393175840401</v>
      </c>
      <c r="AI4" s="57">
        <v>174.699480950832</v>
      </c>
      <c r="AJ4" s="57">
        <v>5.5167764127254504</v>
      </c>
      <c r="AK4" s="57">
        <v>761.91018912196205</v>
      </c>
      <c r="AL4" s="57">
        <v>0</v>
      </c>
      <c r="AM4" s="57">
        <v>0</v>
      </c>
      <c r="AN4" s="57">
        <v>0</v>
      </c>
      <c r="AO4" s="57">
        <v>0</v>
      </c>
      <c r="AP4" s="59">
        <v>0.49877719199999998</v>
      </c>
      <c r="AQ4" s="57">
        <v>17.8</v>
      </c>
      <c r="AR4" s="57">
        <v>7.5276490552739999</v>
      </c>
      <c r="AS4" s="57">
        <v>16026.5949762</v>
      </c>
      <c r="AT4" s="57">
        <v>34.230894999999997</v>
      </c>
      <c r="AU4" s="57">
        <v>32.200000000000003</v>
      </c>
      <c r="AV4" s="57">
        <v>0</v>
      </c>
      <c r="AW4" s="57">
        <v>0</v>
      </c>
      <c r="AX4" s="57">
        <v>0</v>
      </c>
      <c r="AY4" s="112">
        <v>7.0298551924483338E-2</v>
      </c>
      <c r="AZ4" s="113">
        <v>-177.54328109695007</v>
      </c>
      <c r="BA4" s="113">
        <v>2469.03999939717</v>
      </c>
      <c r="BB4" s="113">
        <v>-296.870941383331</v>
      </c>
      <c r="BC4" s="113">
        <v>0</v>
      </c>
      <c r="BD4" s="113">
        <v>317.97257976898601</v>
      </c>
      <c r="BE4" s="113">
        <v>-106.07662389678001</v>
      </c>
      <c r="BF4" s="113">
        <v>581.10767844492898</v>
      </c>
      <c r="BG4" s="113">
        <v>4.3414245480788497E-8</v>
      </c>
      <c r="BH4" s="113">
        <v>2.3657323366789001E-8</v>
      </c>
      <c r="BI4" s="113">
        <v>3.52780814949017E-8</v>
      </c>
      <c r="BJ4" s="113">
        <v>2.3129083605068002E-8</v>
      </c>
      <c r="BK4" s="113">
        <v>3.9226534724182897E-9</v>
      </c>
      <c r="BL4" s="113">
        <v>-79.624360053510102</v>
      </c>
      <c r="BM4" s="113">
        <v>-58.628364426772997</v>
      </c>
      <c r="BN4" s="113">
        <v>-450.08939582860302</v>
      </c>
      <c r="BO4" s="113">
        <v>326.27370894545402</v>
      </c>
      <c r="BP4" s="113">
        <v>0</v>
      </c>
      <c r="BQ4" s="113">
        <v>0</v>
      </c>
    </row>
    <row r="5" spans="1:69" x14ac:dyDescent="0.25">
      <c r="A5" s="87" t="s">
        <v>163</v>
      </c>
      <c r="B5" s="56">
        <v>44531</v>
      </c>
      <c r="C5" s="4" t="s">
        <v>11</v>
      </c>
      <c r="D5" s="57">
        <v>2741.46</v>
      </c>
      <c r="E5" s="57">
        <v>260712553</v>
      </c>
      <c r="F5" s="57">
        <v>95099.892999999996</v>
      </c>
      <c r="G5" s="57">
        <v>14951.082065872601</v>
      </c>
      <c r="H5" s="57">
        <v>77.146000000000001</v>
      </c>
      <c r="I5" s="57">
        <v>91.677000000000007</v>
      </c>
      <c r="J5" s="57">
        <v>59.453170399999998</v>
      </c>
      <c r="K5" s="57">
        <v>80.035331751232704</v>
      </c>
      <c r="L5" s="58">
        <v>0</v>
      </c>
      <c r="M5" s="58">
        <v>0</v>
      </c>
      <c r="N5" s="58">
        <v>0</v>
      </c>
      <c r="O5" s="154">
        <f t="shared" si="0"/>
        <v>0</v>
      </c>
      <c r="P5" s="58">
        <v>0</v>
      </c>
      <c r="Q5" s="57">
        <v>0</v>
      </c>
      <c r="R5" s="57">
        <v>0</v>
      </c>
      <c r="S5" s="57">
        <v>0</v>
      </c>
      <c r="T5" s="57">
        <v>0</v>
      </c>
      <c r="U5" s="57">
        <v>0</v>
      </c>
      <c r="V5" s="57">
        <v>0</v>
      </c>
      <c r="W5" s="57">
        <v>0</v>
      </c>
      <c r="X5" s="57">
        <v>0</v>
      </c>
      <c r="Y5" s="57">
        <v>107</v>
      </c>
      <c r="Z5" s="57">
        <v>0</v>
      </c>
      <c r="AA5" s="57">
        <v>0</v>
      </c>
      <c r="AB5" s="57">
        <v>0</v>
      </c>
      <c r="AC5" s="57">
        <v>0</v>
      </c>
      <c r="AD5" s="57">
        <v>0</v>
      </c>
      <c r="AE5" s="57">
        <v>0</v>
      </c>
      <c r="AF5" s="57">
        <v>0</v>
      </c>
      <c r="AG5" s="57">
        <v>0</v>
      </c>
      <c r="AH5" s="57">
        <v>43.972822815179804</v>
      </c>
      <c r="AI5" s="57">
        <v>179.249939799309</v>
      </c>
      <c r="AJ5" s="57">
        <v>10.022853657603299</v>
      </c>
      <c r="AK5" s="57">
        <v>233.24561627209201</v>
      </c>
      <c r="AL5" s="57">
        <v>0</v>
      </c>
      <c r="AM5" s="57">
        <v>0</v>
      </c>
      <c r="AN5" s="57">
        <v>0</v>
      </c>
      <c r="AO5" s="57">
        <v>0</v>
      </c>
      <c r="AP5" s="59">
        <v>0.78140216399999995</v>
      </c>
      <c r="AQ5" s="57">
        <v>20</v>
      </c>
      <c r="AR5" s="57">
        <v>7.1898934478904</v>
      </c>
      <c r="AS5" s="57">
        <v>16026.5949762</v>
      </c>
      <c r="AT5" s="57">
        <v>33.701884999999997</v>
      </c>
      <c r="AU5" s="57">
        <v>31.6</v>
      </c>
      <c r="AV5" s="57">
        <v>0</v>
      </c>
      <c r="AW5" s="57">
        <v>0</v>
      </c>
      <c r="AX5" s="57">
        <v>1</v>
      </c>
      <c r="AY5" s="112">
        <v>0.16290525754703339</v>
      </c>
      <c r="AZ5" s="113">
        <v>446.59824735489019</v>
      </c>
      <c r="BA5" s="113">
        <v>2447.4368359373102</v>
      </c>
      <c r="BB5" s="113">
        <v>-142.06704997713399</v>
      </c>
      <c r="BC5" s="113">
        <v>16.158530089885701</v>
      </c>
      <c r="BD5" s="113">
        <v>312.59824911967598</v>
      </c>
      <c r="BE5" s="113">
        <v>-82.661177705094801</v>
      </c>
      <c r="BF5" s="113">
        <v>91.953482452882596</v>
      </c>
      <c r="BG5" s="113">
        <v>4.2091654425249099E-8</v>
      </c>
      <c r="BH5" s="113">
        <v>2.3005333804191E-8</v>
      </c>
      <c r="BI5" s="113">
        <v>3.5404535137915803E-8</v>
      </c>
      <c r="BJ5" s="113">
        <v>2.48737939297717E-8</v>
      </c>
      <c r="BK5" s="113">
        <v>4.5340985985508402E-9</v>
      </c>
      <c r="BL5" s="113">
        <v>-86.216045908330699</v>
      </c>
      <c r="BM5" s="113">
        <v>-91.119559142992003</v>
      </c>
      <c r="BN5" s="113">
        <v>-540.29591902155198</v>
      </c>
      <c r="BO5" s="113">
        <v>369.07440667054698</v>
      </c>
      <c r="BP5" s="113">
        <v>0</v>
      </c>
      <c r="BQ5" s="113">
        <v>0</v>
      </c>
    </row>
    <row r="6" spans="1:69" x14ac:dyDescent="0.25">
      <c r="A6" s="87" t="s">
        <v>163</v>
      </c>
      <c r="B6" s="56">
        <v>44562</v>
      </c>
      <c r="C6" s="4" t="s">
        <v>11</v>
      </c>
      <c r="D6" s="57">
        <v>2120.7910000000002</v>
      </c>
      <c r="E6" s="57">
        <v>178952366</v>
      </c>
      <c r="F6" s="57">
        <v>84380.01</v>
      </c>
      <c r="G6" s="57">
        <v>15075.672614555901</v>
      </c>
      <c r="H6" s="57">
        <v>76.95</v>
      </c>
      <c r="I6" s="57">
        <v>89.608999999999995</v>
      </c>
      <c r="J6" s="57">
        <v>59.753444500000001</v>
      </c>
      <c r="K6" s="57">
        <v>78.478416445387197</v>
      </c>
      <c r="L6" s="58">
        <v>0.112722345544595</v>
      </c>
      <c r="M6" s="58">
        <v>0.112722345544595</v>
      </c>
      <c r="N6" s="58">
        <v>0.112722345544595</v>
      </c>
      <c r="O6" s="154">
        <f t="shared" si="0"/>
        <v>1</v>
      </c>
      <c r="P6" s="58">
        <v>0.112722345544595</v>
      </c>
      <c r="Q6" s="57">
        <v>0</v>
      </c>
      <c r="R6" s="57">
        <v>0</v>
      </c>
      <c r="S6" s="57">
        <v>0</v>
      </c>
      <c r="T6" s="57">
        <v>0</v>
      </c>
      <c r="U6" s="57">
        <v>0</v>
      </c>
      <c r="V6" s="57">
        <v>0</v>
      </c>
      <c r="W6" s="57">
        <v>0</v>
      </c>
      <c r="X6" s="57">
        <v>0</v>
      </c>
      <c r="Y6" s="57">
        <v>104</v>
      </c>
      <c r="Z6" s="57">
        <v>0</v>
      </c>
      <c r="AA6" s="57">
        <v>0</v>
      </c>
      <c r="AB6" s="57">
        <v>0</v>
      </c>
      <c r="AC6" s="57">
        <v>0</v>
      </c>
      <c r="AD6" s="57">
        <v>0</v>
      </c>
      <c r="AE6" s="57">
        <v>0</v>
      </c>
      <c r="AF6" s="57">
        <v>0</v>
      </c>
      <c r="AG6" s="57">
        <v>0</v>
      </c>
      <c r="AH6" s="57">
        <v>16.111890137195601</v>
      </c>
      <c r="AI6" s="57">
        <v>0</v>
      </c>
      <c r="AJ6" s="57">
        <v>0</v>
      </c>
      <c r="AK6" s="57">
        <v>16.111890137195601</v>
      </c>
      <c r="AL6" s="57">
        <v>4270269.4723317204</v>
      </c>
      <c r="AM6" s="57">
        <v>0</v>
      </c>
      <c r="AN6" s="57">
        <v>0</v>
      </c>
      <c r="AO6" s="57">
        <v>4270269.4723317204</v>
      </c>
      <c r="AP6" s="59">
        <v>1.2011129330000001</v>
      </c>
      <c r="AQ6" s="57">
        <v>21.4</v>
      </c>
      <c r="AR6" s="57">
        <v>7.2714648197559999</v>
      </c>
      <c r="AS6" s="57">
        <v>15268.746239116001</v>
      </c>
      <c r="AT6" s="57">
        <v>34.950890000000001</v>
      </c>
      <c r="AU6" s="57">
        <v>29.9</v>
      </c>
      <c r="AV6" s="57">
        <v>0</v>
      </c>
      <c r="AW6" s="57">
        <v>0</v>
      </c>
      <c r="AX6" s="57">
        <v>0</v>
      </c>
      <c r="AY6" s="112">
        <v>9.0961250673220501E-2</v>
      </c>
      <c r="AZ6" s="113">
        <v>-192.90980177650999</v>
      </c>
      <c r="BA6" s="113">
        <v>2469.8362710900501</v>
      </c>
      <c r="BB6" s="113">
        <v>-328.68595808801302</v>
      </c>
      <c r="BC6" s="113">
        <v>11.907813680751801</v>
      </c>
      <c r="BD6" s="113">
        <v>250.44131200179001</v>
      </c>
      <c r="BE6" s="113">
        <v>-67.563189146046398</v>
      </c>
      <c r="BF6" s="113">
        <v>474.28450754404798</v>
      </c>
      <c r="BG6" s="113">
        <v>4.2168590417041297E-8</v>
      </c>
      <c r="BH6" s="113">
        <v>2.3638541308906801E-8</v>
      </c>
      <c r="BI6" s="113">
        <v>3.47755972442416E-8</v>
      </c>
      <c r="BJ6" s="113">
        <v>2.4087148836215301E-8</v>
      </c>
      <c r="BK6" s="113">
        <v>3.8383432292940997E-9</v>
      </c>
      <c r="BL6" s="113">
        <v>-43.124681689568398</v>
      </c>
      <c r="BM6" s="113">
        <v>-142.97646455642001</v>
      </c>
      <c r="BN6" s="113">
        <v>-620.55192359233797</v>
      </c>
      <c r="BO6" s="113">
        <v>310.13311440374798</v>
      </c>
      <c r="BP6" s="113">
        <v>0</v>
      </c>
      <c r="BQ6" s="113">
        <v>0</v>
      </c>
    </row>
    <row r="7" spans="1:69" x14ac:dyDescent="0.25">
      <c r="A7" s="87" t="s">
        <v>163</v>
      </c>
      <c r="B7" s="56">
        <v>44593</v>
      </c>
      <c r="C7" s="4" t="s">
        <v>11</v>
      </c>
      <c r="D7" s="57">
        <v>2025.4739999999999</v>
      </c>
      <c r="E7" s="57">
        <v>176413263</v>
      </c>
      <c r="F7" s="57">
        <v>87097.274000000005</v>
      </c>
      <c r="G7" s="57">
        <v>15329.9301795997</v>
      </c>
      <c r="H7" s="57">
        <v>77.933999999999997</v>
      </c>
      <c r="I7" s="57">
        <v>89.950999999999993</v>
      </c>
      <c r="J7" s="57">
        <v>58.502907</v>
      </c>
      <c r="K7" s="57">
        <v>78.672439722451003</v>
      </c>
      <c r="L7" s="58">
        <v>8.4149610978005995E-2</v>
      </c>
      <c r="M7" s="58">
        <v>8.4149610978005995E-2</v>
      </c>
      <c r="N7" s="58">
        <v>8.4149610978005995E-2</v>
      </c>
      <c r="O7" s="154">
        <f t="shared" si="0"/>
        <v>1</v>
      </c>
      <c r="P7" s="58">
        <v>8.4149610978005995E-2</v>
      </c>
      <c r="Q7" s="57">
        <v>0</v>
      </c>
      <c r="R7" s="57">
        <v>0</v>
      </c>
      <c r="S7" s="57">
        <v>0</v>
      </c>
      <c r="T7" s="57">
        <v>0</v>
      </c>
      <c r="U7" s="57">
        <v>0</v>
      </c>
      <c r="V7" s="57">
        <v>0</v>
      </c>
      <c r="W7" s="57">
        <v>0</v>
      </c>
      <c r="X7" s="57">
        <v>0</v>
      </c>
      <c r="Y7" s="57">
        <v>110</v>
      </c>
      <c r="Z7" s="57">
        <v>0</v>
      </c>
      <c r="AA7" s="57">
        <v>0</v>
      </c>
      <c r="AB7" s="57">
        <v>0</v>
      </c>
      <c r="AC7" s="57">
        <v>0</v>
      </c>
      <c r="AD7" s="57">
        <v>0</v>
      </c>
      <c r="AE7" s="57">
        <v>0</v>
      </c>
      <c r="AF7" s="57">
        <v>0</v>
      </c>
      <c r="AG7" s="57">
        <v>0</v>
      </c>
      <c r="AH7" s="57">
        <v>2.6243679523468</v>
      </c>
      <c r="AI7" s="57">
        <v>0</v>
      </c>
      <c r="AJ7" s="57">
        <v>0</v>
      </c>
      <c r="AK7" s="57">
        <v>2.6243679523468</v>
      </c>
      <c r="AL7" s="57">
        <v>33047.971514168101</v>
      </c>
      <c r="AM7" s="57">
        <v>0</v>
      </c>
      <c r="AN7" s="57">
        <v>0</v>
      </c>
      <c r="AO7" s="57">
        <v>33047.971514168101</v>
      </c>
      <c r="AP7" s="59">
        <v>0.28933381699999999</v>
      </c>
      <c r="AQ7" s="57">
        <v>20.7</v>
      </c>
      <c r="AR7" s="57">
        <v>7.4985219215408003</v>
      </c>
      <c r="AS7" s="57">
        <v>15268.746239116001</v>
      </c>
      <c r="AT7" s="57">
        <v>35.472745000000003</v>
      </c>
      <c r="AU7" s="57">
        <v>29.4</v>
      </c>
      <c r="AV7" s="57">
        <v>0</v>
      </c>
      <c r="AW7" s="57">
        <v>0</v>
      </c>
      <c r="AX7" s="57">
        <v>0</v>
      </c>
      <c r="AY7" s="112">
        <v>0.19669296097490765</v>
      </c>
      <c r="AZ7" s="113">
        <v>-398.39647843769012</v>
      </c>
      <c r="BA7" s="113">
        <v>2473.4602859516599</v>
      </c>
      <c r="BB7" s="113">
        <v>-401.391742793069</v>
      </c>
      <c r="BC7" s="113">
        <v>32.352805478062898</v>
      </c>
      <c r="BD7" s="113">
        <v>312.15807088727001</v>
      </c>
      <c r="BE7" s="113">
        <v>-73.834497353287105</v>
      </c>
      <c r="BF7" s="113">
        <v>407.44942462436501</v>
      </c>
      <c r="BG7" s="113">
        <v>4.1765390879411201E-8</v>
      </c>
      <c r="BH7" s="113">
        <v>2.3647194714937301E-8</v>
      </c>
      <c r="BI7" s="113">
        <v>3.4416746553248597E-8</v>
      </c>
      <c r="BJ7" s="113">
        <v>2.43217270033122E-8</v>
      </c>
      <c r="BK7" s="113">
        <v>3.71765953640389E-9</v>
      </c>
      <c r="BL7" s="113">
        <v>-2.04699146825187</v>
      </c>
      <c r="BM7" s="113">
        <v>-34.694541334687898</v>
      </c>
      <c r="BN7" s="113">
        <v>-591.38524836199895</v>
      </c>
      <c r="BO7" s="113">
        <v>301.80291267975201</v>
      </c>
      <c r="BP7" s="113">
        <v>0</v>
      </c>
      <c r="BQ7" s="113">
        <v>0</v>
      </c>
    </row>
    <row r="8" spans="1:69" x14ac:dyDescent="0.25">
      <c r="A8" s="87" t="s">
        <v>163</v>
      </c>
      <c r="B8" s="56">
        <v>44621</v>
      </c>
      <c r="C8" s="4" t="s">
        <v>11</v>
      </c>
      <c r="D8" s="57">
        <v>2782.846</v>
      </c>
      <c r="E8" s="57">
        <v>253028625</v>
      </c>
      <c r="F8" s="57">
        <v>90924.407999999996</v>
      </c>
      <c r="G8" s="57">
        <v>15728.3608935335</v>
      </c>
      <c r="H8" s="57">
        <v>76.572000000000003</v>
      </c>
      <c r="I8" s="57">
        <v>90.072999999999993</v>
      </c>
      <c r="J8" s="57">
        <v>60</v>
      </c>
      <c r="K8" s="57">
        <v>79.395652617142304</v>
      </c>
      <c r="L8" s="58">
        <v>0</v>
      </c>
      <c r="M8" s="58">
        <v>4.3906305972394699E-2</v>
      </c>
      <c r="N8" s="58">
        <v>0</v>
      </c>
      <c r="O8" s="154">
        <f t="shared" si="0"/>
        <v>0</v>
      </c>
      <c r="P8" s="58">
        <v>0</v>
      </c>
      <c r="Q8" s="57">
        <v>0</v>
      </c>
      <c r="R8" s="57">
        <v>0</v>
      </c>
      <c r="S8" s="57">
        <v>0</v>
      </c>
      <c r="T8" s="57">
        <v>0</v>
      </c>
      <c r="U8" s="57">
        <v>0</v>
      </c>
      <c r="V8" s="57">
        <v>0</v>
      </c>
      <c r="W8" s="57">
        <v>0</v>
      </c>
      <c r="X8" s="57">
        <v>0</v>
      </c>
      <c r="Y8" s="57">
        <v>122</v>
      </c>
      <c r="Z8" s="57">
        <v>0</v>
      </c>
      <c r="AA8" s="57">
        <v>0</v>
      </c>
      <c r="AB8" s="57">
        <v>0</v>
      </c>
      <c r="AC8" s="57">
        <v>0</v>
      </c>
      <c r="AD8" s="57">
        <v>0</v>
      </c>
      <c r="AE8" s="57">
        <v>0</v>
      </c>
      <c r="AF8" s="57">
        <v>0</v>
      </c>
      <c r="AG8" s="57">
        <v>0</v>
      </c>
      <c r="AH8" s="57">
        <v>0</v>
      </c>
      <c r="AI8" s="57">
        <v>0</v>
      </c>
      <c r="AJ8" s="57">
        <v>0</v>
      </c>
      <c r="AK8" s="57">
        <v>0</v>
      </c>
      <c r="AL8" s="57">
        <v>0</v>
      </c>
      <c r="AM8" s="57">
        <v>0</v>
      </c>
      <c r="AN8" s="57">
        <v>0</v>
      </c>
      <c r="AO8" s="57">
        <v>0</v>
      </c>
      <c r="AP8" s="59">
        <v>1.854507063</v>
      </c>
      <c r="AQ8" s="57">
        <v>18.899999999999999</v>
      </c>
      <c r="AR8" s="57">
        <v>7.7978651688704002</v>
      </c>
      <c r="AS8" s="57">
        <v>15268.746239116001</v>
      </c>
      <c r="AT8" s="57">
        <v>33.09346</v>
      </c>
      <c r="AU8" s="57">
        <v>29</v>
      </c>
      <c r="AV8" s="57">
        <v>0</v>
      </c>
      <c r="AW8" s="57">
        <v>0</v>
      </c>
      <c r="AX8" s="57">
        <v>0</v>
      </c>
      <c r="AY8" s="112">
        <v>0.13090128484165131</v>
      </c>
      <c r="AZ8" s="113">
        <v>364.27811691645002</v>
      </c>
      <c r="BA8" s="113">
        <v>2439.25592812996</v>
      </c>
      <c r="BB8" s="113">
        <v>-78.363982402884204</v>
      </c>
      <c r="BC8" s="113">
        <v>95.651762054168103</v>
      </c>
      <c r="BD8" s="113">
        <v>302.29040208399499</v>
      </c>
      <c r="BE8" s="113">
        <v>-68.995241173580098</v>
      </c>
      <c r="BF8" s="113">
        <v>67.796035038763407</v>
      </c>
      <c r="BG8" s="113">
        <v>4.05556435893264E-8</v>
      </c>
      <c r="BH8" s="113">
        <v>2.2296514990478101E-8</v>
      </c>
      <c r="BI8" s="113">
        <v>3.4657262711967298E-8</v>
      </c>
      <c r="BJ8" s="113">
        <v>2.6368880888134798E-8</v>
      </c>
      <c r="BK8" s="113">
        <v>4.9411716872120999E-9</v>
      </c>
      <c r="BL8" s="113">
        <v>-9.9414146908931994E-3</v>
      </c>
      <c r="BM8" s="113">
        <v>-217.057873083918</v>
      </c>
      <c r="BN8" s="113">
        <v>-486.65614418378999</v>
      </c>
      <c r="BO8" s="113">
        <v>364.65693790670599</v>
      </c>
      <c r="BP8" s="113">
        <v>0</v>
      </c>
      <c r="BQ8" s="113">
        <v>0</v>
      </c>
    </row>
    <row r="9" spans="1:69" x14ac:dyDescent="0.25">
      <c r="A9" s="87" t="s">
        <v>163</v>
      </c>
      <c r="B9" s="56">
        <v>44652</v>
      </c>
      <c r="C9" s="4" t="s">
        <v>11</v>
      </c>
      <c r="D9" s="57">
        <v>2487.2640000000001</v>
      </c>
      <c r="E9" s="57">
        <v>225519775</v>
      </c>
      <c r="F9" s="57">
        <v>90669.817999999999</v>
      </c>
      <c r="G9" s="57">
        <v>15970.924457150501</v>
      </c>
      <c r="H9" s="57">
        <v>74.960999999999999</v>
      </c>
      <c r="I9" s="57">
        <v>89.114000000000004</v>
      </c>
      <c r="J9" s="57">
        <v>61.594202899999999</v>
      </c>
      <c r="K9" s="57">
        <v>77.175023564727994</v>
      </c>
      <c r="L9" s="58">
        <v>0</v>
      </c>
      <c r="M9" s="58">
        <v>4.6583385745765198E-2</v>
      </c>
      <c r="N9" s="58">
        <v>0</v>
      </c>
      <c r="O9" s="154">
        <f t="shared" si="0"/>
        <v>0</v>
      </c>
      <c r="P9" s="58">
        <v>0</v>
      </c>
      <c r="Q9" s="57">
        <v>0</v>
      </c>
      <c r="R9" s="57">
        <v>0</v>
      </c>
      <c r="S9" s="57">
        <v>0</v>
      </c>
      <c r="T9" s="57">
        <v>0</v>
      </c>
      <c r="U9" s="57">
        <v>0</v>
      </c>
      <c r="V9" s="57">
        <v>0</v>
      </c>
      <c r="W9" s="57">
        <v>0</v>
      </c>
      <c r="X9" s="57">
        <v>0</v>
      </c>
      <c r="Y9" s="57">
        <v>141</v>
      </c>
      <c r="Z9" s="57">
        <v>0</v>
      </c>
      <c r="AA9" s="57">
        <v>0</v>
      </c>
      <c r="AB9" s="57">
        <v>0</v>
      </c>
      <c r="AC9" s="57">
        <v>0</v>
      </c>
      <c r="AD9" s="57">
        <v>0</v>
      </c>
      <c r="AE9" s="57">
        <v>0</v>
      </c>
      <c r="AF9" s="57">
        <v>0</v>
      </c>
      <c r="AG9" s="57">
        <v>0</v>
      </c>
      <c r="AH9" s="57">
        <v>0</v>
      </c>
      <c r="AI9" s="57">
        <v>0</v>
      </c>
      <c r="AJ9" s="57">
        <v>0</v>
      </c>
      <c r="AK9" s="57">
        <v>0</v>
      </c>
      <c r="AL9" s="57">
        <v>0</v>
      </c>
      <c r="AM9" s="57">
        <v>0</v>
      </c>
      <c r="AN9" s="57">
        <v>0</v>
      </c>
      <c r="AO9" s="57">
        <v>0</v>
      </c>
      <c r="AP9" s="59">
        <v>1.3982786190000001</v>
      </c>
      <c r="AQ9" s="57">
        <v>15</v>
      </c>
      <c r="AR9" s="57">
        <v>7.7474931765825001</v>
      </c>
      <c r="AS9" s="57">
        <v>15268.746239116001</v>
      </c>
      <c r="AT9" s="57">
        <v>31.407419999999998</v>
      </c>
      <c r="AU9" s="57">
        <v>27</v>
      </c>
      <c r="AV9" s="57">
        <v>0</v>
      </c>
      <c r="AW9" s="57">
        <v>0</v>
      </c>
      <c r="AX9" s="57">
        <v>0</v>
      </c>
      <c r="AY9" s="112">
        <v>1.5193870983590835E-2</v>
      </c>
      <c r="AZ9" s="113">
        <v>-37.791168318130076</v>
      </c>
      <c r="BA9" s="113">
        <v>2438.6477837436801</v>
      </c>
      <c r="BB9" s="113">
        <v>-75.960646003047799</v>
      </c>
      <c r="BC9" s="113">
        <v>117.774521522616</v>
      </c>
      <c r="BD9" s="113">
        <v>192.711136220849</v>
      </c>
      <c r="BE9" s="113">
        <v>-28.260112167529801</v>
      </c>
      <c r="BF9" s="113">
        <v>10.1680742531242</v>
      </c>
      <c r="BG9" s="113">
        <v>4.02457591717276E-8</v>
      </c>
      <c r="BH9" s="113">
        <v>2.1978654621303799E-8</v>
      </c>
      <c r="BI9" s="113">
        <v>3.4332067932189799E-8</v>
      </c>
      <c r="BJ9" s="113">
        <v>2.65494142177944E-8</v>
      </c>
      <c r="BK9" s="113">
        <v>5.1215194343237199E-9</v>
      </c>
      <c r="BL9" s="113">
        <v>-4.73609605535704E-5</v>
      </c>
      <c r="BM9" s="113">
        <v>-164.29247691211401</v>
      </c>
      <c r="BN9" s="113">
        <v>-309.483374240986</v>
      </c>
      <c r="BO9" s="113">
        <v>343.75030913427298</v>
      </c>
      <c r="BP9" s="113">
        <v>0</v>
      </c>
      <c r="BQ9" s="113">
        <v>0</v>
      </c>
    </row>
    <row r="10" spans="1:69" x14ac:dyDescent="0.25">
      <c r="A10" s="87" t="s">
        <v>163</v>
      </c>
      <c r="B10" s="56">
        <v>44682</v>
      </c>
      <c r="C10" s="4" t="s">
        <v>11</v>
      </c>
      <c r="D10" s="57">
        <v>3227.268</v>
      </c>
      <c r="E10" s="57">
        <v>289506908</v>
      </c>
      <c r="F10" s="57">
        <v>89706.497000000003</v>
      </c>
      <c r="G10" s="57">
        <v>16601.2195611307</v>
      </c>
      <c r="H10" s="57">
        <v>77.554000000000002</v>
      </c>
      <c r="I10" s="57">
        <v>91.266999999999996</v>
      </c>
      <c r="J10" s="57">
        <v>62.807525300000002</v>
      </c>
      <c r="K10" s="57">
        <v>78.787091140835301</v>
      </c>
      <c r="L10" s="58">
        <v>0</v>
      </c>
      <c r="M10" s="58">
        <v>5.6712955502484001E-2</v>
      </c>
      <c r="N10" s="58">
        <v>5.6712955502484001E-2</v>
      </c>
      <c r="O10" s="154">
        <f t="shared" si="0"/>
        <v>1</v>
      </c>
      <c r="P10" s="58">
        <v>0</v>
      </c>
      <c r="Q10" s="57">
        <v>0</v>
      </c>
      <c r="R10" s="57">
        <v>0</v>
      </c>
      <c r="S10" s="57">
        <v>0</v>
      </c>
      <c r="T10" s="57">
        <v>0</v>
      </c>
      <c r="U10" s="57">
        <v>0</v>
      </c>
      <c r="V10" s="57">
        <v>0</v>
      </c>
      <c r="W10" s="57">
        <v>0</v>
      </c>
      <c r="X10" s="57">
        <v>0</v>
      </c>
      <c r="Y10" s="57">
        <v>222</v>
      </c>
      <c r="Z10" s="57">
        <v>0</v>
      </c>
      <c r="AA10" s="57">
        <v>0</v>
      </c>
      <c r="AB10" s="57">
        <v>0</v>
      </c>
      <c r="AC10" s="57">
        <v>0</v>
      </c>
      <c r="AD10" s="57">
        <v>0</v>
      </c>
      <c r="AE10" s="57">
        <v>0</v>
      </c>
      <c r="AF10" s="57">
        <v>0</v>
      </c>
      <c r="AG10" s="57">
        <v>0</v>
      </c>
      <c r="AH10" s="57">
        <v>0</v>
      </c>
      <c r="AI10" s="57">
        <v>0</v>
      </c>
      <c r="AJ10" s="57">
        <v>0</v>
      </c>
      <c r="AK10" s="57">
        <v>0</v>
      </c>
      <c r="AL10" s="57">
        <v>0</v>
      </c>
      <c r="AM10" s="57">
        <v>0</v>
      </c>
      <c r="AN10" s="57">
        <v>0</v>
      </c>
      <c r="AO10" s="57">
        <v>0</v>
      </c>
      <c r="AP10" s="59">
        <v>1.1988545859999999</v>
      </c>
      <c r="AQ10" s="57">
        <v>11.5</v>
      </c>
      <c r="AR10" s="57">
        <v>7.8039797578748997</v>
      </c>
      <c r="AS10" s="57">
        <v>15268.746239116001</v>
      </c>
      <c r="AT10" s="57">
        <v>29.804635000000001</v>
      </c>
      <c r="AU10" s="57">
        <v>27.1</v>
      </c>
      <c r="AV10" s="57">
        <v>0</v>
      </c>
      <c r="AW10" s="57">
        <v>0</v>
      </c>
      <c r="AX10" s="57">
        <v>0</v>
      </c>
      <c r="AY10" s="112">
        <v>4.1514197386861183E-3</v>
      </c>
      <c r="AZ10" s="113">
        <v>13.397744077230072</v>
      </c>
      <c r="BA10" s="113">
        <v>2434.8380680334699</v>
      </c>
      <c r="BB10" s="113">
        <v>-36.492029941878897</v>
      </c>
      <c r="BC10" s="113">
        <v>171.79208654812899</v>
      </c>
      <c r="BD10" s="113">
        <v>376.43801772652199</v>
      </c>
      <c r="BE10" s="113">
        <v>-54.308505318477501</v>
      </c>
      <c r="BF10" s="113">
        <v>256.57738136784701</v>
      </c>
      <c r="BG10" s="113">
        <v>3.9836385025967701E-8</v>
      </c>
      <c r="BH10" s="113">
        <v>2.1548682655085399E-8</v>
      </c>
      <c r="BI10" s="113">
        <v>3.405102227397E-8</v>
      </c>
      <c r="BJ10" s="113">
        <v>2.69169240604387E-8</v>
      </c>
      <c r="BK10" s="113">
        <v>5.4112786716580798E-9</v>
      </c>
      <c r="BL10" s="113">
        <v>-1.1326817721787201E-6</v>
      </c>
      <c r="BM10" s="113">
        <v>-141.06155501113</v>
      </c>
      <c r="BN10" s="113">
        <v>-149.10749746124901</v>
      </c>
      <c r="BO10" s="113">
        <v>355.19429098446102</v>
      </c>
      <c r="BP10" s="113">
        <v>0</v>
      </c>
      <c r="BQ10" s="113">
        <v>0</v>
      </c>
    </row>
    <row r="11" spans="1:69" x14ac:dyDescent="0.25">
      <c r="A11" s="87" t="s">
        <v>163</v>
      </c>
      <c r="B11" s="56">
        <v>44713</v>
      </c>
      <c r="C11" s="4" t="s">
        <v>11</v>
      </c>
      <c r="D11" s="57">
        <v>3720.3150000000001</v>
      </c>
      <c r="E11" s="57">
        <v>348664012</v>
      </c>
      <c r="F11" s="57">
        <v>93718.948999999993</v>
      </c>
      <c r="G11" s="57">
        <v>16463.3690657763</v>
      </c>
      <c r="H11" s="57">
        <v>76.739999999999995</v>
      </c>
      <c r="I11" s="57">
        <v>90.72</v>
      </c>
      <c r="J11" s="57">
        <v>70.404624299999995</v>
      </c>
      <c r="K11" s="57">
        <v>82.993615349299205</v>
      </c>
      <c r="L11" s="58">
        <v>0</v>
      </c>
      <c r="M11" s="58">
        <v>1.4520983740749401E-2</v>
      </c>
      <c r="N11" s="58">
        <v>0</v>
      </c>
      <c r="O11" s="154">
        <f t="shared" si="0"/>
        <v>0</v>
      </c>
      <c r="P11" s="58">
        <v>0</v>
      </c>
      <c r="Q11" s="57">
        <v>0</v>
      </c>
      <c r="R11" s="57">
        <v>0</v>
      </c>
      <c r="S11" s="57">
        <v>0</v>
      </c>
      <c r="T11" s="57">
        <v>0</v>
      </c>
      <c r="U11" s="57">
        <v>0</v>
      </c>
      <c r="V11" s="57">
        <v>0</v>
      </c>
      <c r="W11" s="57">
        <v>0</v>
      </c>
      <c r="X11" s="57">
        <v>0</v>
      </c>
      <c r="Y11" s="57">
        <v>187</v>
      </c>
      <c r="Z11" s="57">
        <v>0</v>
      </c>
      <c r="AA11" s="57">
        <v>0</v>
      </c>
      <c r="AB11" s="57">
        <v>0</v>
      </c>
      <c r="AC11" s="57">
        <v>0</v>
      </c>
      <c r="AD11" s="57">
        <v>0</v>
      </c>
      <c r="AE11" s="57">
        <v>0</v>
      </c>
      <c r="AF11" s="57">
        <v>0</v>
      </c>
      <c r="AG11" s="57">
        <v>0</v>
      </c>
      <c r="AH11" s="57">
        <v>0</v>
      </c>
      <c r="AI11" s="57">
        <v>95.603473067283602</v>
      </c>
      <c r="AJ11" s="57">
        <v>0</v>
      </c>
      <c r="AK11" s="57">
        <v>95.603473067283602</v>
      </c>
      <c r="AL11" s="57">
        <v>0</v>
      </c>
      <c r="AM11" s="57">
        <v>0</v>
      </c>
      <c r="AN11" s="57">
        <v>0</v>
      </c>
      <c r="AO11" s="57">
        <v>0</v>
      </c>
      <c r="AP11" s="59">
        <v>0.93263039800000003</v>
      </c>
      <c r="AQ11" s="57">
        <v>8.8000000000000007</v>
      </c>
      <c r="AR11" s="57">
        <v>7.8114737505624996</v>
      </c>
      <c r="AS11" s="57">
        <v>15268.746239116001</v>
      </c>
      <c r="AT11" s="57">
        <v>29.377175000000001</v>
      </c>
      <c r="AU11" s="57">
        <v>27</v>
      </c>
      <c r="AV11" s="57">
        <v>1</v>
      </c>
      <c r="AW11" s="57">
        <v>0</v>
      </c>
      <c r="AX11" s="57">
        <v>0</v>
      </c>
      <c r="AY11" s="112">
        <v>2.4908858518074412E-2</v>
      </c>
      <c r="AZ11" s="113">
        <v>92.668799977670005</v>
      </c>
      <c r="BA11" s="113">
        <v>2432.4739618746098</v>
      </c>
      <c r="BB11" s="113">
        <v>-30.561234463511301</v>
      </c>
      <c r="BC11" s="113">
        <v>167.88312558019101</v>
      </c>
      <c r="BD11" s="113">
        <v>324.65844146169502</v>
      </c>
      <c r="BE11" s="113">
        <v>-127.21848470273601</v>
      </c>
      <c r="BF11" s="113">
        <v>38.6756341129554</v>
      </c>
      <c r="BG11" s="113">
        <v>3.9499784912816901E-8</v>
      </c>
      <c r="BH11" s="113">
        <v>2.1176056663799199E-8</v>
      </c>
      <c r="BI11" s="113">
        <v>3.3759913829422399E-8</v>
      </c>
      <c r="BJ11" s="113">
        <v>2.7183723151647801E-8</v>
      </c>
      <c r="BK11" s="113">
        <v>5.6534115094867002E-9</v>
      </c>
      <c r="BL11" s="113">
        <v>-1.8397854603036799E-2</v>
      </c>
      <c r="BM11" s="113">
        <v>-109.99467310062199</v>
      </c>
      <c r="BN11" s="113">
        <v>-25.598204051204299</v>
      </c>
      <c r="BO11" s="113">
        <v>361.55610070886399</v>
      </c>
      <c r="BP11" s="113">
        <v>595.78993032942003</v>
      </c>
      <c r="BQ11" s="113">
        <v>0</v>
      </c>
    </row>
    <row r="12" spans="1:69" x14ac:dyDescent="0.25">
      <c r="A12" s="87" t="s">
        <v>163</v>
      </c>
      <c r="B12" s="56">
        <v>44743</v>
      </c>
      <c r="C12" s="4" t="s">
        <v>11</v>
      </c>
      <c r="D12" s="57">
        <v>2943.4389999999999</v>
      </c>
      <c r="E12" s="57">
        <v>272636324</v>
      </c>
      <c r="F12" s="57">
        <v>92625.096999999994</v>
      </c>
      <c r="G12" s="57">
        <v>16669.437776756498</v>
      </c>
      <c r="H12" s="57">
        <v>76.757000000000005</v>
      </c>
      <c r="I12" s="57">
        <v>89.424999999999997</v>
      </c>
      <c r="J12" s="57">
        <v>72.170151399999995</v>
      </c>
      <c r="K12" s="57">
        <v>82.864962930973505</v>
      </c>
      <c r="L12" s="58">
        <v>0</v>
      </c>
      <c r="M12" s="58">
        <v>2.6023120762081201E-2</v>
      </c>
      <c r="N12" s="58">
        <v>0</v>
      </c>
      <c r="O12" s="154">
        <f t="shared" si="0"/>
        <v>0</v>
      </c>
      <c r="P12" s="58">
        <v>0</v>
      </c>
      <c r="Q12" s="57">
        <v>0</v>
      </c>
      <c r="R12" s="57">
        <v>0</v>
      </c>
      <c r="S12" s="57">
        <v>0</v>
      </c>
      <c r="T12" s="57">
        <v>0</v>
      </c>
      <c r="U12" s="57">
        <v>0</v>
      </c>
      <c r="V12" s="57">
        <v>0</v>
      </c>
      <c r="W12" s="57">
        <v>0</v>
      </c>
      <c r="X12" s="57">
        <v>0</v>
      </c>
      <c r="Y12" s="57">
        <v>189</v>
      </c>
      <c r="Z12" s="57">
        <v>0</v>
      </c>
      <c r="AA12" s="57">
        <v>0</v>
      </c>
      <c r="AB12" s="57">
        <v>0</v>
      </c>
      <c r="AC12" s="57">
        <v>0</v>
      </c>
      <c r="AD12" s="57">
        <v>0</v>
      </c>
      <c r="AE12" s="57">
        <v>0</v>
      </c>
      <c r="AF12" s="57">
        <v>0</v>
      </c>
      <c r="AG12" s="57">
        <v>0</v>
      </c>
      <c r="AH12" s="57">
        <v>812.98695656657196</v>
      </c>
      <c r="AI12" s="57">
        <v>143.057518601418</v>
      </c>
      <c r="AJ12" s="57">
        <v>0</v>
      </c>
      <c r="AK12" s="57">
        <v>956.04447516798996</v>
      </c>
      <c r="AL12" s="57">
        <v>117087725.241722</v>
      </c>
      <c r="AM12" s="57">
        <v>0</v>
      </c>
      <c r="AN12" s="57">
        <v>0</v>
      </c>
      <c r="AO12" s="57">
        <v>117087725.241722</v>
      </c>
      <c r="AP12" s="59">
        <v>1.374756461</v>
      </c>
      <c r="AQ12" s="57">
        <v>8.1999999999999993</v>
      </c>
      <c r="AR12" s="57">
        <v>7.9188115449306</v>
      </c>
      <c r="AS12" s="57">
        <v>15268.746239116001</v>
      </c>
      <c r="AT12" s="57">
        <v>26.919255</v>
      </c>
      <c r="AU12" s="57">
        <v>27</v>
      </c>
      <c r="AV12" s="57">
        <v>0</v>
      </c>
      <c r="AW12" s="57">
        <v>0</v>
      </c>
      <c r="AX12" s="57">
        <v>0</v>
      </c>
      <c r="AY12" s="112">
        <v>4.2860436086628512E-2</v>
      </c>
      <c r="AZ12" s="113">
        <v>126.15707913438973</v>
      </c>
      <c r="BA12" s="113">
        <v>2437.3292606247301</v>
      </c>
      <c r="BB12" s="113">
        <v>-87.756429363583607</v>
      </c>
      <c r="BC12" s="113">
        <v>182.68613822942399</v>
      </c>
      <c r="BD12" s="113">
        <v>313.231405167015</v>
      </c>
      <c r="BE12" s="113">
        <v>-126.24099843791301</v>
      </c>
      <c r="BF12" s="113">
        <v>5.7017983083515702</v>
      </c>
      <c r="BG12" s="113">
        <v>3.9339584048072402E-8</v>
      </c>
      <c r="BH12" s="113">
        <v>2.1027382542598202E-8</v>
      </c>
      <c r="BI12" s="113">
        <v>3.3380169447167297E-8</v>
      </c>
      <c r="BJ12" s="113">
        <v>2.7065250059586701E-8</v>
      </c>
      <c r="BK12" s="113">
        <v>5.6287081955942598E-9</v>
      </c>
      <c r="BL12" s="113">
        <v>-100.37369613678899</v>
      </c>
      <c r="BM12" s="113">
        <v>-163.509999202686</v>
      </c>
      <c r="BN12" s="113">
        <v>0</v>
      </c>
      <c r="BO12" s="113">
        <v>356.21444155062198</v>
      </c>
      <c r="BP12" s="113">
        <v>0</v>
      </c>
      <c r="BQ12" s="113">
        <v>0</v>
      </c>
    </row>
    <row r="13" spans="1:69" x14ac:dyDescent="0.25">
      <c r="A13" s="87" t="s">
        <v>163</v>
      </c>
      <c r="B13" s="56">
        <v>44774</v>
      </c>
      <c r="C13" s="4" t="s">
        <v>11</v>
      </c>
      <c r="D13" s="57">
        <v>2856.8530000000001</v>
      </c>
      <c r="E13" s="57">
        <v>250400968</v>
      </c>
      <c r="F13" s="57">
        <v>87649.231</v>
      </c>
      <c r="G13" s="57">
        <v>17071.246564923</v>
      </c>
      <c r="H13" s="57">
        <v>76.034000000000006</v>
      </c>
      <c r="I13" s="57">
        <v>89.674999999999997</v>
      </c>
      <c r="J13" s="57">
        <v>71.305595400000001</v>
      </c>
      <c r="K13" s="57">
        <v>80.801766254540397</v>
      </c>
      <c r="L13" s="58">
        <v>7.8345640199616207E-2</v>
      </c>
      <c r="M13" s="58">
        <v>7.8345640199616207E-2</v>
      </c>
      <c r="N13" s="58">
        <v>7.8345640199616207E-2</v>
      </c>
      <c r="O13" s="154">
        <f t="shared" si="0"/>
        <v>1</v>
      </c>
      <c r="P13" s="58">
        <v>7.8345640199616207E-2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0</v>
      </c>
      <c r="W13" s="57">
        <v>0</v>
      </c>
      <c r="X13" s="57">
        <v>0</v>
      </c>
      <c r="Y13" s="57">
        <v>169</v>
      </c>
      <c r="Z13" s="57">
        <v>0</v>
      </c>
      <c r="AA13" s="57">
        <v>0</v>
      </c>
      <c r="AB13" s="57">
        <v>0</v>
      </c>
      <c r="AC13" s="57">
        <v>0</v>
      </c>
      <c r="AD13" s="57">
        <v>0</v>
      </c>
      <c r="AE13" s="57">
        <v>0</v>
      </c>
      <c r="AF13" s="57">
        <v>0</v>
      </c>
      <c r="AG13" s="57">
        <v>0</v>
      </c>
      <c r="AH13" s="57">
        <v>584.78638236969698</v>
      </c>
      <c r="AI13" s="57">
        <v>151.19718599319501</v>
      </c>
      <c r="AJ13" s="57">
        <v>44.969405710697202</v>
      </c>
      <c r="AK13" s="57">
        <v>780.95297407358896</v>
      </c>
      <c r="AL13" s="57">
        <v>109620415.514465</v>
      </c>
      <c r="AM13" s="57">
        <v>0</v>
      </c>
      <c r="AN13" s="57">
        <v>0</v>
      </c>
      <c r="AO13" s="57">
        <v>109620415.514465</v>
      </c>
      <c r="AP13" s="59">
        <v>1.2109226390000001</v>
      </c>
      <c r="AQ13" s="57">
        <v>9.6999999999999993</v>
      </c>
      <c r="AR13" s="57">
        <v>7.9293997650866999</v>
      </c>
      <c r="AS13" s="57">
        <v>15268.746239116001</v>
      </c>
      <c r="AT13" s="57">
        <v>26.222545</v>
      </c>
      <c r="AU13" s="57">
        <v>26.9</v>
      </c>
      <c r="AV13" s="57">
        <v>0</v>
      </c>
      <c r="AW13" s="57">
        <v>0</v>
      </c>
      <c r="AX13" s="57">
        <v>0</v>
      </c>
      <c r="AY13" s="112">
        <v>2.1019759616830096E-2</v>
      </c>
      <c r="AZ13" s="113">
        <v>-60.050363320619908</v>
      </c>
      <c r="BA13" s="113">
        <v>2451.2042402975299</v>
      </c>
      <c r="BB13" s="113">
        <v>-224.97386534844799</v>
      </c>
      <c r="BC13" s="113">
        <v>203.854898110882</v>
      </c>
      <c r="BD13" s="113">
        <v>231.93651101983599</v>
      </c>
      <c r="BE13" s="113">
        <v>-94.987085296939995</v>
      </c>
      <c r="BF13" s="113">
        <v>333.45235581386299</v>
      </c>
      <c r="BG13" s="113">
        <v>3.9434354509421802E-8</v>
      </c>
      <c r="BH13" s="113">
        <v>2.1271467683529399E-8</v>
      </c>
      <c r="BI13" s="113">
        <v>3.2746273455731398E-8</v>
      </c>
      <c r="BJ13" s="113">
        <v>2.6559693935936098E-8</v>
      </c>
      <c r="BK13" s="113">
        <v>5.2285825996215096E-9</v>
      </c>
      <c r="BL13" s="113">
        <v>-96.922849601604995</v>
      </c>
      <c r="BM13" s="113">
        <v>-146.27734797815901</v>
      </c>
      <c r="BN13" s="113">
        <v>-73.159460374731296</v>
      </c>
      <c r="BO13" s="113">
        <v>332.77596655315199</v>
      </c>
      <c r="BP13" s="113">
        <v>0</v>
      </c>
      <c r="BQ13" s="113">
        <v>0</v>
      </c>
    </row>
    <row r="14" spans="1:69" x14ac:dyDescent="0.25">
      <c r="A14" s="87" t="s">
        <v>163</v>
      </c>
      <c r="B14" s="56">
        <v>44805</v>
      </c>
      <c r="C14" s="4" t="s">
        <v>15</v>
      </c>
      <c r="D14" s="57">
        <v>3721.873</v>
      </c>
      <c r="E14" s="57">
        <v>318360950</v>
      </c>
      <c r="F14" s="57">
        <v>85537.832999999999</v>
      </c>
      <c r="G14" s="57">
        <v>18434.417778250499</v>
      </c>
      <c r="H14" s="57">
        <v>75.992999999999995</v>
      </c>
      <c r="I14" s="57">
        <v>89.911000000000001</v>
      </c>
      <c r="J14" s="57">
        <v>70.497427099999996</v>
      </c>
      <c r="K14" s="57">
        <v>78.881354609602397</v>
      </c>
      <c r="L14" s="58">
        <v>0.14928681098591501</v>
      </c>
      <c r="M14" s="58">
        <v>0.14928681098591501</v>
      </c>
      <c r="N14" s="58">
        <v>0.14928681098591501</v>
      </c>
      <c r="O14" s="154">
        <f t="shared" si="0"/>
        <v>1</v>
      </c>
      <c r="P14" s="58">
        <v>0.14928681098591501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57">
        <v>0</v>
      </c>
      <c r="W14" s="57">
        <v>0</v>
      </c>
      <c r="X14" s="57">
        <v>0</v>
      </c>
      <c r="Y14" s="57">
        <v>109</v>
      </c>
      <c r="Z14" s="57">
        <v>0</v>
      </c>
      <c r="AA14" s="57">
        <v>0</v>
      </c>
      <c r="AB14" s="57">
        <v>0</v>
      </c>
      <c r="AC14" s="57">
        <v>0</v>
      </c>
      <c r="AD14" s="57">
        <v>0</v>
      </c>
      <c r="AE14" s="57">
        <v>0</v>
      </c>
      <c r="AF14" s="57">
        <v>0</v>
      </c>
      <c r="AG14" s="57">
        <v>0</v>
      </c>
      <c r="AH14" s="57">
        <v>23.615302264690399</v>
      </c>
      <c r="AI14" s="57">
        <v>122.36849935352799</v>
      </c>
      <c r="AJ14" s="57">
        <v>122.168742567301</v>
      </c>
      <c r="AK14" s="57">
        <v>268.15254418551899</v>
      </c>
      <c r="AL14" s="57">
        <v>1748340.1651610499</v>
      </c>
      <c r="AM14" s="57">
        <v>0</v>
      </c>
      <c r="AN14" s="57">
        <v>117541.38097270401</v>
      </c>
      <c r="AO14" s="57">
        <v>1865881.5461337499</v>
      </c>
      <c r="AP14" s="59">
        <v>0.86452077000000005</v>
      </c>
      <c r="AQ14" s="57">
        <v>12.1</v>
      </c>
      <c r="AR14" s="57">
        <v>8.0400244066343998</v>
      </c>
      <c r="AS14" s="57">
        <v>15268.746239116001</v>
      </c>
      <c r="AT14" s="57">
        <v>25.805785</v>
      </c>
      <c r="AU14" s="57">
        <v>26.8</v>
      </c>
      <c r="AV14" s="57">
        <v>0</v>
      </c>
      <c r="AW14" s="57">
        <v>1</v>
      </c>
      <c r="AX14" s="57">
        <v>0</v>
      </c>
      <c r="AY14" s="112">
        <v>9.3341560974836892E-3</v>
      </c>
      <c r="AZ14" s="113">
        <v>34.740543557009914</v>
      </c>
      <c r="BA14" s="113">
        <v>2460.6864128728198</v>
      </c>
      <c r="BB14" s="113">
        <v>-317.94019748739601</v>
      </c>
      <c r="BC14" s="113">
        <v>299.56651194791402</v>
      </c>
      <c r="BD14" s="113">
        <v>205.47780704591599</v>
      </c>
      <c r="BE14" s="113">
        <v>-63.919810952933197</v>
      </c>
      <c r="BF14" s="113">
        <v>662.02960404701196</v>
      </c>
      <c r="BG14" s="113">
        <v>3.94436776975133E-8</v>
      </c>
      <c r="BH14" s="113">
        <v>2.1297926193206402E-8</v>
      </c>
      <c r="BI14" s="113">
        <v>3.2219928011873698E-8</v>
      </c>
      <c r="BJ14" s="113">
        <v>2.62017744417875E-8</v>
      </c>
      <c r="BK14" s="113">
        <v>5.0379466521884202E-9</v>
      </c>
      <c r="BL14" s="113">
        <v>-94.288367027261302</v>
      </c>
      <c r="BM14" s="113">
        <v>-105.65639395117699</v>
      </c>
      <c r="BN14" s="113">
        <v>-188.25154883198601</v>
      </c>
      <c r="BO14" s="113">
        <v>317.58317132708999</v>
      </c>
      <c r="BP14" s="113">
        <v>0</v>
      </c>
      <c r="BQ14" s="113">
        <v>511.84526732878902</v>
      </c>
    </row>
    <row r="15" spans="1:69" x14ac:dyDescent="0.25">
      <c r="A15" s="87" t="s">
        <v>163</v>
      </c>
      <c r="B15" s="56">
        <v>44835</v>
      </c>
      <c r="C15" s="4" t="s">
        <v>15</v>
      </c>
      <c r="D15" s="57">
        <v>2659.5039999999999</v>
      </c>
      <c r="E15" s="57">
        <v>233408531</v>
      </c>
      <c r="F15" s="57">
        <v>87763.933000000005</v>
      </c>
      <c r="G15" s="57">
        <v>17321.432961463299</v>
      </c>
      <c r="H15" s="57">
        <v>78.453000000000003</v>
      </c>
      <c r="I15" s="57">
        <v>89.152000000000001</v>
      </c>
      <c r="J15" s="57">
        <v>68.928571399999996</v>
      </c>
      <c r="K15" s="57">
        <v>75.060216132855601</v>
      </c>
      <c r="L15" s="58">
        <v>0.12714722007455501</v>
      </c>
      <c r="M15" s="58">
        <v>0.12714722007455501</v>
      </c>
      <c r="N15" s="58">
        <v>0.12714722007455501</v>
      </c>
      <c r="O15" s="154">
        <f t="shared" si="0"/>
        <v>1</v>
      </c>
      <c r="P15" s="58">
        <v>0.12714722007455501</v>
      </c>
      <c r="Q15" s="57">
        <v>0</v>
      </c>
      <c r="R15" s="57">
        <v>0</v>
      </c>
      <c r="S15" s="57">
        <v>0</v>
      </c>
      <c r="T15" s="57">
        <v>0</v>
      </c>
      <c r="U15" s="57">
        <v>0</v>
      </c>
      <c r="V15" s="57">
        <v>0</v>
      </c>
      <c r="W15" s="57">
        <v>0</v>
      </c>
      <c r="X15" s="57">
        <v>0</v>
      </c>
      <c r="Y15" s="57">
        <v>146</v>
      </c>
      <c r="Z15" s="57">
        <v>0</v>
      </c>
      <c r="AA15" s="57">
        <v>0</v>
      </c>
      <c r="AB15" s="57">
        <v>0</v>
      </c>
      <c r="AC15" s="57">
        <v>0</v>
      </c>
      <c r="AD15" s="57">
        <v>0</v>
      </c>
      <c r="AE15" s="57">
        <v>0</v>
      </c>
      <c r="AF15" s="57">
        <v>0</v>
      </c>
      <c r="AG15" s="57">
        <v>0</v>
      </c>
      <c r="AH15" s="57">
        <v>866.21580457687401</v>
      </c>
      <c r="AI15" s="57">
        <v>239.35256373882299</v>
      </c>
      <c r="AJ15" s="57">
        <v>54.885873660445199</v>
      </c>
      <c r="AK15" s="57">
        <v>1160.4542419761401</v>
      </c>
      <c r="AL15" s="57">
        <v>144893469.767023</v>
      </c>
      <c r="AM15" s="57">
        <v>12648817.731308</v>
      </c>
      <c r="AN15" s="57">
        <v>232111.85398403101</v>
      </c>
      <c r="AO15" s="57">
        <v>157774399.35231501</v>
      </c>
      <c r="AP15" s="59">
        <v>0.51706151499999997</v>
      </c>
      <c r="AQ15" s="57">
        <v>14.8</v>
      </c>
      <c r="AR15" s="57">
        <v>7.9683805988207004</v>
      </c>
      <c r="AS15" s="57">
        <v>15268.746239116001</v>
      </c>
      <c r="AT15" s="57">
        <v>26.849720000000001</v>
      </c>
      <c r="AU15" s="57">
        <v>14.3</v>
      </c>
      <c r="AV15" s="57">
        <v>0</v>
      </c>
      <c r="AW15" s="57">
        <v>0</v>
      </c>
      <c r="AX15" s="57">
        <v>0</v>
      </c>
      <c r="AY15" s="112">
        <v>6.8121809456255747E-2</v>
      </c>
      <c r="AZ15" s="113">
        <v>-181.17022473614998</v>
      </c>
      <c r="BA15" s="113">
        <v>2472.3609766958798</v>
      </c>
      <c r="BB15" s="113">
        <v>-466.43517805387</v>
      </c>
      <c r="BC15" s="113">
        <v>211.14792202271599</v>
      </c>
      <c r="BD15" s="113">
        <v>342.23036202494899</v>
      </c>
      <c r="BE15" s="113">
        <v>0</v>
      </c>
      <c r="BF15" s="113">
        <v>597.276485517845</v>
      </c>
      <c r="BG15" s="113">
        <v>3.9477777591955999E-8</v>
      </c>
      <c r="BH15" s="113">
        <v>2.1528569691942699E-8</v>
      </c>
      <c r="BI15" s="113">
        <v>3.1510766450494799E-8</v>
      </c>
      <c r="BJ15" s="113">
        <v>2.5842889594420901E-8</v>
      </c>
      <c r="BK15" s="113">
        <v>4.7269014422470602E-9</v>
      </c>
      <c r="BL15" s="113">
        <v>-92.104001965594804</v>
      </c>
      <c r="BM15" s="113">
        <v>-64.038139478891694</v>
      </c>
      <c r="BN15" s="113">
        <v>-319.480251448388</v>
      </c>
      <c r="BO15" s="113">
        <v>159.71604929841899</v>
      </c>
      <c r="BP15" s="113">
        <v>0</v>
      </c>
      <c r="BQ15" s="113">
        <v>0</v>
      </c>
    </row>
    <row r="16" spans="1:69" x14ac:dyDescent="0.25">
      <c r="A16" s="87" t="s">
        <v>163</v>
      </c>
      <c r="B16" s="56">
        <v>44866</v>
      </c>
      <c r="C16" s="4" t="s">
        <v>15</v>
      </c>
      <c r="D16" s="57">
        <v>2149.636</v>
      </c>
      <c r="E16" s="57">
        <v>202086883</v>
      </c>
      <c r="F16" s="57">
        <v>94009.815000000002</v>
      </c>
      <c r="G16" s="57">
        <v>17639.501499488499</v>
      </c>
      <c r="H16" s="57">
        <v>78.061000000000007</v>
      </c>
      <c r="I16" s="57">
        <v>90.135999999999996</v>
      </c>
      <c r="J16" s="57">
        <v>69.714285700000005</v>
      </c>
      <c r="K16" s="57">
        <v>76.420714904506895</v>
      </c>
      <c r="L16" s="58">
        <v>0</v>
      </c>
      <c r="M16" s="58">
        <v>6.5029043729993505E-2</v>
      </c>
      <c r="N16" s="58">
        <v>6.5029043729993505E-2</v>
      </c>
      <c r="O16" s="154">
        <f t="shared" si="0"/>
        <v>1</v>
      </c>
      <c r="P16" s="58">
        <v>6.5029043729993505E-2</v>
      </c>
      <c r="Q16" s="57">
        <v>0</v>
      </c>
      <c r="R16" s="57">
        <v>0</v>
      </c>
      <c r="S16" s="57">
        <v>0</v>
      </c>
      <c r="T16" s="57">
        <v>0</v>
      </c>
      <c r="U16" s="57">
        <v>0</v>
      </c>
      <c r="V16" s="57">
        <v>0</v>
      </c>
      <c r="W16" s="57">
        <v>0</v>
      </c>
      <c r="X16" s="57">
        <v>0</v>
      </c>
      <c r="Y16" s="57">
        <v>73</v>
      </c>
      <c r="Z16" s="57">
        <v>0</v>
      </c>
      <c r="AA16" s="57">
        <v>0</v>
      </c>
      <c r="AB16" s="57">
        <v>0</v>
      </c>
      <c r="AC16" s="57">
        <v>0</v>
      </c>
      <c r="AD16" s="57">
        <v>0</v>
      </c>
      <c r="AE16" s="57">
        <v>0</v>
      </c>
      <c r="AF16" s="57">
        <v>0</v>
      </c>
      <c r="AG16" s="57">
        <v>0</v>
      </c>
      <c r="AH16" s="57">
        <v>168.28169582039101</v>
      </c>
      <c r="AI16" s="57">
        <v>629.25394311547302</v>
      </c>
      <c r="AJ16" s="57">
        <v>0</v>
      </c>
      <c r="AK16" s="57">
        <v>797.53563893586397</v>
      </c>
      <c r="AL16" s="57">
        <v>23249681.588681601</v>
      </c>
      <c r="AM16" s="57">
        <v>45451026.529362597</v>
      </c>
      <c r="AN16" s="57">
        <v>0</v>
      </c>
      <c r="AO16" s="57">
        <v>68700708.118044302</v>
      </c>
      <c r="AP16" s="59">
        <v>0.97524505800000005</v>
      </c>
      <c r="AQ16" s="57">
        <v>17.8</v>
      </c>
      <c r="AR16" s="57">
        <v>7.9488231355873999</v>
      </c>
      <c r="AS16" s="57">
        <v>15268.746239116001</v>
      </c>
      <c r="AT16" s="57">
        <v>26.413865000000001</v>
      </c>
      <c r="AU16" s="57">
        <v>14</v>
      </c>
      <c r="AV16" s="57">
        <v>0</v>
      </c>
      <c r="AW16" s="57">
        <v>0</v>
      </c>
      <c r="AX16" s="57">
        <v>0</v>
      </c>
      <c r="AY16" s="112">
        <v>8.3735474300969975E-2</v>
      </c>
      <c r="AZ16" s="113">
        <v>-180.00079003443989</v>
      </c>
      <c r="BA16" s="113">
        <v>2471.2078990211999</v>
      </c>
      <c r="BB16" s="113">
        <v>-499.551505965773</v>
      </c>
      <c r="BC16" s="113">
        <v>236.94617779081301</v>
      </c>
      <c r="BD16" s="113">
        <v>311.50690136100701</v>
      </c>
      <c r="BE16" s="113">
        <v>-22.012528943617099</v>
      </c>
      <c r="BF16" s="113">
        <v>349.14119855130701</v>
      </c>
      <c r="BG16" s="113">
        <v>3.93450088795054E-8</v>
      </c>
      <c r="BH16" s="113">
        <v>2.0953867689635701E-8</v>
      </c>
      <c r="BI16" s="113">
        <v>3.1251207064748101E-8</v>
      </c>
      <c r="BJ16" s="113">
        <v>2.5686463361454E-8</v>
      </c>
      <c r="BK16" s="113">
        <v>5.1473633720427103E-9</v>
      </c>
      <c r="BL16" s="113">
        <v>-93.806405888224702</v>
      </c>
      <c r="BM16" s="113">
        <v>-120.993342568646</v>
      </c>
      <c r="BN16" s="113">
        <v>-461.401930142217</v>
      </c>
      <c r="BO16" s="113">
        <v>158.60032669621299</v>
      </c>
      <c r="BP16" s="113">
        <v>0</v>
      </c>
      <c r="BQ16" s="113">
        <v>0</v>
      </c>
    </row>
    <row r="17" spans="1:69" x14ac:dyDescent="0.25">
      <c r="A17" s="87" t="s">
        <v>163</v>
      </c>
      <c r="B17" s="56">
        <v>44896</v>
      </c>
      <c r="C17" s="4" t="s">
        <v>15</v>
      </c>
      <c r="D17" s="57">
        <v>2506.8000000000002</v>
      </c>
      <c r="E17" s="57">
        <v>242719844</v>
      </c>
      <c r="F17" s="57">
        <v>96824.574999999997</v>
      </c>
      <c r="G17" s="57">
        <v>18202.7902207882</v>
      </c>
      <c r="H17" s="57">
        <v>76.557000000000002</v>
      </c>
      <c r="I17" s="57">
        <v>90.326999999999998</v>
      </c>
      <c r="J17" s="57">
        <v>70.285714299999995</v>
      </c>
      <c r="K17" s="57">
        <v>79.252471412558194</v>
      </c>
      <c r="L17" s="58">
        <v>0</v>
      </c>
      <c r="M17" s="58">
        <v>3.70349576989705E-2</v>
      </c>
      <c r="N17" s="58">
        <v>0</v>
      </c>
      <c r="O17" s="154">
        <f t="shared" si="0"/>
        <v>0</v>
      </c>
      <c r="P17" s="58">
        <v>0</v>
      </c>
      <c r="Q17" s="57">
        <v>0</v>
      </c>
      <c r="R17" s="57">
        <v>0</v>
      </c>
      <c r="S17" s="57">
        <v>0</v>
      </c>
      <c r="T17" s="57">
        <v>0</v>
      </c>
      <c r="U17" s="57">
        <v>0</v>
      </c>
      <c r="V17" s="57">
        <v>0</v>
      </c>
      <c r="W17" s="57">
        <v>0</v>
      </c>
      <c r="X17" s="57">
        <v>0</v>
      </c>
      <c r="Y17" s="57">
        <v>135</v>
      </c>
      <c r="Z17" s="57">
        <v>0</v>
      </c>
      <c r="AA17" s="57">
        <v>0</v>
      </c>
      <c r="AB17" s="57">
        <v>0</v>
      </c>
      <c r="AC17" s="57">
        <v>0</v>
      </c>
      <c r="AD17" s="57">
        <v>0</v>
      </c>
      <c r="AE17" s="57">
        <v>0</v>
      </c>
      <c r="AF17" s="57">
        <v>0</v>
      </c>
      <c r="AG17" s="57">
        <v>0</v>
      </c>
      <c r="AH17" s="57">
        <v>7.5850769802927998</v>
      </c>
      <c r="AI17" s="57">
        <v>394.18275453895302</v>
      </c>
      <c r="AJ17" s="57">
        <v>0</v>
      </c>
      <c r="AK17" s="57">
        <v>401.76783151924599</v>
      </c>
      <c r="AL17" s="57">
        <v>542905.78375459602</v>
      </c>
      <c r="AM17" s="57">
        <v>40322277.529295199</v>
      </c>
      <c r="AN17" s="57">
        <v>0</v>
      </c>
      <c r="AO17" s="57">
        <v>40865183.313049801</v>
      </c>
      <c r="AP17" s="59">
        <v>0.28363458699999999</v>
      </c>
      <c r="AQ17" s="57">
        <v>20</v>
      </c>
      <c r="AR17" s="57">
        <v>7.8627488308129001</v>
      </c>
      <c r="AS17" s="57">
        <v>15268.746239116001</v>
      </c>
      <c r="AT17" s="57">
        <v>27.182849999999998</v>
      </c>
      <c r="AU17" s="57">
        <v>13.9</v>
      </c>
      <c r="AV17" s="57">
        <v>0</v>
      </c>
      <c r="AW17" s="57">
        <v>0</v>
      </c>
      <c r="AX17" s="57">
        <v>1</v>
      </c>
      <c r="AY17" s="112">
        <v>0.16653930178166598</v>
      </c>
      <c r="AZ17" s="113">
        <v>417.48072170628029</v>
      </c>
      <c r="BA17" s="113">
        <v>2458.2113251400001</v>
      </c>
      <c r="BB17" s="113">
        <v>-353.24144449561402</v>
      </c>
      <c r="BC17" s="113">
        <v>289.02988379941701</v>
      </c>
      <c r="BD17" s="113">
        <v>227.984828786592</v>
      </c>
      <c r="BE17" s="113">
        <v>-61.709806370060498</v>
      </c>
      <c r="BF17" s="113">
        <v>55.053713496998803</v>
      </c>
      <c r="BG17" s="113">
        <v>3.9018266009146901E-8</v>
      </c>
      <c r="BH17" s="113">
        <v>1.9661458477461299E-8</v>
      </c>
      <c r="BI17" s="113">
        <v>3.1429200372974601E-8</v>
      </c>
      <c r="BJ17" s="113">
        <v>2.5714094173927302E-8</v>
      </c>
      <c r="BK17" s="113">
        <v>6.1680180514741204E-9</v>
      </c>
      <c r="BL17" s="113">
        <v>-99.738952120837098</v>
      </c>
      <c r="BM17" s="113">
        <v>-34.913355036038297</v>
      </c>
      <c r="BN17" s="113">
        <v>-561.41478064556804</v>
      </c>
      <c r="BO17" s="113">
        <v>170.05786561683399</v>
      </c>
      <c r="BP17" s="113">
        <v>0</v>
      </c>
      <c r="BQ17" s="113">
        <v>0</v>
      </c>
    </row>
    <row r="18" spans="1:69" x14ac:dyDescent="0.25">
      <c r="A18" s="87" t="s">
        <v>163</v>
      </c>
      <c r="B18" s="56">
        <v>44927</v>
      </c>
      <c r="C18" s="4" t="s">
        <v>15</v>
      </c>
      <c r="D18" s="57">
        <v>1772.6769999999999</v>
      </c>
      <c r="E18" s="57">
        <v>160459373</v>
      </c>
      <c r="F18" s="57">
        <v>90518.111000000004</v>
      </c>
      <c r="G18" s="57">
        <v>17885.538256979002</v>
      </c>
      <c r="H18" s="57">
        <v>75.703999999999994</v>
      </c>
      <c r="I18" s="57">
        <v>90.173000000000002</v>
      </c>
      <c r="J18" s="57">
        <v>70.558739299999999</v>
      </c>
      <c r="K18" s="57">
        <v>80.413986662390798</v>
      </c>
      <c r="L18" s="58">
        <v>9.9755649966712504E-2</v>
      </c>
      <c r="M18" s="58">
        <v>9.9755649966712504E-2</v>
      </c>
      <c r="N18" s="58">
        <v>9.9755649966712504E-2</v>
      </c>
      <c r="O18" s="154">
        <f t="shared" si="0"/>
        <v>1</v>
      </c>
      <c r="P18" s="58">
        <v>9.9755649966712504E-2</v>
      </c>
      <c r="Q18" s="57">
        <v>0</v>
      </c>
      <c r="R18" s="57">
        <v>0</v>
      </c>
      <c r="S18" s="57">
        <v>0</v>
      </c>
      <c r="T18" s="57">
        <v>0</v>
      </c>
      <c r="U18" s="57">
        <v>0</v>
      </c>
      <c r="V18" s="57">
        <v>0</v>
      </c>
      <c r="W18" s="57">
        <v>0</v>
      </c>
      <c r="X18" s="57">
        <v>0</v>
      </c>
      <c r="Y18" s="57">
        <v>126</v>
      </c>
      <c r="Z18" s="57">
        <v>0</v>
      </c>
      <c r="AA18" s="57">
        <v>0</v>
      </c>
      <c r="AB18" s="57">
        <v>0</v>
      </c>
      <c r="AC18" s="57">
        <v>0</v>
      </c>
      <c r="AD18" s="57">
        <v>0</v>
      </c>
      <c r="AE18" s="57">
        <v>0</v>
      </c>
      <c r="AF18" s="57">
        <v>0</v>
      </c>
      <c r="AG18" s="57">
        <v>0</v>
      </c>
      <c r="AH18" s="57">
        <v>0</v>
      </c>
      <c r="AI18" s="57">
        <v>0.30961939692497298</v>
      </c>
      <c r="AJ18" s="57">
        <v>0</v>
      </c>
      <c r="AK18" s="57">
        <v>0.30961939692497298</v>
      </c>
      <c r="AL18" s="57">
        <v>0</v>
      </c>
      <c r="AM18" s="57">
        <v>35093.7912</v>
      </c>
      <c r="AN18" s="57">
        <v>0</v>
      </c>
      <c r="AO18" s="57">
        <v>35093.7912</v>
      </c>
      <c r="AP18" s="59">
        <v>0.805109678</v>
      </c>
      <c r="AQ18" s="57">
        <v>21.4</v>
      </c>
      <c r="AR18" s="57">
        <v>8.0372443026616001</v>
      </c>
      <c r="AS18" s="57">
        <v>16832.887967938001</v>
      </c>
      <c r="AT18" s="57">
        <v>27.889939999999999</v>
      </c>
      <c r="AU18" s="57">
        <v>0</v>
      </c>
      <c r="AV18" s="57">
        <v>0</v>
      </c>
      <c r="AW18" s="57">
        <v>0</v>
      </c>
      <c r="AX18" s="57">
        <v>0</v>
      </c>
      <c r="AY18" s="112">
        <v>7.545703500319019E-2</v>
      </c>
      <c r="AZ18" s="113">
        <v>-133.76095043835016</v>
      </c>
      <c r="BA18" s="113">
        <v>2471.9961400464899</v>
      </c>
      <c r="BB18" s="113">
        <v>-447.04364718777902</v>
      </c>
      <c r="BC18" s="113">
        <v>252.65434101437299</v>
      </c>
      <c r="BD18" s="113">
        <v>131.59948035981199</v>
      </c>
      <c r="BE18" s="113">
        <v>-87.944065963865299</v>
      </c>
      <c r="BF18" s="113">
        <v>411.01457947990599</v>
      </c>
      <c r="BG18" s="113">
        <v>3.9326645488606497E-8</v>
      </c>
      <c r="BH18" s="113">
        <v>1.9688279762770699E-8</v>
      </c>
      <c r="BI18" s="113">
        <v>3.0587930258092699E-8</v>
      </c>
      <c r="BJ18" s="113">
        <v>2.48285795562441E-8</v>
      </c>
      <c r="BK18" s="113">
        <v>6.1889775180182696E-9</v>
      </c>
      <c r="BL18" s="113">
        <v>-87.688070781506198</v>
      </c>
      <c r="BM18" s="113">
        <v>-100.212885569986</v>
      </c>
      <c r="BN18" s="113">
        <v>-637.93792107972104</v>
      </c>
      <c r="BO18" s="113">
        <v>0</v>
      </c>
      <c r="BP18" s="113">
        <v>0</v>
      </c>
      <c r="BQ18" s="113">
        <v>0</v>
      </c>
    </row>
    <row r="19" spans="1:69" x14ac:dyDescent="0.25">
      <c r="A19" s="87" t="s">
        <v>163</v>
      </c>
      <c r="B19" s="56">
        <v>44958</v>
      </c>
      <c r="C19" s="4" t="s">
        <v>15</v>
      </c>
      <c r="D19" s="57">
        <v>1399.56</v>
      </c>
      <c r="E19" s="57">
        <v>135508963</v>
      </c>
      <c r="F19" s="57">
        <v>96822.546000000002</v>
      </c>
      <c r="G19" s="57">
        <v>17005.583659805099</v>
      </c>
      <c r="H19" s="57">
        <v>76.778000000000006</v>
      </c>
      <c r="I19" s="57">
        <v>89.367999999999995</v>
      </c>
      <c r="J19" s="57">
        <v>69.010042999999996</v>
      </c>
      <c r="K19" s="57">
        <v>77.998475378470502</v>
      </c>
      <c r="L19" s="58">
        <v>0</v>
      </c>
      <c r="M19" s="58">
        <v>3.7055137039502799E-2</v>
      </c>
      <c r="N19" s="58">
        <v>0</v>
      </c>
      <c r="O19" s="154">
        <f t="shared" si="0"/>
        <v>0</v>
      </c>
      <c r="P19" s="58">
        <v>0</v>
      </c>
      <c r="Q19" s="57">
        <v>0</v>
      </c>
      <c r="R19" s="57">
        <v>0</v>
      </c>
      <c r="S19" s="57">
        <v>0</v>
      </c>
      <c r="T19" s="57">
        <v>0</v>
      </c>
      <c r="U19" s="57">
        <v>0</v>
      </c>
      <c r="V19" s="57">
        <v>0</v>
      </c>
      <c r="W19" s="57">
        <v>0</v>
      </c>
      <c r="X19" s="57">
        <v>0</v>
      </c>
      <c r="Y19" s="57">
        <v>113</v>
      </c>
      <c r="Z19" s="57">
        <v>0</v>
      </c>
      <c r="AA19" s="57">
        <v>0</v>
      </c>
      <c r="AB19" s="57">
        <v>0</v>
      </c>
      <c r="AC19" s="57">
        <v>0</v>
      </c>
      <c r="AD19" s="57">
        <v>0</v>
      </c>
      <c r="AE19" s="57">
        <v>0</v>
      </c>
      <c r="AF19" s="57">
        <v>0</v>
      </c>
      <c r="AG19" s="57">
        <v>0</v>
      </c>
      <c r="AH19" s="57">
        <v>0</v>
      </c>
      <c r="AI19" s="57">
        <v>0</v>
      </c>
      <c r="AJ19" s="57">
        <v>0</v>
      </c>
      <c r="AK19" s="57">
        <v>0</v>
      </c>
      <c r="AL19" s="57">
        <v>0</v>
      </c>
      <c r="AM19" s="57">
        <v>0</v>
      </c>
      <c r="AN19" s="57">
        <v>0</v>
      </c>
      <c r="AO19" s="57">
        <v>0</v>
      </c>
      <c r="AP19" s="59">
        <v>0.265100328</v>
      </c>
      <c r="AQ19" s="57">
        <v>20.7</v>
      </c>
      <c r="AR19" s="57">
        <v>8.3676406179057992</v>
      </c>
      <c r="AS19" s="57">
        <v>16832.887967938001</v>
      </c>
      <c r="AT19" s="57">
        <v>27.294274999999999</v>
      </c>
      <c r="AU19" s="57">
        <v>0</v>
      </c>
      <c r="AV19" s="57">
        <v>0</v>
      </c>
      <c r="AW19" s="57">
        <v>0</v>
      </c>
      <c r="AX19" s="57">
        <v>0</v>
      </c>
      <c r="AY19" s="112">
        <v>0.17924356985811252</v>
      </c>
      <c r="AZ19" s="113">
        <v>-250.86213063061996</v>
      </c>
      <c r="BA19" s="113">
        <v>2477.0791160833601</v>
      </c>
      <c r="BB19" s="113">
        <v>-540.98838023562098</v>
      </c>
      <c r="BC19" s="113">
        <v>182.509454300149</v>
      </c>
      <c r="BD19" s="113">
        <v>181.884943044333</v>
      </c>
      <c r="BE19" s="113">
        <v>-45.090108154914098</v>
      </c>
      <c r="BF19" s="113">
        <v>61.176079455693198</v>
      </c>
      <c r="BG19" s="113">
        <v>3.9407231691735598E-8</v>
      </c>
      <c r="BH19" s="113">
        <v>1.9298008225624399E-8</v>
      </c>
      <c r="BI19" s="113">
        <v>3.0039915083626E-8</v>
      </c>
      <c r="BJ19" s="113">
        <v>2.4240870981588499E-8</v>
      </c>
      <c r="BK19" s="113">
        <v>6.5441676004013201E-9</v>
      </c>
      <c r="BL19" s="113">
        <v>-21.6368522167657</v>
      </c>
      <c r="BM19" s="113">
        <v>-33.168675152964603</v>
      </c>
      <c r="BN19" s="113">
        <v>-611.34344661218495</v>
      </c>
      <c r="BO19" s="113">
        <v>0</v>
      </c>
      <c r="BP19" s="113">
        <v>0</v>
      </c>
      <c r="BQ19" s="113">
        <v>0</v>
      </c>
    </row>
    <row r="20" spans="1:69" x14ac:dyDescent="0.25">
      <c r="A20" s="87" t="s">
        <v>163</v>
      </c>
      <c r="B20" s="56">
        <v>44986</v>
      </c>
      <c r="C20" s="4" t="s">
        <v>15</v>
      </c>
      <c r="D20" s="57">
        <v>2456.0509999999999</v>
      </c>
      <c r="E20" s="57">
        <v>225901821</v>
      </c>
      <c r="F20" s="57">
        <v>91977.659</v>
      </c>
      <c r="G20" s="57">
        <v>18192.8016550416</v>
      </c>
      <c r="H20" s="57">
        <v>76.503</v>
      </c>
      <c r="I20" s="57">
        <v>90.572999999999993</v>
      </c>
      <c r="J20" s="57">
        <v>69.672601999999998</v>
      </c>
      <c r="K20" s="57">
        <v>79.387473728966299</v>
      </c>
      <c r="L20" s="58">
        <v>8.52397721375521E-2</v>
      </c>
      <c r="M20" s="58">
        <v>8.52397721375521E-2</v>
      </c>
      <c r="N20" s="58">
        <v>8.52397721375521E-2</v>
      </c>
      <c r="O20" s="154">
        <f t="shared" si="0"/>
        <v>1</v>
      </c>
      <c r="P20" s="58">
        <v>8.52397721375521E-2</v>
      </c>
      <c r="Q20" s="57">
        <v>0</v>
      </c>
      <c r="R20" s="57">
        <v>0</v>
      </c>
      <c r="S20" s="57">
        <v>0</v>
      </c>
      <c r="T20" s="57">
        <v>0</v>
      </c>
      <c r="U20" s="57">
        <v>0</v>
      </c>
      <c r="V20" s="57">
        <v>0</v>
      </c>
      <c r="W20" s="57">
        <v>0</v>
      </c>
      <c r="X20" s="57">
        <v>0</v>
      </c>
      <c r="Y20" s="57">
        <v>130</v>
      </c>
      <c r="Z20" s="57">
        <v>0</v>
      </c>
      <c r="AA20" s="57">
        <v>0</v>
      </c>
      <c r="AB20" s="57">
        <v>0</v>
      </c>
      <c r="AC20" s="57">
        <v>0</v>
      </c>
      <c r="AD20" s="57">
        <v>0</v>
      </c>
      <c r="AE20" s="57">
        <v>0</v>
      </c>
      <c r="AF20" s="57">
        <v>0</v>
      </c>
      <c r="AG20" s="57">
        <v>0</v>
      </c>
      <c r="AH20" s="57">
        <v>0</v>
      </c>
      <c r="AI20" s="57">
        <v>0</v>
      </c>
      <c r="AJ20" s="57">
        <v>0</v>
      </c>
      <c r="AK20" s="57">
        <v>0</v>
      </c>
      <c r="AL20" s="57">
        <v>0</v>
      </c>
      <c r="AM20" s="57">
        <v>0</v>
      </c>
      <c r="AN20" s="57">
        <v>0</v>
      </c>
      <c r="AO20" s="57">
        <v>0</v>
      </c>
      <c r="AP20" s="59">
        <v>0.72546168300000002</v>
      </c>
      <c r="AQ20" s="57">
        <v>18.899999999999999</v>
      </c>
      <c r="AR20" s="57">
        <v>8.8084787609359996</v>
      </c>
      <c r="AS20" s="57">
        <v>16832.887967938001</v>
      </c>
      <c r="AT20" s="57">
        <v>28.839040000000001</v>
      </c>
      <c r="AU20" s="57">
        <v>0</v>
      </c>
      <c r="AV20" s="57">
        <v>0</v>
      </c>
      <c r="AW20" s="57">
        <v>0</v>
      </c>
      <c r="AX20" s="57">
        <v>0</v>
      </c>
      <c r="AY20" s="112">
        <v>8.7422606815709514E-2</v>
      </c>
      <c r="AZ20" s="113">
        <v>214.71438089233015</v>
      </c>
      <c r="BA20" s="113">
        <v>2467.5094900091899</v>
      </c>
      <c r="BB20" s="113">
        <v>-360.60004968716402</v>
      </c>
      <c r="BC20" s="113">
        <v>269.28417126602699</v>
      </c>
      <c r="BD20" s="113">
        <v>170.598481657771</v>
      </c>
      <c r="BE20" s="113">
        <v>-56.976202950966801</v>
      </c>
      <c r="BF20" s="113">
        <v>367.58439448425702</v>
      </c>
      <c r="BG20" s="113">
        <v>3.9227482540527199E-8</v>
      </c>
      <c r="BH20" s="113">
        <v>1.8066884288510101E-8</v>
      </c>
      <c r="BI20" s="113">
        <v>3.0133462321461601E-8</v>
      </c>
      <c r="BJ20" s="113">
        <v>2.3776206444981599E-8</v>
      </c>
      <c r="BK20" s="113">
        <v>7.6186900264243003E-9</v>
      </c>
      <c r="BL20" s="113">
        <v>-0.28940425867929098</v>
      </c>
      <c r="BM20" s="113">
        <v>-90.116159391881098</v>
      </c>
      <c r="BN20" s="113">
        <v>-525.65810213970497</v>
      </c>
      <c r="BO20" s="113">
        <v>0</v>
      </c>
      <c r="BP20" s="113">
        <v>0</v>
      </c>
      <c r="BQ20" s="113">
        <v>0</v>
      </c>
    </row>
    <row r="21" spans="1:69" x14ac:dyDescent="0.25">
      <c r="A21" s="87" t="s">
        <v>163</v>
      </c>
      <c r="B21" s="56">
        <v>45017</v>
      </c>
      <c r="C21" s="4" t="s">
        <v>15</v>
      </c>
      <c r="D21" s="57">
        <v>2132.3560000000002</v>
      </c>
      <c r="E21" s="57">
        <v>214404942</v>
      </c>
      <c r="F21" s="57">
        <v>100548.38</v>
      </c>
      <c r="G21" s="57">
        <v>18707.710042154598</v>
      </c>
      <c r="H21" s="57">
        <v>76.123999999999995</v>
      </c>
      <c r="I21" s="57">
        <v>90.132000000000005</v>
      </c>
      <c r="J21" s="57">
        <v>69.956772299999997</v>
      </c>
      <c r="K21" s="57">
        <v>79.690670662533094</v>
      </c>
      <c r="L21" s="58">
        <v>0</v>
      </c>
      <c r="M21" s="58">
        <v>0</v>
      </c>
      <c r="N21" s="58">
        <v>0</v>
      </c>
      <c r="O21" s="154">
        <f t="shared" si="0"/>
        <v>0</v>
      </c>
      <c r="P21" s="58">
        <v>0</v>
      </c>
      <c r="Q21" s="57">
        <v>0</v>
      </c>
      <c r="R21" s="57">
        <v>0</v>
      </c>
      <c r="S21" s="57">
        <v>0</v>
      </c>
      <c r="T21" s="57">
        <v>0</v>
      </c>
      <c r="U21" s="57">
        <v>0</v>
      </c>
      <c r="V21" s="57">
        <v>0</v>
      </c>
      <c r="W21" s="57">
        <v>0</v>
      </c>
      <c r="X21" s="57">
        <v>0</v>
      </c>
      <c r="Y21" s="57">
        <v>203</v>
      </c>
      <c r="Z21" s="57">
        <v>0</v>
      </c>
      <c r="AA21" s="57">
        <v>0</v>
      </c>
      <c r="AB21" s="57">
        <v>0</v>
      </c>
      <c r="AC21" s="57">
        <v>0</v>
      </c>
      <c r="AD21" s="57">
        <v>0</v>
      </c>
      <c r="AE21" s="57">
        <v>0</v>
      </c>
      <c r="AF21" s="57">
        <v>0</v>
      </c>
      <c r="AG21" s="57">
        <v>0</v>
      </c>
      <c r="AH21" s="57">
        <v>1.1075814664363901</v>
      </c>
      <c r="AI21" s="57">
        <v>0</v>
      </c>
      <c r="AJ21" s="57">
        <v>0</v>
      </c>
      <c r="AK21" s="57">
        <v>1.1075814664363901</v>
      </c>
      <c r="AL21" s="57">
        <v>163385.652</v>
      </c>
      <c r="AM21" s="57">
        <v>0</v>
      </c>
      <c r="AN21" s="57">
        <v>0</v>
      </c>
      <c r="AO21" s="57">
        <v>163385.652</v>
      </c>
      <c r="AP21" s="59">
        <v>0.26269868099999999</v>
      </c>
      <c r="AQ21" s="57">
        <v>15</v>
      </c>
      <c r="AR21" s="57">
        <v>8.6597088797410997</v>
      </c>
      <c r="AS21" s="57">
        <v>16832.887967938001</v>
      </c>
      <c r="AT21" s="57">
        <v>29.284051860719199</v>
      </c>
      <c r="AU21" s="57">
        <v>0</v>
      </c>
      <c r="AV21" s="57">
        <v>0</v>
      </c>
      <c r="AW21" s="57">
        <v>0</v>
      </c>
      <c r="AX21" s="57">
        <v>0</v>
      </c>
      <c r="AY21" s="112">
        <v>2.7604954336156829E-2</v>
      </c>
      <c r="AZ21" s="113">
        <v>58.863590008430037</v>
      </c>
      <c r="BA21" s="113">
        <v>2470.79341779691</v>
      </c>
      <c r="BB21" s="113">
        <v>-447.029324436384</v>
      </c>
      <c r="BC21" s="113">
        <v>301.85373247903601</v>
      </c>
      <c r="BD21" s="113">
        <v>130.95720263969099</v>
      </c>
      <c r="BE21" s="113">
        <v>-61.7903845442654</v>
      </c>
      <c r="BF21" s="113">
        <v>54.929539634890801</v>
      </c>
      <c r="BG21" s="113">
        <v>3.9185682092361997E-8</v>
      </c>
      <c r="BH21" s="113">
        <v>1.7682826303260001E-8</v>
      </c>
      <c r="BI21" s="113">
        <v>2.9640654373618801E-8</v>
      </c>
      <c r="BJ21" s="113">
        <v>2.3335715052290599E-8</v>
      </c>
      <c r="BK21" s="113">
        <v>7.9751765078284806E-9</v>
      </c>
      <c r="BL21" s="113">
        <v>-1.02823768435465E-3</v>
      </c>
      <c r="BM21" s="113">
        <v>-32.766887501535997</v>
      </c>
      <c r="BN21" s="113">
        <v>-343.45385795690601</v>
      </c>
      <c r="BO21" s="113">
        <v>0</v>
      </c>
      <c r="BP21" s="113">
        <v>0</v>
      </c>
      <c r="BQ21" s="113">
        <v>0</v>
      </c>
    </row>
    <row r="22" spans="1:69" x14ac:dyDescent="0.25">
      <c r="A22" s="87" t="s">
        <v>163</v>
      </c>
      <c r="B22" s="56">
        <v>45047</v>
      </c>
      <c r="C22" s="4" t="s">
        <v>15</v>
      </c>
      <c r="D22" s="57">
        <v>2729.991</v>
      </c>
      <c r="E22" s="57">
        <v>253735489</v>
      </c>
      <c r="F22" s="57">
        <v>92943.709000000003</v>
      </c>
      <c r="G22" s="57">
        <v>18840.959367049199</v>
      </c>
      <c r="H22" s="57">
        <v>75.503</v>
      </c>
      <c r="I22" s="57">
        <v>88.625</v>
      </c>
      <c r="J22" s="57">
        <v>71.685879</v>
      </c>
      <c r="K22" s="57">
        <v>78.929354176863896</v>
      </c>
      <c r="L22" s="58">
        <v>7.56319594607094E-2</v>
      </c>
      <c r="M22" s="58">
        <v>7.56319594607094E-2</v>
      </c>
      <c r="N22" s="58">
        <v>7.56319594607094E-2</v>
      </c>
      <c r="O22" s="154">
        <f t="shared" si="0"/>
        <v>1</v>
      </c>
      <c r="P22" s="58">
        <v>7.56319594607094E-2</v>
      </c>
      <c r="Q22" s="57">
        <v>0</v>
      </c>
      <c r="R22" s="57">
        <v>0</v>
      </c>
      <c r="S22" s="57">
        <v>0</v>
      </c>
      <c r="T22" s="57">
        <v>0</v>
      </c>
      <c r="U22" s="57">
        <v>0</v>
      </c>
      <c r="V22" s="57">
        <v>0</v>
      </c>
      <c r="W22" s="57">
        <v>0</v>
      </c>
      <c r="X22" s="57">
        <v>0</v>
      </c>
      <c r="Y22" s="57">
        <v>225</v>
      </c>
      <c r="Z22" s="57">
        <v>0</v>
      </c>
      <c r="AA22" s="57">
        <v>0</v>
      </c>
      <c r="AB22" s="57">
        <v>0</v>
      </c>
      <c r="AC22" s="57">
        <v>0</v>
      </c>
      <c r="AD22" s="57">
        <v>0</v>
      </c>
      <c r="AE22" s="57">
        <v>0</v>
      </c>
      <c r="AF22" s="57">
        <v>0</v>
      </c>
      <c r="AG22" s="57">
        <v>0</v>
      </c>
      <c r="AH22" s="57">
        <v>1.65242683887482</v>
      </c>
      <c r="AI22" s="57">
        <v>52.323664665222203</v>
      </c>
      <c r="AJ22" s="57">
        <v>0</v>
      </c>
      <c r="AK22" s="57">
        <v>53.976091504096999</v>
      </c>
      <c r="AL22" s="57">
        <v>318745.27</v>
      </c>
      <c r="AM22" s="57">
        <v>911880</v>
      </c>
      <c r="AN22" s="57">
        <v>0</v>
      </c>
      <c r="AO22" s="57">
        <v>1230625.27</v>
      </c>
      <c r="AP22" s="59">
        <v>0.32152854199999997</v>
      </c>
      <c r="AQ22" s="57">
        <v>11.5</v>
      </c>
      <c r="AR22" s="57">
        <v>8.5247377029714002</v>
      </c>
      <c r="AS22" s="57">
        <v>16832.887967938001</v>
      </c>
      <c r="AT22" s="57">
        <v>29.283433113892698</v>
      </c>
      <c r="AU22" s="57">
        <v>0</v>
      </c>
      <c r="AV22" s="57">
        <v>0</v>
      </c>
      <c r="AW22" s="57">
        <v>0</v>
      </c>
      <c r="AX22" s="57">
        <v>0</v>
      </c>
      <c r="AY22" s="112">
        <v>0.10315111999051638</v>
      </c>
      <c r="AZ22" s="113">
        <v>281.6016292140298</v>
      </c>
      <c r="BA22" s="113">
        <v>2477.2815097868001</v>
      </c>
      <c r="BB22" s="113">
        <v>-452.530988768979</v>
      </c>
      <c r="BC22" s="113">
        <v>305.553731984026</v>
      </c>
      <c r="BD22" s="113">
        <v>68.717993587248202</v>
      </c>
      <c r="BE22" s="113">
        <v>-50.622440806343299</v>
      </c>
      <c r="BF22" s="113">
        <v>319.944571013043</v>
      </c>
      <c r="BG22" s="113">
        <v>3.9197159151640998E-8</v>
      </c>
      <c r="BH22" s="113">
        <v>1.7443190530789799E-8</v>
      </c>
      <c r="BI22" s="113">
        <v>2.9011059651732799E-8</v>
      </c>
      <c r="BJ22" s="113">
        <v>2.2857842507030201E-8</v>
      </c>
      <c r="BK22" s="113">
        <v>8.1988581631469305E-9</v>
      </c>
      <c r="BL22" s="113">
        <v>-4.7167483977273196E-3</v>
      </c>
      <c r="BM22" s="113">
        <v>-40.386887029930897</v>
      </c>
      <c r="BN22" s="113">
        <v>-179.563402348209</v>
      </c>
      <c r="BO22" s="113">
        <v>0</v>
      </c>
      <c r="BP22" s="113">
        <v>0</v>
      </c>
      <c r="BQ22" s="113">
        <v>0</v>
      </c>
    </row>
    <row r="23" spans="1:69" x14ac:dyDescent="0.25">
      <c r="A23" s="87" t="s">
        <v>163</v>
      </c>
      <c r="B23" s="56">
        <v>45078</v>
      </c>
      <c r="C23" s="4" t="s">
        <v>15</v>
      </c>
      <c r="D23" s="57">
        <v>3845.5189999999998</v>
      </c>
      <c r="E23" s="57">
        <v>349632031</v>
      </c>
      <c r="F23" s="57">
        <v>90919.335000000006</v>
      </c>
      <c r="G23" s="57">
        <v>18679.785656377</v>
      </c>
      <c r="H23" s="57">
        <v>76.620999999999995</v>
      </c>
      <c r="I23" s="57">
        <v>87.596999999999994</v>
      </c>
      <c r="J23" s="57">
        <v>74.425287400000002</v>
      </c>
      <c r="K23" s="57">
        <v>80.690320167212406</v>
      </c>
      <c r="L23" s="58">
        <v>9.5765292290139303E-2</v>
      </c>
      <c r="M23" s="58">
        <v>9.5765292290139303E-2</v>
      </c>
      <c r="N23" s="58">
        <v>9.5765292290139303E-2</v>
      </c>
      <c r="O23" s="154">
        <f t="shared" si="0"/>
        <v>1</v>
      </c>
      <c r="P23" s="58">
        <v>9.5765292290139303E-2</v>
      </c>
      <c r="Q23" s="57">
        <v>22690032</v>
      </c>
      <c r="R23" s="57">
        <v>9834237</v>
      </c>
      <c r="S23" s="57">
        <v>6130482</v>
      </c>
      <c r="T23" s="57">
        <v>10478488</v>
      </c>
      <c r="U23" s="57">
        <v>28820514</v>
      </c>
      <c r="V23" s="57">
        <v>20312725</v>
      </c>
      <c r="W23" s="57">
        <v>16340</v>
      </c>
      <c r="X23" s="57">
        <v>2420275</v>
      </c>
      <c r="Y23" s="57">
        <v>222</v>
      </c>
      <c r="Z23" s="57">
        <v>1194909</v>
      </c>
      <c r="AA23" s="57">
        <v>7700000</v>
      </c>
      <c r="AB23" s="57">
        <v>26962827.666666701</v>
      </c>
      <c r="AC23" s="57">
        <v>272.21156777819999</v>
      </c>
      <c r="AD23" s="57">
        <v>5052632</v>
      </c>
      <c r="AE23" s="57">
        <v>51.010408779300001</v>
      </c>
      <c r="AF23" s="57">
        <v>0</v>
      </c>
      <c r="AG23" s="57">
        <v>0</v>
      </c>
      <c r="AH23" s="57">
        <v>435.17109516263002</v>
      </c>
      <c r="AI23" s="57">
        <v>164.08155170083</v>
      </c>
      <c r="AJ23" s="57">
        <v>72.711060211062403</v>
      </c>
      <c r="AK23" s="57">
        <v>671.96370707452297</v>
      </c>
      <c r="AL23" s="57">
        <v>82233588.849630103</v>
      </c>
      <c r="AM23" s="57">
        <v>14458293.743519999</v>
      </c>
      <c r="AN23" s="57">
        <v>14112405.4117199</v>
      </c>
      <c r="AO23" s="57">
        <v>110804288.00487</v>
      </c>
      <c r="AP23" s="59">
        <v>-0.43174433299999998</v>
      </c>
      <c r="AQ23" s="57">
        <v>8.8000000000000007</v>
      </c>
      <c r="AR23" s="57">
        <v>8.5275846527762003</v>
      </c>
      <c r="AS23" s="57">
        <v>16832.887967938001</v>
      </c>
      <c r="AT23" s="57">
        <v>29.414292493653001</v>
      </c>
      <c r="AU23" s="57">
        <v>0</v>
      </c>
      <c r="AV23" s="57">
        <v>1</v>
      </c>
      <c r="AW23" s="57">
        <v>0</v>
      </c>
      <c r="AX23" s="57">
        <v>0</v>
      </c>
      <c r="AY23" s="112">
        <v>3.5653820848174318E-2</v>
      </c>
      <c r="AZ23" s="113">
        <v>-137.10744549425044</v>
      </c>
      <c r="BA23" s="113">
        <v>2498.53462608989</v>
      </c>
      <c r="BB23" s="113">
        <v>-679.46175418232201</v>
      </c>
      <c r="BC23" s="113">
        <v>284.52754807890398</v>
      </c>
      <c r="BD23" s="113">
        <v>93.771502286812407</v>
      </c>
      <c r="BE23" s="113">
        <v>-99.087500142096602</v>
      </c>
      <c r="BF23" s="113">
        <v>410.609164554583</v>
      </c>
      <c r="BG23" s="113">
        <v>388.39791937088199</v>
      </c>
      <c r="BH23" s="113">
        <v>30.6544768856003</v>
      </c>
      <c r="BI23" s="113">
        <v>261.27739505869698</v>
      </c>
      <c r="BJ23" s="113">
        <v>224.130800982072</v>
      </c>
      <c r="BK23" s="113">
        <v>73.835672318537803</v>
      </c>
      <c r="BL23" s="113">
        <v>-91.053202243804606</v>
      </c>
      <c r="BM23" s="113">
        <v>55.313237421001297</v>
      </c>
      <c r="BN23" s="113">
        <v>-53.9986515295328</v>
      </c>
      <c r="BO23" s="113">
        <v>0</v>
      </c>
      <c r="BP23" s="113">
        <v>585.17521054501799</v>
      </c>
      <c r="BQ23" s="113">
        <v>0</v>
      </c>
    </row>
    <row r="24" spans="1:69" x14ac:dyDescent="0.25">
      <c r="A24" s="87" t="s">
        <v>163</v>
      </c>
      <c r="B24" s="56">
        <v>45108</v>
      </c>
      <c r="C24" s="4" t="s">
        <v>15</v>
      </c>
      <c r="D24" s="57">
        <v>3143.1770000000001</v>
      </c>
      <c r="E24" s="57">
        <v>280942518</v>
      </c>
      <c r="F24" s="57">
        <v>89381.705000000002</v>
      </c>
      <c r="G24" s="57">
        <v>18925.095155724401</v>
      </c>
      <c r="H24" s="57">
        <v>77.260000000000005</v>
      </c>
      <c r="I24" s="57">
        <v>88.471999999999994</v>
      </c>
      <c r="J24" s="57">
        <v>77.992831499999994</v>
      </c>
      <c r="K24" s="57">
        <v>81.382938691147501</v>
      </c>
      <c r="L24" s="58">
        <v>0.111057731611389</v>
      </c>
      <c r="M24" s="58">
        <v>0.111057731611389</v>
      </c>
      <c r="N24" s="58">
        <v>0.111057731611389</v>
      </c>
      <c r="O24" s="154">
        <f t="shared" si="0"/>
        <v>1</v>
      </c>
      <c r="P24" s="58">
        <v>0.111057731611389</v>
      </c>
      <c r="Q24" s="57">
        <v>27844032</v>
      </c>
      <c r="R24" s="57">
        <v>7815954</v>
      </c>
      <c r="S24" s="57">
        <v>4602267</v>
      </c>
      <c r="T24" s="57">
        <v>8528999</v>
      </c>
      <c r="U24" s="57">
        <v>32446299</v>
      </c>
      <c r="V24" s="57">
        <v>16344953</v>
      </c>
      <c r="W24" s="57">
        <v>32735</v>
      </c>
      <c r="X24" s="57">
        <v>2257577</v>
      </c>
      <c r="Y24" s="57">
        <v>323</v>
      </c>
      <c r="Z24" s="57">
        <v>1460318</v>
      </c>
      <c r="AA24" s="57">
        <v>5765930</v>
      </c>
      <c r="AB24" s="57">
        <v>14661064.380952399</v>
      </c>
      <c r="AC24" s="57">
        <v>148.01530524680001</v>
      </c>
      <c r="AD24" s="57">
        <v>5518796.1428571399</v>
      </c>
      <c r="AE24" s="57">
        <v>55.716711592999999</v>
      </c>
      <c r="AF24" s="57">
        <v>28109064.904761899</v>
      </c>
      <c r="AG24" s="57">
        <v>80</v>
      </c>
      <c r="AH24" s="57">
        <v>370.387746207416</v>
      </c>
      <c r="AI24" s="57">
        <v>369.04219854623102</v>
      </c>
      <c r="AJ24" s="57">
        <v>132.59826133400199</v>
      </c>
      <c r="AK24" s="57">
        <v>872.02820608764898</v>
      </c>
      <c r="AL24" s="57">
        <v>50374619.301699899</v>
      </c>
      <c r="AM24" s="57">
        <v>37212823.676030099</v>
      </c>
      <c r="AN24" s="57">
        <v>30330316.905140299</v>
      </c>
      <c r="AO24" s="57">
        <v>117917759.88287</v>
      </c>
      <c r="AP24" s="59">
        <v>0.119496138</v>
      </c>
      <c r="AQ24" s="57">
        <v>8.1999999999999993</v>
      </c>
      <c r="AR24" s="57">
        <v>8.7722140467169005</v>
      </c>
      <c r="AS24" s="57">
        <v>16832.887967938001</v>
      </c>
      <c r="AT24" s="57">
        <v>29.911715000000001</v>
      </c>
      <c r="AU24" s="57">
        <v>0</v>
      </c>
      <c r="AV24" s="57">
        <v>0</v>
      </c>
      <c r="AW24" s="57">
        <v>0</v>
      </c>
      <c r="AX24" s="57">
        <v>0</v>
      </c>
      <c r="AY24" s="112">
        <v>9.3820137996425149E-2</v>
      </c>
      <c r="AZ24" s="113">
        <v>-294.89329988718964</v>
      </c>
      <c r="BA24" s="113">
        <v>2512.4215074825502</v>
      </c>
      <c r="BB24" s="113">
        <v>-813.04055006017597</v>
      </c>
      <c r="BC24" s="113">
        <v>295.73713970177801</v>
      </c>
      <c r="BD24" s="113">
        <v>99.307273021311602</v>
      </c>
      <c r="BE24" s="113">
        <v>-122.373964760161</v>
      </c>
      <c r="BF24" s="113">
        <v>463.00458132479702</v>
      </c>
      <c r="BG24" s="113">
        <v>396.74059646403299</v>
      </c>
      <c r="BH24" s="113">
        <v>174.83294440917601</v>
      </c>
      <c r="BI24" s="113">
        <v>271.09594003145298</v>
      </c>
      <c r="BJ24" s="113">
        <v>218.48178681111901</v>
      </c>
      <c r="BK24" s="113">
        <v>74.603108228397105</v>
      </c>
      <c r="BL24" s="113">
        <v>-89.735572318366593</v>
      </c>
      <c r="BM24" s="113">
        <v>-15.500809382488599</v>
      </c>
      <c r="BN24" s="113">
        <v>-27.503681066232499</v>
      </c>
      <c r="BO24" s="113">
        <v>0</v>
      </c>
      <c r="BP24" s="113">
        <v>0</v>
      </c>
      <c r="BQ24" s="113">
        <v>0</v>
      </c>
    </row>
    <row r="25" spans="1:69" x14ac:dyDescent="0.25">
      <c r="A25" s="87" t="s">
        <v>163</v>
      </c>
      <c r="B25" s="56">
        <v>45139</v>
      </c>
      <c r="C25" s="4" t="s">
        <v>15</v>
      </c>
      <c r="D25" s="57">
        <v>2766.826</v>
      </c>
      <c r="E25" s="57">
        <v>259483176</v>
      </c>
      <c r="F25" s="57">
        <v>93783.698999999993</v>
      </c>
      <c r="G25" s="57">
        <v>18915.8576771562</v>
      </c>
      <c r="H25" s="57">
        <v>75.727999999999994</v>
      </c>
      <c r="I25" s="57">
        <v>86.072000000000003</v>
      </c>
      <c r="J25" s="57">
        <v>89.008620699999994</v>
      </c>
      <c r="K25" s="57">
        <v>88.029149199020395</v>
      </c>
      <c r="L25" s="58">
        <v>0</v>
      </c>
      <c r="M25" s="58">
        <v>6.7277871607677897E-2</v>
      </c>
      <c r="N25" s="58">
        <v>6.7277871607677897E-2</v>
      </c>
      <c r="O25" s="154">
        <f t="shared" si="0"/>
        <v>1</v>
      </c>
      <c r="P25" s="58">
        <v>6.7277871607677897E-2</v>
      </c>
      <c r="Q25" s="57">
        <v>13093405</v>
      </c>
      <c r="R25" s="57">
        <v>4838705</v>
      </c>
      <c r="S25" s="57">
        <v>3936908</v>
      </c>
      <c r="T25" s="57">
        <v>8579511</v>
      </c>
      <c r="U25" s="57">
        <v>17030313</v>
      </c>
      <c r="V25" s="57">
        <v>13418216</v>
      </c>
      <c r="W25" s="57">
        <v>11260</v>
      </c>
      <c r="X25" s="57">
        <v>2334401</v>
      </c>
      <c r="Y25" s="57">
        <v>204</v>
      </c>
      <c r="Z25" s="57">
        <v>877715</v>
      </c>
      <c r="AA25" s="57">
        <v>4908888</v>
      </c>
      <c r="AB25" s="57">
        <v>3951030.7142857201</v>
      </c>
      <c r="AC25" s="57">
        <v>39.888855236200001</v>
      </c>
      <c r="AD25" s="57">
        <v>7954658.3850931702</v>
      </c>
      <c r="AE25" s="57">
        <v>80.308709654599994</v>
      </c>
      <c r="AF25" s="57">
        <v>0</v>
      </c>
      <c r="AG25" s="57">
        <v>0</v>
      </c>
      <c r="AH25" s="57">
        <v>14.811962366104099</v>
      </c>
      <c r="AI25" s="57">
        <v>688.49309452623095</v>
      </c>
      <c r="AJ25" s="57">
        <v>12.527611494064301</v>
      </c>
      <c r="AK25" s="57">
        <v>715.83266838639997</v>
      </c>
      <c r="AL25" s="57">
        <v>775072.59549999796</v>
      </c>
      <c r="AM25" s="57">
        <v>90192422.098880097</v>
      </c>
      <c r="AN25" s="57">
        <v>642561.34525000001</v>
      </c>
      <c r="AO25" s="57">
        <v>91610056.039629996</v>
      </c>
      <c r="AP25" s="59">
        <v>0.117877657</v>
      </c>
      <c r="AQ25" s="57">
        <v>9.6999999999999993</v>
      </c>
      <c r="AR25" s="57">
        <v>8.9956512830771995</v>
      </c>
      <c r="AS25" s="57">
        <v>16832.887967938001</v>
      </c>
      <c r="AT25" s="57">
        <v>29.701405000000001</v>
      </c>
      <c r="AU25" s="57">
        <v>0</v>
      </c>
      <c r="AV25" s="57">
        <v>0</v>
      </c>
      <c r="AW25" s="57">
        <v>0</v>
      </c>
      <c r="AX25" s="57">
        <v>0</v>
      </c>
      <c r="AY25" s="112">
        <v>7.0709761253403655E-2</v>
      </c>
      <c r="AZ25" s="113">
        <v>-195.64160588970981</v>
      </c>
      <c r="BA25" s="113">
        <v>2510.2356959373401</v>
      </c>
      <c r="BB25" s="113">
        <v>-827.93500130736004</v>
      </c>
      <c r="BC25" s="113">
        <v>293.57267970148098</v>
      </c>
      <c r="BD25" s="113">
        <v>0</v>
      </c>
      <c r="BE25" s="113">
        <v>-239.634713689721</v>
      </c>
      <c r="BF25" s="113">
        <v>319.59722845016</v>
      </c>
      <c r="BG25" s="113">
        <v>394.76450336512403</v>
      </c>
      <c r="BH25" s="113">
        <v>152.22997286211699</v>
      </c>
      <c r="BI25" s="113">
        <v>269.101116075297</v>
      </c>
      <c r="BJ25" s="113">
        <v>215.84954306063801</v>
      </c>
      <c r="BK25" s="113">
        <v>81.693020599560001</v>
      </c>
      <c r="BL25" s="113">
        <v>-90.556002675633806</v>
      </c>
      <c r="BM25" s="113">
        <v>-15.259075471110201</v>
      </c>
      <c r="BN25" s="113">
        <v>-101.19136101818199</v>
      </c>
      <c r="BO25" s="113">
        <v>0</v>
      </c>
      <c r="BP25" s="113">
        <v>0</v>
      </c>
      <c r="BQ25" s="113">
        <v>0</v>
      </c>
    </row>
    <row r="26" spans="1:69" x14ac:dyDescent="0.25">
      <c r="A26" s="87" t="s">
        <v>163</v>
      </c>
      <c r="B26" s="56">
        <v>45170</v>
      </c>
      <c r="C26" s="4" t="s">
        <v>17</v>
      </c>
      <c r="D26" s="57">
        <v>3379.2</v>
      </c>
      <c r="E26" s="57">
        <v>314390273</v>
      </c>
      <c r="F26" s="57">
        <v>93036.894</v>
      </c>
      <c r="G26" s="57">
        <v>19391.708870976501</v>
      </c>
      <c r="H26" s="57">
        <v>76.477999999999994</v>
      </c>
      <c r="I26" s="57">
        <v>85.096999999999994</v>
      </c>
      <c r="J26" s="57">
        <v>84.147041900000005</v>
      </c>
      <c r="K26" s="57">
        <v>84.447312906180301</v>
      </c>
      <c r="L26" s="58">
        <v>0</v>
      </c>
      <c r="M26" s="58">
        <v>5.4584152262964002E-2</v>
      </c>
      <c r="N26" s="58">
        <v>5.4584152262964002E-2</v>
      </c>
      <c r="O26" s="154">
        <f t="shared" si="0"/>
        <v>1</v>
      </c>
      <c r="P26" s="58">
        <v>0</v>
      </c>
      <c r="Q26" s="57">
        <v>0</v>
      </c>
      <c r="R26" s="57">
        <v>0</v>
      </c>
      <c r="S26" s="57">
        <v>0</v>
      </c>
      <c r="T26" s="57">
        <v>0</v>
      </c>
      <c r="U26" s="57">
        <v>0</v>
      </c>
      <c r="V26" s="57">
        <v>0</v>
      </c>
      <c r="W26" s="57">
        <v>0</v>
      </c>
      <c r="X26" s="57">
        <v>0</v>
      </c>
      <c r="Y26" s="57">
        <v>211</v>
      </c>
      <c r="Z26" s="57">
        <v>0</v>
      </c>
      <c r="AA26" s="57">
        <v>0</v>
      </c>
      <c r="AB26" s="57">
        <v>0</v>
      </c>
      <c r="AC26" s="57">
        <v>0</v>
      </c>
      <c r="AD26" s="57">
        <v>1173913.04347826</v>
      </c>
      <c r="AE26" s="57">
        <v>11.8516017001</v>
      </c>
      <c r="AF26" s="57">
        <v>0</v>
      </c>
      <c r="AG26" s="57">
        <v>0</v>
      </c>
      <c r="AH26" s="57">
        <v>18.559028513729601</v>
      </c>
      <c r="AI26" s="57">
        <v>183.507558047771</v>
      </c>
      <c r="AJ26" s="57">
        <v>1.5644068419933299</v>
      </c>
      <c r="AK26" s="57">
        <v>203.63099340349399</v>
      </c>
      <c r="AL26" s="57">
        <v>685153.25599999796</v>
      </c>
      <c r="AM26" s="57">
        <v>14082944.136399999</v>
      </c>
      <c r="AN26" s="57">
        <v>0</v>
      </c>
      <c r="AO26" s="57">
        <v>14768097.3924</v>
      </c>
      <c r="AP26" s="59">
        <v>0.63557056499999998</v>
      </c>
      <c r="AQ26" s="57">
        <v>12.1</v>
      </c>
      <c r="AR26" s="57">
        <v>8.9130085719370005</v>
      </c>
      <c r="AS26" s="57">
        <v>16832.887967938001</v>
      </c>
      <c r="AT26" s="57">
        <v>30.165970000000002</v>
      </c>
      <c r="AU26" s="57">
        <v>0</v>
      </c>
      <c r="AV26" s="57">
        <v>0</v>
      </c>
      <c r="AW26" s="57">
        <v>1</v>
      </c>
      <c r="AX26" s="57">
        <v>0</v>
      </c>
      <c r="AY26" s="112">
        <v>9.5316655785984954E-3</v>
      </c>
      <c r="AZ26" s="113">
        <v>-32.209404323200033</v>
      </c>
      <c r="BA26" s="113">
        <v>2497.7847955812099</v>
      </c>
      <c r="BB26" s="113">
        <v>-657.94595532474</v>
      </c>
      <c r="BC26" s="113">
        <v>331.19340119348902</v>
      </c>
      <c r="BD26" s="113">
        <v>71.937966147810599</v>
      </c>
      <c r="BE26" s="113">
        <v>-165.74096552559001</v>
      </c>
      <c r="BF26" s="113">
        <v>264.166567809377</v>
      </c>
      <c r="BG26" s="113">
        <v>388.26951255332</v>
      </c>
      <c r="BH26" s="113">
        <v>25.145589633063999</v>
      </c>
      <c r="BI26" s="113">
        <v>221.077224234927</v>
      </c>
      <c r="BJ26" s="113">
        <v>213.148189629218</v>
      </c>
      <c r="BK26" s="113">
        <v>93.950801717283497</v>
      </c>
      <c r="BL26" s="113">
        <v>-93.834403964887798</v>
      </c>
      <c r="BM26" s="113">
        <v>-81.357618799406495</v>
      </c>
      <c r="BN26" s="113">
        <v>-216.32014838507999</v>
      </c>
      <c r="BO26" s="113">
        <v>0</v>
      </c>
      <c r="BP26" s="113">
        <v>0</v>
      </c>
      <c r="BQ26" s="113">
        <v>519.93444782320296</v>
      </c>
    </row>
    <row r="27" spans="1:69" x14ac:dyDescent="0.25">
      <c r="A27" s="87" t="s">
        <v>163</v>
      </c>
      <c r="B27" s="56">
        <v>45200</v>
      </c>
      <c r="C27" s="4" t="s">
        <v>17</v>
      </c>
      <c r="D27" s="57">
        <v>2507.8960000000002</v>
      </c>
      <c r="E27" s="57">
        <v>235267090.59200001</v>
      </c>
      <c r="F27" s="57">
        <v>93810.544999999998</v>
      </c>
      <c r="G27" s="57">
        <v>18725.548950472501</v>
      </c>
      <c r="H27" s="57">
        <v>78.486000000000004</v>
      </c>
      <c r="I27" s="57">
        <v>86.551000000000002</v>
      </c>
      <c r="J27" s="57">
        <v>90.732758599999997</v>
      </c>
      <c r="K27" s="57">
        <v>89.673683836074005</v>
      </c>
      <c r="L27" s="58">
        <v>0</v>
      </c>
      <c r="M27" s="58">
        <v>4.6722519263719599E-2</v>
      </c>
      <c r="N27" s="58">
        <v>0</v>
      </c>
      <c r="O27" s="154">
        <f t="shared" si="0"/>
        <v>0</v>
      </c>
      <c r="P27" s="58">
        <v>0</v>
      </c>
      <c r="Q27" s="57">
        <v>0</v>
      </c>
      <c r="R27" s="57">
        <v>0</v>
      </c>
      <c r="S27" s="57">
        <v>0</v>
      </c>
      <c r="T27" s="57">
        <v>0</v>
      </c>
      <c r="U27" s="57">
        <v>0</v>
      </c>
      <c r="V27" s="57">
        <v>0</v>
      </c>
      <c r="W27" s="57">
        <v>0</v>
      </c>
      <c r="X27" s="57">
        <v>0</v>
      </c>
      <c r="Y27" s="57">
        <v>222</v>
      </c>
      <c r="Z27" s="57">
        <v>0</v>
      </c>
      <c r="AA27" s="57">
        <v>0</v>
      </c>
      <c r="AB27" s="57">
        <v>0</v>
      </c>
      <c r="AC27" s="57">
        <v>0</v>
      </c>
      <c r="AD27" s="57">
        <v>0</v>
      </c>
      <c r="AE27" s="57">
        <v>0</v>
      </c>
      <c r="AF27" s="57">
        <v>0</v>
      </c>
      <c r="AG27" s="57">
        <v>0</v>
      </c>
      <c r="AH27" s="57">
        <v>231.12173764407601</v>
      </c>
      <c r="AI27" s="57">
        <v>244.59651529788999</v>
      </c>
      <c r="AJ27" s="57">
        <v>0</v>
      </c>
      <c r="AK27" s="57">
        <v>475.718252941966</v>
      </c>
      <c r="AL27" s="57">
        <v>95017349.716829807</v>
      </c>
      <c r="AM27" s="57">
        <v>26099958.000640001</v>
      </c>
      <c r="AN27" s="57">
        <v>0</v>
      </c>
      <c r="AO27" s="57">
        <v>121117307.71747001</v>
      </c>
      <c r="AP27" s="59">
        <v>0.29292643499999999</v>
      </c>
      <c r="AQ27" s="57">
        <v>14.8</v>
      </c>
      <c r="AR27" s="57">
        <v>8.8864690786626994</v>
      </c>
      <c r="AS27" s="57">
        <v>16832.887967938001</v>
      </c>
      <c r="AT27" s="57">
        <v>31.556535</v>
      </c>
      <c r="AU27" s="57">
        <v>0</v>
      </c>
      <c r="AV27" s="57">
        <v>0</v>
      </c>
      <c r="AW27" s="57">
        <v>0</v>
      </c>
      <c r="AX27" s="57">
        <v>0</v>
      </c>
      <c r="AY27" s="112">
        <v>8.8521303739470857E-4</v>
      </c>
      <c r="AZ27" s="113">
        <v>-2.2200222356300401</v>
      </c>
      <c r="BA27" s="113">
        <v>2483.68660311861</v>
      </c>
      <c r="BB27" s="113">
        <v>-483.23577672146598</v>
      </c>
      <c r="BC27" s="113">
        <v>288.00571674528697</v>
      </c>
      <c r="BD27" s="113">
        <v>229.78127096198801</v>
      </c>
      <c r="BE27" s="113">
        <v>-248.43222241137599</v>
      </c>
      <c r="BF27" s="113">
        <v>42.0106835990386</v>
      </c>
      <c r="BG27" s="113">
        <v>348.10023965119098</v>
      </c>
      <c r="BH27" s="113">
        <v>0.21286900655129801</v>
      </c>
      <c r="BI27" s="113">
        <v>31.454487606494201</v>
      </c>
      <c r="BJ27" s="113">
        <v>191.53098148541599</v>
      </c>
      <c r="BK27" s="113">
        <v>107.096806097978</v>
      </c>
      <c r="BL27" s="113">
        <v>-98.676792829646303</v>
      </c>
      <c r="BM27" s="113">
        <v>-37.033358385957797</v>
      </c>
      <c r="BN27" s="113">
        <v>-344.38548568847301</v>
      </c>
      <c r="BO27" s="113">
        <v>0</v>
      </c>
      <c r="BP27" s="113">
        <v>0</v>
      </c>
      <c r="BQ27" s="113">
        <v>0</v>
      </c>
    </row>
    <row r="28" spans="1:69" x14ac:dyDescent="0.25">
      <c r="A28" s="87" t="s">
        <v>163</v>
      </c>
      <c r="B28" s="56">
        <v>45231</v>
      </c>
      <c r="C28" s="4" t="s">
        <v>17</v>
      </c>
      <c r="D28" s="57">
        <v>2223.8180000000002</v>
      </c>
      <c r="E28" s="57">
        <v>215041756.66600001</v>
      </c>
      <c r="F28" s="57">
        <v>96699.350999999995</v>
      </c>
      <c r="G28" s="57">
        <v>18875.669116499499</v>
      </c>
      <c r="H28" s="57">
        <v>77.63</v>
      </c>
      <c r="I28" s="57">
        <v>86.32</v>
      </c>
      <c r="J28" s="57">
        <v>90.459110499999994</v>
      </c>
      <c r="K28" s="57">
        <v>89.434417294454505</v>
      </c>
      <c r="L28" s="58">
        <v>0</v>
      </c>
      <c r="M28" s="58">
        <v>1.7367251089807498E-2</v>
      </c>
      <c r="N28" s="58">
        <v>0</v>
      </c>
      <c r="O28" s="154">
        <f t="shared" si="0"/>
        <v>0</v>
      </c>
      <c r="P28" s="58">
        <v>0</v>
      </c>
      <c r="Q28" s="57">
        <v>0</v>
      </c>
      <c r="R28" s="57">
        <v>0</v>
      </c>
      <c r="S28" s="57">
        <v>0</v>
      </c>
      <c r="T28" s="57">
        <v>0</v>
      </c>
      <c r="U28" s="57">
        <v>0</v>
      </c>
      <c r="V28" s="57">
        <v>0</v>
      </c>
      <c r="W28" s="57">
        <v>0</v>
      </c>
      <c r="X28" s="57">
        <v>0</v>
      </c>
      <c r="Y28" s="57">
        <v>173</v>
      </c>
      <c r="Z28" s="57">
        <v>0</v>
      </c>
      <c r="AA28" s="57">
        <v>0</v>
      </c>
      <c r="AB28" s="57">
        <v>0</v>
      </c>
      <c r="AC28" s="57">
        <v>0</v>
      </c>
      <c r="AD28" s="57">
        <v>0</v>
      </c>
      <c r="AE28" s="57">
        <v>0</v>
      </c>
      <c r="AF28" s="57">
        <v>0</v>
      </c>
      <c r="AG28" s="57">
        <v>0</v>
      </c>
      <c r="AH28" s="57">
        <v>108.977240338922</v>
      </c>
      <c r="AI28" s="57">
        <v>253.36195962131001</v>
      </c>
      <c r="AJ28" s="57">
        <v>0</v>
      </c>
      <c r="AK28" s="57">
        <v>362.33919996023201</v>
      </c>
      <c r="AL28" s="57">
        <v>34672575.799000002</v>
      </c>
      <c r="AM28" s="57">
        <v>34127658.35108</v>
      </c>
      <c r="AN28" s="57">
        <v>0</v>
      </c>
      <c r="AO28" s="57">
        <v>68800234.150079995</v>
      </c>
      <c r="AP28" s="59">
        <v>0.74525501500000002</v>
      </c>
      <c r="AQ28" s="57">
        <v>17.8</v>
      </c>
      <c r="AR28" s="57">
        <v>8.7324121337560001</v>
      </c>
      <c r="AS28" s="57">
        <v>16832.887967938001</v>
      </c>
      <c r="AT28" s="57">
        <v>33.022064999999998</v>
      </c>
      <c r="AU28" s="57">
        <v>0</v>
      </c>
      <c r="AV28" s="57">
        <v>0</v>
      </c>
      <c r="AW28" s="57">
        <v>0</v>
      </c>
      <c r="AX28" s="57">
        <v>0</v>
      </c>
      <c r="AY28" s="112">
        <v>1.8570585068890557E-2</v>
      </c>
      <c r="AZ28" s="113">
        <v>41.297601346730062</v>
      </c>
      <c r="BA28" s="113">
        <v>2469.48822164179</v>
      </c>
      <c r="BB28" s="113">
        <v>-317.09604294337697</v>
      </c>
      <c r="BC28" s="113">
        <v>303.691982201884</v>
      </c>
      <c r="BD28" s="113">
        <v>201.45044440773901</v>
      </c>
      <c r="BE28" s="113">
        <v>-233.327274974082</v>
      </c>
      <c r="BF28" s="113">
        <v>6.6611923463177103</v>
      </c>
      <c r="BG28" s="113">
        <v>192.64356170201</v>
      </c>
      <c r="BH28" s="113">
        <v>6.6468973558466901E-4</v>
      </c>
      <c r="BI28" s="113">
        <v>0.23669972583827001</v>
      </c>
      <c r="BJ28" s="113">
        <v>121.229388094203</v>
      </c>
      <c r="BK28" s="113">
        <v>118.429788079072</v>
      </c>
      <c r="BL28" s="113">
        <v>-102.51484398638399</v>
      </c>
      <c r="BM28" s="113">
        <v>-93.037843024464294</v>
      </c>
      <c r="BN28" s="113">
        <v>-485.335539307011</v>
      </c>
      <c r="BO28" s="113">
        <v>0</v>
      </c>
      <c r="BP28" s="113">
        <v>0</v>
      </c>
      <c r="BQ28" s="113">
        <v>0</v>
      </c>
    </row>
    <row r="29" spans="1:69" x14ac:dyDescent="0.25">
      <c r="A29" s="87" t="s">
        <v>163</v>
      </c>
      <c r="B29" s="56">
        <v>45261</v>
      </c>
      <c r="C29" s="4" t="s">
        <v>17</v>
      </c>
      <c r="D29" s="57">
        <v>2936.4380000000001</v>
      </c>
      <c r="E29" s="57">
        <v>269706267.579</v>
      </c>
      <c r="F29" s="57">
        <v>91848.106</v>
      </c>
      <c r="G29" s="57">
        <v>19578.5227756895</v>
      </c>
      <c r="H29" s="57">
        <v>77.311999999999998</v>
      </c>
      <c r="I29" s="57">
        <v>88.424000000000007</v>
      </c>
      <c r="J29" s="57">
        <v>90.598290599999999</v>
      </c>
      <c r="K29" s="57">
        <v>89.962711843075397</v>
      </c>
      <c r="L29" s="58">
        <v>0</v>
      </c>
      <c r="M29" s="58">
        <v>6.6664295596205694E-2</v>
      </c>
      <c r="N29" s="58">
        <v>6.6664295596205694E-2</v>
      </c>
      <c r="O29" s="154">
        <f t="shared" si="0"/>
        <v>1</v>
      </c>
      <c r="P29" s="58">
        <v>6.6664295596205694E-2</v>
      </c>
      <c r="Q29" s="57">
        <v>0</v>
      </c>
      <c r="R29" s="57">
        <v>0</v>
      </c>
      <c r="S29" s="57">
        <v>0</v>
      </c>
      <c r="T29" s="57">
        <v>0</v>
      </c>
      <c r="U29" s="57">
        <v>0</v>
      </c>
      <c r="V29" s="57">
        <v>0</v>
      </c>
      <c r="W29" s="57">
        <v>0</v>
      </c>
      <c r="X29" s="57">
        <v>0</v>
      </c>
      <c r="Y29" s="57">
        <v>191</v>
      </c>
      <c r="Z29" s="57">
        <v>0</v>
      </c>
      <c r="AA29" s="57">
        <v>0</v>
      </c>
      <c r="AB29" s="57">
        <v>0</v>
      </c>
      <c r="AC29" s="57">
        <v>0</v>
      </c>
      <c r="AD29" s="57">
        <v>0</v>
      </c>
      <c r="AE29" s="57">
        <v>0</v>
      </c>
      <c r="AF29" s="57">
        <v>0</v>
      </c>
      <c r="AG29" s="57">
        <v>0</v>
      </c>
      <c r="AH29" s="57">
        <v>0</v>
      </c>
      <c r="AI29" s="57">
        <v>153.07650579512099</v>
      </c>
      <c r="AJ29" s="57">
        <v>0</v>
      </c>
      <c r="AK29" s="57">
        <v>153.07650579512099</v>
      </c>
      <c r="AL29" s="57">
        <v>0</v>
      </c>
      <c r="AM29" s="57">
        <v>24482274.393599998</v>
      </c>
      <c r="AN29" s="57">
        <v>0</v>
      </c>
      <c r="AO29" s="57">
        <v>24482274.393599998</v>
      </c>
      <c r="AP29" s="59">
        <v>-0.52574812199999998</v>
      </c>
      <c r="AQ29" s="57">
        <v>20</v>
      </c>
      <c r="AR29" s="57">
        <v>8.4756393474728</v>
      </c>
      <c r="AS29" s="57">
        <v>16832.887967938001</v>
      </c>
      <c r="AT29" s="57">
        <v>31.835284999999999</v>
      </c>
      <c r="AU29" s="57">
        <v>0</v>
      </c>
      <c r="AV29" s="57">
        <v>0</v>
      </c>
      <c r="AW29" s="57">
        <v>0</v>
      </c>
      <c r="AX29" s="57">
        <v>1</v>
      </c>
      <c r="AY29" s="112">
        <v>0.14122528123508832</v>
      </c>
      <c r="AZ29" s="113">
        <v>414.6992823794003</v>
      </c>
      <c r="BA29" s="113">
        <v>2457.5901297362502</v>
      </c>
      <c r="BB29" s="113">
        <v>-143.34457745758399</v>
      </c>
      <c r="BC29" s="113">
        <v>358.70943668212698</v>
      </c>
      <c r="BD29" s="113">
        <v>206.317504320235</v>
      </c>
      <c r="BE29" s="113">
        <v>-232.892109872551</v>
      </c>
      <c r="BF29" s="113">
        <v>306.153482876373</v>
      </c>
      <c r="BG29" s="113">
        <v>36.542491429094603</v>
      </c>
      <c r="BH29" s="113">
        <v>7.0487086294815101E-6</v>
      </c>
      <c r="BI29" s="113">
        <v>8.0167268586186797E-4</v>
      </c>
      <c r="BJ29" s="113">
        <v>37.819119666646102</v>
      </c>
      <c r="BK29" s="113">
        <v>111.21873632912001</v>
      </c>
      <c r="BL29" s="113">
        <v>-93.874296285411106</v>
      </c>
      <c r="BM29" s="113">
        <v>65.0437038090474</v>
      </c>
      <c r="BN29" s="113">
        <v>-587.54571233414697</v>
      </c>
      <c r="BO29" s="113">
        <v>0</v>
      </c>
      <c r="BP29" s="113">
        <v>0</v>
      </c>
      <c r="BQ29" s="113">
        <v>0</v>
      </c>
    </row>
    <row r="30" spans="1:69" x14ac:dyDescent="0.25">
      <c r="A30" s="87" t="s">
        <v>163</v>
      </c>
      <c r="B30" s="56">
        <v>45292</v>
      </c>
      <c r="C30" s="4" t="s">
        <v>17</v>
      </c>
      <c r="D30" s="57">
        <v>1650.241</v>
      </c>
      <c r="E30" s="57">
        <v>157193389</v>
      </c>
      <c r="F30" s="57">
        <v>95254.808000000005</v>
      </c>
      <c r="G30" s="57">
        <v>19794.411072665898</v>
      </c>
      <c r="H30" s="57">
        <v>77.138000000000005</v>
      </c>
      <c r="I30" s="57">
        <v>88.563000000000002</v>
      </c>
      <c r="J30" s="57">
        <v>85.724431800000005</v>
      </c>
      <c r="K30" s="57">
        <v>86.771128835716098</v>
      </c>
      <c r="L30" s="58">
        <v>0</v>
      </c>
      <c r="M30" s="58">
        <v>3.2046307819039999E-2</v>
      </c>
      <c r="N30" s="58">
        <v>0</v>
      </c>
      <c r="O30" s="154">
        <f t="shared" si="0"/>
        <v>0</v>
      </c>
      <c r="P30" s="58">
        <v>0</v>
      </c>
      <c r="Q30" s="57">
        <v>0</v>
      </c>
      <c r="R30" s="57">
        <v>0</v>
      </c>
      <c r="S30" s="57">
        <v>0</v>
      </c>
      <c r="T30" s="57">
        <v>0</v>
      </c>
      <c r="U30" s="57">
        <v>0</v>
      </c>
      <c r="V30" s="57">
        <v>0</v>
      </c>
      <c r="W30" s="57">
        <v>0</v>
      </c>
      <c r="X30" s="57">
        <v>0</v>
      </c>
      <c r="Y30" s="57">
        <v>143</v>
      </c>
      <c r="Z30" s="57">
        <v>0</v>
      </c>
      <c r="AA30" s="57">
        <v>0</v>
      </c>
      <c r="AB30" s="57">
        <v>0</v>
      </c>
      <c r="AC30" s="57">
        <v>0</v>
      </c>
      <c r="AD30" s="57">
        <v>0</v>
      </c>
      <c r="AE30" s="57">
        <v>0</v>
      </c>
      <c r="AF30" s="57">
        <v>0</v>
      </c>
      <c r="AG30" s="57">
        <v>0</v>
      </c>
      <c r="AH30" s="57">
        <v>183.29922904819301</v>
      </c>
      <c r="AI30" s="57">
        <v>59.288105607032797</v>
      </c>
      <c r="AJ30" s="57">
        <v>0</v>
      </c>
      <c r="AK30" s="57">
        <v>242.58733465522499</v>
      </c>
      <c r="AL30" s="57">
        <v>13930062.6464535</v>
      </c>
      <c r="AM30" s="57">
        <v>0</v>
      </c>
      <c r="AN30" s="57">
        <v>0</v>
      </c>
      <c r="AO30" s="57">
        <v>13930062.6464535</v>
      </c>
      <c r="AP30" s="59">
        <v>0.66854217100000002</v>
      </c>
      <c r="AQ30" s="57">
        <v>21.4</v>
      </c>
      <c r="AR30" s="57">
        <v>8.4356310785176003</v>
      </c>
      <c r="AS30" s="57">
        <v>0</v>
      </c>
      <c r="AT30" s="57">
        <v>32.581690000000002</v>
      </c>
      <c r="AU30" s="57">
        <v>0</v>
      </c>
      <c r="AV30" s="57">
        <v>0</v>
      </c>
      <c r="AW30" s="57">
        <v>0</v>
      </c>
      <c r="AX30" s="57">
        <v>0</v>
      </c>
      <c r="AY30" s="112">
        <v>0.11969612525678371</v>
      </c>
      <c r="AZ30" s="113">
        <v>-197.52745343987999</v>
      </c>
      <c r="BA30" s="113">
        <v>2466.5158422189402</v>
      </c>
      <c r="BB30" s="113">
        <v>-262.80847112744402</v>
      </c>
      <c r="BC30" s="113">
        <v>366.80436144379701</v>
      </c>
      <c r="BD30" s="113">
        <v>173.30839346633499</v>
      </c>
      <c r="BE30" s="113">
        <v>-182.00251681227201</v>
      </c>
      <c r="BF30" s="113">
        <v>44.718572563408102</v>
      </c>
      <c r="BG30" s="113">
        <v>2.0851824161127199</v>
      </c>
      <c r="BH30" s="113">
        <v>4.2544307313385302E-7</v>
      </c>
      <c r="BI30" s="113">
        <v>9.8430010823080904E-6</v>
      </c>
      <c r="BJ30" s="113">
        <v>4.8345856668257099</v>
      </c>
      <c r="BK30" s="113">
        <v>64.572100665719901</v>
      </c>
      <c r="BL30" s="113">
        <v>-86.148306537805396</v>
      </c>
      <c r="BM30" s="113">
        <v>-83.308111275834804</v>
      </c>
      <c r="BN30" s="113">
        <v>-660.80318951635002</v>
      </c>
      <c r="BO30" s="113">
        <v>0</v>
      </c>
      <c r="BP30" s="113">
        <v>0</v>
      </c>
      <c r="BQ30" s="113">
        <v>0</v>
      </c>
    </row>
    <row r="31" spans="1:69" x14ac:dyDescent="0.25">
      <c r="A31" s="87" t="s">
        <v>163</v>
      </c>
      <c r="B31" s="56">
        <v>45323</v>
      </c>
      <c r="C31" s="4" t="s">
        <v>17</v>
      </c>
      <c r="D31" s="57">
        <v>1507.9079999999999</v>
      </c>
      <c r="E31" s="57">
        <v>146873209.44100001</v>
      </c>
      <c r="F31" s="57">
        <v>97401.97</v>
      </c>
      <c r="G31" s="57">
        <v>18880.0529267684</v>
      </c>
      <c r="H31" s="57">
        <v>77.153000000000006</v>
      </c>
      <c r="I31" s="57">
        <v>88.054000000000002</v>
      </c>
      <c r="J31" s="57">
        <v>85.653409100000005</v>
      </c>
      <c r="K31" s="57">
        <v>86.506583912224798</v>
      </c>
      <c r="L31" s="58">
        <v>0</v>
      </c>
      <c r="M31" s="58">
        <v>1.02274261347617E-2</v>
      </c>
      <c r="N31" s="58">
        <v>0</v>
      </c>
      <c r="O31" s="154">
        <f t="shared" si="0"/>
        <v>0</v>
      </c>
      <c r="P31" s="58">
        <v>0</v>
      </c>
      <c r="Q31" s="57">
        <v>0</v>
      </c>
      <c r="R31" s="57">
        <v>0</v>
      </c>
      <c r="S31" s="57">
        <v>0</v>
      </c>
      <c r="T31" s="57">
        <v>0</v>
      </c>
      <c r="U31" s="57">
        <v>0</v>
      </c>
      <c r="V31" s="57">
        <v>0</v>
      </c>
      <c r="W31" s="57">
        <v>0</v>
      </c>
      <c r="X31" s="57">
        <v>0</v>
      </c>
      <c r="Y31" s="57">
        <v>182</v>
      </c>
      <c r="Z31" s="57">
        <v>0</v>
      </c>
      <c r="AA31" s="57">
        <v>0</v>
      </c>
      <c r="AB31" s="57">
        <v>0</v>
      </c>
      <c r="AC31" s="57">
        <v>0</v>
      </c>
      <c r="AD31" s="57">
        <v>0</v>
      </c>
      <c r="AE31" s="57">
        <v>0</v>
      </c>
      <c r="AF31" s="57">
        <v>0</v>
      </c>
      <c r="AG31" s="57">
        <v>0</v>
      </c>
      <c r="AH31" s="57">
        <v>186.68655154854099</v>
      </c>
      <c r="AI31" s="57">
        <v>41.287168830633199</v>
      </c>
      <c r="AJ31" s="57">
        <v>0</v>
      </c>
      <c r="AK31" s="57">
        <v>227.97372037917401</v>
      </c>
      <c r="AL31" s="57">
        <v>18086455.775842499</v>
      </c>
      <c r="AM31" s="57">
        <v>0</v>
      </c>
      <c r="AN31" s="57">
        <v>0</v>
      </c>
      <c r="AO31" s="57">
        <v>18086455.775842499</v>
      </c>
      <c r="AP31" s="59">
        <v>0.58774999999999999</v>
      </c>
      <c r="AQ31" s="57">
        <v>20.7</v>
      </c>
      <c r="AR31" s="57">
        <v>8.5042567185625995</v>
      </c>
      <c r="AS31" s="57">
        <v>0</v>
      </c>
      <c r="AT31" s="57">
        <v>33.313090000000003</v>
      </c>
      <c r="AU31" s="57">
        <v>0</v>
      </c>
      <c r="AV31" s="57">
        <v>0</v>
      </c>
      <c r="AW31" s="57">
        <v>0</v>
      </c>
      <c r="AX31" s="57">
        <v>0</v>
      </c>
      <c r="AY31" s="112">
        <v>0.15898315155827816</v>
      </c>
      <c r="AZ31" s="113">
        <v>-239.73196609994011</v>
      </c>
      <c r="BA31" s="113">
        <v>2465.5533682650498</v>
      </c>
      <c r="BB31" s="113">
        <v>-265.43209460512099</v>
      </c>
      <c r="BC31" s="113">
        <v>300.38690820072298</v>
      </c>
      <c r="BD31" s="113">
        <v>178.09440065982699</v>
      </c>
      <c r="BE31" s="113">
        <v>-176.09808035031301</v>
      </c>
      <c r="BF31" s="113">
        <v>6.7279409156897403</v>
      </c>
      <c r="BG31" s="113">
        <v>5.9535282174131697E-2</v>
      </c>
      <c r="BH31" s="113">
        <v>8.6703063046607296E-8</v>
      </c>
      <c r="BI31" s="113">
        <v>6.38990609819129E-7</v>
      </c>
      <c r="BJ31" s="113">
        <v>0.31827314896863601</v>
      </c>
      <c r="BK31" s="113">
        <v>18.434886275297899</v>
      </c>
      <c r="BL31" s="113">
        <v>-80.3610855136873</v>
      </c>
      <c r="BM31" s="113">
        <v>-73.196175260649099</v>
      </c>
      <c r="BN31" s="113">
        <v>-626.84791164371597</v>
      </c>
      <c r="BO31" s="113">
        <v>0</v>
      </c>
      <c r="BP31" s="113">
        <v>0</v>
      </c>
      <c r="BQ31" s="113">
        <v>0</v>
      </c>
    </row>
    <row r="32" spans="1:69" x14ac:dyDescent="0.25">
      <c r="A32" s="87" t="s">
        <v>163</v>
      </c>
      <c r="B32" s="56">
        <v>45352</v>
      </c>
      <c r="C32" s="4" t="s">
        <v>17</v>
      </c>
      <c r="D32" s="57">
        <v>2850.96</v>
      </c>
      <c r="E32" s="57">
        <v>259562728.125</v>
      </c>
      <c r="F32" s="57">
        <v>91043.974000000002</v>
      </c>
      <c r="G32" s="57">
        <v>19268.877065845601</v>
      </c>
      <c r="H32" s="57">
        <v>78.924000000000007</v>
      </c>
      <c r="I32" s="57">
        <v>89.37</v>
      </c>
      <c r="J32" s="57">
        <v>88.125</v>
      </c>
      <c r="K32" s="57">
        <v>88.620527996307899</v>
      </c>
      <c r="L32" s="58">
        <v>7.48356683042464E-2</v>
      </c>
      <c r="M32" s="58">
        <v>7.48356683042464E-2</v>
      </c>
      <c r="N32" s="58">
        <v>7.48356683042464E-2</v>
      </c>
      <c r="O32" s="154">
        <f t="shared" si="0"/>
        <v>1</v>
      </c>
      <c r="P32" s="58">
        <v>7.48356683042464E-2</v>
      </c>
      <c r="Q32" s="57">
        <v>0</v>
      </c>
      <c r="R32" s="57">
        <v>0</v>
      </c>
      <c r="S32" s="57">
        <v>0</v>
      </c>
      <c r="T32" s="57">
        <v>0</v>
      </c>
      <c r="U32" s="57">
        <v>0</v>
      </c>
      <c r="V32" s="57">
        <v>0</v>
      </c>
      <c r="W32" s="57">
        <v>0</v>
      </c>
      <c r="X32" s="57">
        <v>0</v>
      </c>
      <c r="Y32" s="57">
        <v>220</v>
      </c>
      <c r="Z32" s="57">
        <v>0</v>
      </c>
      <c r="AA32" s="57">
        <v>0</v>
      </c>
      <c r="AB32" s="57">
        <v>0</v>
      </c>
      <c r="AC32" s="57">
        <v>0</v>
      </c>
      <c r="AD32" s="57">
        <v>0</v>
      </c>
      <c r="AE32" s="57">
        <v>0</v>
      </c>
      <c r="AF32" s="57">
        <v>0</v>
      </c>
      <c r="AG32" s="57">
        <v>0</v>
      </c>
      <c r="AH32" s="57">
        <v>131.463702984154</v>
      </c>
      <c r="AI32" s="57">
        <v>152.35423210263301</v>
      </c>
      <c r="AJ32" s="57">
        <v>0</v>
      </c>
      <c r="AK32" s="57">
        <v>283.81793508678697</v>
      </c>
      <c r="AL32" s="57">
        <v>13837747.051139399</v>
      </c>
      <c r="AM32" s="57">
        <v>25101847.133453202</v>
      </c>
      <c r="AN32" s="57">
        <v>0</v>
      </c>
      <c r="AO32" s="57">
        <v>38939594.1845925</v>
      </c>
      <c r="AP32" s="59">
        <v>0.37822706699999997</v>
      </c>
      <c r="AQ32" s="57">
        <v>18.899999999999999</v>
      </c>
      <c r="AR32" s="57">
        <v>8.6777779966084996</v>
      </c>
      <c r="AS32" s="57">
        <v>0</v>
      </c>
      <c r="AT32" s="57">
        <v>33.544739999999997</v>
      </c>
      <c r="AU32" s="57">
        <v>0</v>
      </c>
      <c r="AV32" s="57">
        <v>0</v>
      </c>
      <c r="AW32" s="57">
        <v>0</v>
      </c>
      <c r="AX32" s="57">
        <v>0</v>
      </c>
      <c r="AY32" s="112">
        <v>0.12059510061939842</v>
      </c>
      <c r="AZ32" s="113">
        <v>343.81180806188013</v>
      </c>
      <c r="BA32" s="113">
        <v>2452.5354376427199</v>
      </c>
      <c r="BB32" s="113">
        <v>-88.889636187854094</v>
      </c>
      <c r="BC32" s="113">
        <v>335.72503050319</v>
      </c>
      <c r="BD32" s="113">
        <v>330.40259876023401</v>
      </c>
      <c r="BE32" s="113">
        <v>-203.49607249680199</v>
      </c>
      <c r="BF32" s="113">
        <v>349.29426512808402</v>
      </c>
      <c r="BG32" s="113">
        <v>1.7366023251907301E-3</v>
      </c>
      <c r="BH32" s="113">
        <v>3.6148983428288498E-8</v>
      </c>
      <c r="BI32" s="113">
        <v>1.3983778089518E-7</v>
      </c>
      <c r="BJ32" s="113">
        <v>1.6276671463457699E-2</v>
      </c>
      <c r="BK32" s="113">
        <v>2.2716044445947601</v>
      </c>
      <c r="BL32" s="113">
        <v>-90.405011456826998</v>
      </c>
      <c r="BM32" s="113">
        <v>-46.660466823147303</v>
      </c>
      <c r="BN32" s="113">
        <v>-533.64757102585702</v>
      </c>
      <c r="BO32" s="113">
        <v>0</v>
      </c>
      <c r="BP32" s="113">
        <v>0</v>
      </c>
      <c r="BQ32" s="113">
        <v>0</v>
      </c>
    </row>
    <row r="33" spans="1:69" x14ac:dyDescent="0.25">
      <c r="A33" s="87" t="s">
        <v>163</v>
      </c>
      <c r="B33" s="56">
        <v>45383</v>
      </c>
      <c r="C33" s="4" t="s">
        <v>17</v>
      </c>
      <c r="D33" s="57">
        <v>2431.1709999999998</v>
      </c>
      <c r="E33" s="57">
        <v>239247734.16</v>
      </c>
      <c r="F33" s="57">
        <v>98408.434999999998</v>
      </c>
      <c r="G33" s="57">
        <v>20256.0235035769</v>
      </c>
      <c r="H33" s="57">
        <v>79.179000000000002</v>
      </c>
      <c r="I33" s="57">
        <v>89.558000000000007</v>
      </c>
      <c r="J33" s="57">
        <v>88.896797199999995</v>
      </c>
      <c r="K33" s="57">
        <v>89.187412067126104</v>
      </c>
      <c r="L33" s="58">
        <v>0</v>
      </c>
      <c r="M33" s="58">
        <v>0</v>
      </c>
      <c r="N33" s="58">
        <v>0</v>
      </c>
      <c r="O33" s="154">
        <f t="shared" si="0"/>
        <v>0</v>
      </c>
      <c r="P33" s="58">
        <v>0</v>
      </c>
      <c r="Q33" s="57">
        <v>9853942.2857142892</v>
      </c>
      <c r="R33" s="57">
        <v>4856684.9365234403</v>
      </c>
      <c r="S33" s="57">
        <v>3076005</v>
      </c>
      <c r="T33" s="57">
        <v>5955932</v>
      </c>
      <c r="U33" s="57">
        <v>12929947.2857143</v>
      </c>
      <c r="V33" s="57">
        <v>10812616.9365234</v>
      </c>
      <c r="W33" s="57">
        <v>0</v>
      </c>
      <c r="X33" s="57">
        <v>0</v>
      </c>
      <c r="Y33" s="57">
        <v>227</v>
      </c>
      <c r="Z33" s="57">
        <v>0</v>
      </c>
      <c r="AA33" s="57">
        <v>0</v>
      </c>
      <c r="AB33" s="57">
        <v>0</v>
      </c>
      <c r="AC33" s="57">
        <v>0</v>
      </c>
      <c r="AD33" s="57">
        <v>0</v>
      </c>
      <c r="AE33" s="57">
        <v>0</v>
      </c>
      <c r="AF33" s="57">
        <v>0</v>
      </c>
      <c r="AG33" s="57">
        <v>0</v>
      </c>
      <c r="AH33" s="57">
        <v>165.982821762562</v>
      </c>
      <c r="AI33" s="57">
        <v>121.59796565025999</v>
      </c>
      <c r="AJ33" s="57">
        <v>0</v>
      </c>
      <c r="AK33" s="57">
        <v>287.58078741282202</v>
      </c>
      <c r="AL33" s="57">
        <v>13897410.912951</v>
      </c>
      <c r="AM33" s="57">
        <v>18676022.909855701</v>
      </c>
      <c r="AN33" s="57">
        <v>0</v>
      </c>
      <c r="AO33" s="57">
        <v>32573433.822806701</v>
      </c>
      <c r="AP33" s="59">
        <v>0.5274110116313</v>
      </c>
      <c r="AQ33" s="57">
        <v>15</v>
      </c>
      <c r="AR33" s="57">
        <v>8.5237837145472994</v>
      </c>
      <c r="AS33" s="57">
        <v>0</v>
      </c>
      <c r="AT33" s="57">
        <v>33.170059999999999</v>
      </c>
      <c r="AU33" s="57">
        <v>0</v>
      </c>
      <c r="AV33" s="57">
        <v>0</v>
      </c>
      <c r="AW33" s="57">
        <v>0</v>
      </c>
      <c r="AX33" s="57">
        <v>0</v>
      </c>
      <c r="AY33" s="112">
        <v>5.4921556800891558E-2</v>
      </c>
      <c r="AZ33" s="113">
        <v>-133.52369616918031</v>
      </c>
      <c r="BA33" s="113">
        <v>2457.0878180916602</v>
      </c>
      <c r="BB33" s="113">
        <v>-175.31488988627399</v>
      </c>
      <c r="BC33" s="113">
        <v>403.41197520011099</v>
      </c>
      <c r="BD33" s="113">
        <v>337.21027567275399</v>
      </c>
      <c r="BE33" s="113">
        <v>-217.045436649208</v>
      </c>
      <c r="BF33" s="113">
        <v>51.634840987148003</v>
      </c>
      <c r="BG33" s="113">
        <v>212.74300391450899</v>
      </c>
      <c r="BH33" s="113">
        <v>2.38804353829178E-8</v>
      </c>
      <c r="BI33" s="113">
        <v>6.2159987236946404E-8</v>
      </c>
      <c r="BJ33" s="113">
        <v>9.01187994543759E-4</v>
      </c>
      <c r="BK33" s="113">
        <v>0.141573700723961</v>
      </c>
      <c r="BL33" s="113">
        <v>-92.347599301026605</v>
      </c>
      <c r="BM33" s="113">
        <v>-65.287895086453901</v>
      </c>
      <c r="BN33" s="113">
        <v>-347.53987174880501</v>
      </c>
      <c r="BO33" s="113">
        <v>0</v>
      </c>
      <c r="BP33" s="113">
        <v>0</v>
      </c>
      <c r="BQ33" s="113">
        <v>0</v>
      </c>
    </row>
    <row r="34" spans="1:69" x14ac:dyDescent="0.25">
      <c r="A34" s="87" t="s">
        <v>163</v>
      </c>
      <c r="B34" s="56">
        <v>45413</v>
      </c>
      <c r="C34" s="4" t="s">
        <v>17</v>
      </c>
      <c r="D34" s="57">
        <v>3068.6970000000001</v>
      </c>
      <c r="E34" s="57">
        <v>300366775.43099999</v>
      </c>
      <c r="F34" s="57">
        <v>97880.884000000005</v>
      </c>
      <c r="G34" s="57">
        <v>20531.040851550999</v>
      </c>
      <c r="H34" s="57">
        <v>78.751000000000005</v>
      </c>
      <c r="I34" s="57">
        <v>89.748000000000005</v>
      </c>
      <c r="J34" s="57">
        <v>88.888888899999998</v>
      </c>
      <c r="K34" s="57">
        <v>89.314671667052494</v>
      </c>
      <c r="L34" s="58">
        <v>0</v>
      </c>
      <c r="M34" s="58">
        <v>5.3608311116825702E-3</v>
      </c>
      <c r="N34" s="58">
        <v>0</v>
      </c>
      <c r="O34" s="154">
        <f t="shared" si="0"/>
        <v>0</v>
      </c>
      <c r="P34" s="58">
        <v>0</v>
      </c>
      <c r="Q34" s="57">
        <v>51393559</v>
      </c>
      <c r="R34" s="57">
        <v>19430726.5625</v>
      </c>
      <c r="S34" s="57">
        <v>12391156.428571399</v>
      </c>
      <c r="T34" s="57">
        <v>25129055</v>
      </c>
      <c r="U34" s="57">
        <v>63784715.428571403</v>
      </c>
      <c r="V34" s="57">
        <v>44559781.5625</v>
      </c>
      <c r="W34" s="57">
        <v>21903</v>
      </c>
      <c r="X34" s="57">
        <v>3417594</v>
      </c>
      <c r="Y34" s="57">
        <v>296</v>
      </c>
      <c r="Z34" s="57">
        <v>0</v>
      </c>
      <c r="AA34" s="57">
        <v>0</v>
      </c>
      <c r="AB34" s="57">
        <v>0</v>
      </c>
      <c r="AC34" s="57">
        <v>0</v>
      </c>
      <c r="AD34" s="57">
        <v>5391304.3478260897</v>
      </c>
      <c r="AE34" s="57">
        <v>22.686274509803901</v>
      </c>
      <c r="AF34" s="57">
        <v>0</v>
      </c>
      <c r="AG34" s="57">
        <v>0</v>
      </c>
      <c r="AH34" s="57">
        <v>317.17378232628101</v>
      </c>
      <c r="AI34" s="57">
        <v>193.64375096559499</v>
      </c>
      <c r="AJ34" s="57">
        <v>0</v>
      </c>
      <c r="AK34" s="57">
        <v>510.81753329187598</v>
      </c>
      <c r="AL34" s="57">
        <v>45659048.382205501</v>
      </c>
      <c r="AM34" s="57">
        <v>23334328.869570699</v>
      </c>
      <c r="AN34" s="57">
        <v>0</v>
      </c>
      <c r="AO34" s="57">
        <v>68993377.251776204</v>
      </c>
      <c r="AP34" s="59">
        <v>0.2634854614762</v>
      </c>
      <c r="AQ34" s="57">
        <v>11.5</v>
      </c>
      <c r="AR34" s="57">
        <v>8.3128804231684992</v>
      </c>
      <c r="AS34" s="57">
        <v>0</v>
      </c>
      <c r="AT34" s="57">
        <v>31.339375</v>
      </c>
      <c r="AU34" s="57">
        <v>0</v>
      </c>
      <c r="AV34" s="57">
        <v>0</v>
      </c>
      <c r="AW34" s="57">
        <v>0</v>
      </c>
      <c r="AX34" s="57">
        <v>0</v>
      </c>
      <c r="AY34" s="112">
        <v>8.003598197365288E-3</v>
      </c>
      <c r="AZ34" s="113">
        <v>24.560617777460266</v>
      </c>
      <c r="BA34" s="113">
        <v>2455.11850472179</v>
      </c>
      <c r="BB34" s="113">
        <v>-147.25453137249201</v>
      </c>
      <c r="BC34" s="113">
        <v>423.44366459656698</v>
      </c>
      <c r="BD34" s="113">
        <v>313.68342176070303</v>
      </c>
      <c r="BE34" s="113">
        <v>-217.808484309112</v>
      </c>
      <c r="BF34" s="113">
        <v>7.7925402001459503</v>
      </c>
      <c r="BG34" s="113">
        <v>375.13119066206002</v>
      </c>
      <c r="BH34" s="113">
        <v>73.117875237566594</v>
      </c>
      <c r="BI34" s="113">
        <v>4.1061125009236202E-8</v>
      </c>
      <c r="BJ34" s="113">
        <v>7.2052681274695397E-5</v>
      </c>
      <c r="BK34" s="113">
        <v>77.838028976607603</v>
      </c>
      <c r="BL34" s="113">
        <v>-106.26174433060601</v>
      </c>
      <c r="BM34" s="113">
        <v>-32.568115905575198</v>
      </c>
      <c r="BN34" s="113">
        <v>-178.09604010885701</v>
      </c>
      <c r="BO34" s="113">
        <v>0</v>
      </c>
      <c r="BP34" s="113">
        <v>0</v>
      </c>
      <c r="BQ34" s="113">
        <v>0</v>
      </c>
    </row>
    <row r="35" spans="1:69" x14ac:dyDescent="0.25">
      <c r="A35" s="87" t="s">
        <v>163</v>
      </c>
      <c r="B35" s="56">
        <v>45444</v>
      </c>
      <c r="C35" s="4" t="s">
        <v>17</v>
      </c>
      <c r="D35" s="57">
        <v>4060.66</v>
      </c>
      <c r="E35" s="57">
        <v>392423423</v>
      </c>
      <c r="F35" s="57">
        <v>96640.305999999997</v>
      </c>
      <c r="G35" s="57">
        <v>20024.545490430501</v>
      </c>
      <c r="H35" s="57">
        <v>82.037999999999997</v>
      </c>
      <c r="I35" s="57">
        <v>89.674000000000007</v>
      </c>
      <c r="J35" s="57">
        <v>91.628701599999999</v>
      </c>
      <c r="K35" s="57">
        <v>90.828237420252293</v>
      </c>
      <c r="L35" s="58">
        <v>0</v>
      </c>
      <c r="M35" s="58">
        <v>1.7967250469941898E-2</v>
      </c>
      <c r="N35" s="58">
        <v>0</v>
      </c>
      <c r="O35" s="154">
        <f t="shared" si="0"/>
        <v>0</v>
      </c>
      <c r="P35" s="58">
        <v>0</v>
      </c>
      <c r="Q35" s="57">
        <v>47341556.714285702</v>
      </c>
      <c r="R35" s="57">
        <v>19099017.578125</v>
      </c>
      <c r="S35" s="57">
        <v>10039020.571428601</v>
      </c>
      <c r="T35" s="57">
        <v>20699997.802734401</v>
      </c>
      <c r="U35" s="57">
        <v>57380577.285714298</v>
      </c>
      <c r="V35" s="57">
        <v>39799015.380859397</v>
      </c>
      <c r="W35" s="57">
        <v>11517</v>
      </c>
      <c r="X35" s="57">
        <v>1946017.9443359401</v>
      </c>
      <c r="Y35" s="57">
        <v>319</v>
      </c>
      <c r="Z35" s="57">
        <v>0</v>
      </c>
      <c r="AA35" s="57">
        <v>0</v>
      </c>
      <c r="AB35" s="57">
        <v>0</v>
      </c>
      <c r="AC35" s="57">
        <v>0</v>
      </c>
      <c r="AD35" s="57">
        <v>10108695.652173899</v>
      </c>
      <c r="AE35" s="57">
        <v>26.176470588235301</v>
      </c>
      <c r="AF35" s="57">
        <v>0</v>
      </c>
      <c r="AG35" s="57">
        <v>0</v>
      </c>
      <c r="AH35" s="57">
        <v>599.95513999462105</v>
      </c>
      <c r="AI35" s="57">
        <v>53.497098892927198</v>
      </c>
      <c r="AJ35" s="57">
        <v>0</v>
      </c>
      <c r="AK35" s="57">
        <v>653.45223888754799</v>
      </c>
      <c r="AL35" s="57">
        <v>100712550.5511</v>
      </c>
      <c r="AM35" s="57">
        <v>0</v>
      </c>
      <c r="AN35" s="57">
        <v>0</v>
      </c>
      <c r="AO35" s="57">
        <v>100712550.5511</v>
      </c>
      <c r="AP35" s="59">
        <v>-8.9436454631000001E-2</v>
      </c>
      <c r="AQ35" s="57">
        <v>8.8000000000000007</v>
      </c>
      <c r="AR35" s="57">
        <v>8.3481780359654998</v>
      </c>
      <c r="AS35" s="57">
        <v>0</v>
      </c>
      <c r="AT35" s="57">
        <v>32.144584999999999</v>
      </c>
      <c r="AU35" s="57">
        <v>0</v>
      </c>
      <c r="AV35" s="57">
        <v>1</v>
      </c>
      <c r="AW35" s="57">
        <v>0</v>
      </c>
      <c r="AX35" s="57">
        <v>0</v>
      </c>
      <c r="AY35" s="112">
        <v>9.9044476497342892E-3</v>
      </c>
      <c r="AZ35" s="113">
        <v>40.21859439337004</v>
      </c>
      <c r="BA35" s="113">
        <v>2454.26857519334</v>
      </c>
      <c r="BB35" s="113">
        <v>-130.51414396189199</v>
      </c>
      <c r="BC35" s="113">
        <v>386.586137692134</v>
      </c>
      <c r="BD35" s="113">
        <v>533.49589036273096</v>
      </c>
      <c r="BE35" s="113">
        <v>-243.65024226372401</v>
      </c>
      <c r="BF35" s="113">
        <v>1.1687170522916599</v>
      </c>
      <c r="BG35" s="113">
        <v>375.12122710099499</v>
      </c>
      <c r="BH35" s="113">
        <v>77.457519627112504</v>
      </c>
      <c r="BI35" s="113">
        <v>3.3269419757360001E-8</v>
      </c>
      <c r="BJ35" s="113">
        <v>9.09734398667923E-6</v>
      </c>
      <c r="BK35" s="113">
        <v>122.29203945467199</v>
      </c>
      <c r="BL35" s="113">
        <v>-108.227233225175</v>
      </c>
      <c r="BM35" s="113">
        <v>11.048369661647801</v>
      </c>
      <c r="BN35" s="113">
        <v>-47.776533112861799</v>
      </c>
      <c r="BO35" s="113">
        <v>0</v>
      </c>
      <c r="BP35" s="113">
        <v>589.17107289474802</v>
      </c>
      <c r="BQ35" s="113">
        <v>0</v>
      </c>
    </row>
    <row r="36" spans="1:69" x14ac:dyDescent="0.25">
      <c r="A36" s="87" t="s">
        <v>163</v>
      </c>
      <c r="B36" s="56">
        <v>45474</v>
      </c>
      <c r="C36" s="4" t="s">
        <v>17</v>
      </c>
      <c r="D36" s="57">
        <v>3410.3910000000001</v>
      </c>
      <c r="E36" s="57">
        <v>327709943.62900001</v>
      </c>
      <c r="F36" s="57">
        <v>96091.604999999996</v>
      </c>
      <c r="G36" s="57">
        <v>20448.667877771899</v>
      </c>
      <c r="H36" s="57">
        <v>85.570999999999998</v>
      </c>
      <c r="I36" s="57">
        <v>90.382999999999996</v>
      </c>
      <c r="J36" s="57">
        <v>92.2585227</v>
      </c>
      <c r="K36" s="57">
        <v>91.559226987116801</v>
      </c>
      <c r="L36" s="58">
        <v>0</v>
      </c>
      <c r="M36" s="58">
        <v>2.3543002182688899E-2</v>
      </c>
      <c r="N36" s="58">
        <v>0</v>
      </c>
      <c r="O36" s="154">
        <f t="shared" si="0"/>
        <v>0</v>
      </c>
      <c r="P36" s="58">
        <v>0</v>
      </c>
      <c r="Q36" s="57">
        <v>50246461</v>
      </c>
      <c r="R36" s="57">
        <v>27612878.417968798</v>
      </c>
      <c r="S36" s="57">
        <v>7005896</v>
      </c>
      <c r="T36" s="57">
        <v>14414015.869140601</v>
      </c>
      <c r="U36" s="57">
        <v>57252357</v>
      </c>
      <c r="V36" s="57">
        <v>42026894.287109397</v>
      </c>
      <c r="W36" s="57">
        <v>7899</v>
      </c>
      <c r="X36" s="57">
        <v>1505519.04296875</v>
      </c>
      <c r="Y36" s="57">
        <v>358</v>
      </c>
      <c r="Z36" s="57">
        <v>0</v>
      </c>
      <c r="AA36" s="57">
        <v>0</v>
      </c>
      <c r="AB36" s="57">
        <v>0</v>
      </c>
      <c r="AC36" s="57">
        <v>0</v>
      </c>
      <c r="AD36" s="57">
        <v>10445652.173913</v>
      </c>
      <c r="AE36" s="57">
        <v>27.0490196078431</v>
      </c>
      <c r="AF36" s="57">
        <v>0</v>
      </c>
      <c r="AG36" s="57">
        <v>0</v>
      </c>
      <c r="AH36" s="57">
        <v>325.56934568285902</v>
      </c>
      <c r="AI36" s="57">
        <v>405.56192237138703</v>
      </c>
      <c r="AJ36" s="57">
        <v>0</v>
      </c>
      <c r="AK36" s="57">
        <v>731.13126805424702</v>
      </c>
      <c r="AL36" s="57">
        <v>30760087.514912199</v>
      </c>
      <c r="AM36" s="57">
        <v>84491926.740562096</v>
      </c>
      <c r="AN36" s="57">
        <v>0</v>
      </c>
      <c r="AO36" s="57">
        <v>115252014.255474</v>
      </c>
      <c r="AP36" s="59">
        <v>0.73651446527919995</v>
      </c>
      <c r="AQ36" s="57">
        <v>8.1999999999999993</v>
      </c>
      <c r="AR36" s="57">
        <v>8.6841757807491007</v>
      </c>
      <c r="AS36" s="57">
        <v>0</v>
      </c>
      <c r="AT36" s="57">
        <v>32.187480000000001</v>
      </c>
      <c r="AU36" s="57">
        <v>0</v>
      </c>
      <c r="AV36" s="57">
        <v>0</v>
      </c>
      <c r="AW36" s="57">
        <v>0</v>
      </c>
      <c r="AX36" s="57">
        <v>0</v>
      </c>
      <c r="AY36" s="112">
        <v>4.748228840440287E-2</v>
      </c>
      <c r="AZ36" s="113">
        <v>-161.9331690337799</v>
      </c>
      <c r="BA36" s="113">
        <v>2455.2399639138298</v>
      </c>
      <c r="BB36" s="113">
        <v>-140.13615638069001</v>
      </c>
      <c r="BC36" s="113">
        <v>416.27710568162001</v>
      </c>
      <c r="BD36" s="113">
        <v>765.13329704554906</v>
      </c>
      <c r="BE36" s="113">
        <v>-256.99128425429001</v>
      </c>
      <c r="BF36" s="113">
        <v>0.171249167988687</v>
      </c>
      <c r="BG36" s="113">
        <v>375.54080359073203</v>
      </c>
      <c r="BH36" s="113">
        <v>48.559182793547699</v>
      </c>
      <c r="BI36" s="113">
        <v>2.9937239654026199E-8</v>
      </c>
      <c r="BJ36" s="113">
        <v>1.8031147807861601E-6</v>
      </c>
      <c r="BK36" s="113">
        <v>126.615893164665</v>
      </c>
      <c r="BL36" s="113">
        <v>-108.048909678697</v>
      </c>
      <c r="BM36" s="113">
        <v>-91.078062948153502</v>
      </c>
      <c r="BN36" s="113">
        <v>-18.958914895375699</v>
      </c>
      <c r="BO36" s="113">
        <v>0</v>
      </c>
      <c r="BP36" s="113">
        <v>0</v>
      </c>
      <c r="BQ36" s="113">
        <v>0</v>
      </c>
    </row>
    <row r="37" spans="1:69" x14ac:dyDescent="0.25">
      <c r="A37" s="87" t="s">
        <v>163</v>
      </c>
      <c r="B37" s="56">
        <v>45505</v>
      </c>
      <c r="C37" s="4" t="s">
        <v>17</v>
      </c>
      <c r="D37" s="57">
        <v>3635.57</v>
      </c>
      <c r="E37" s="57">
        <v>347504217.833</v>
      </c>
      <c r="F37" s="57">
        <v>95584.520999999993</v>
      </c>
      <c r="G37" s="57">
        <v>20112.215298652602</v>
      </c>
      <c r="H37" s="57">
        <v>84.265000000000001</v>
      </c>
      <c r="I37" s="57">
        <v>92.956999999999994</v>
      </c>
      <c r="J37" s="57">
        <v>80.836236900000003</v>
      </c>
      <c r="K37" s="57">
        <v>86.002013241744905</v>
      </c>
      <c r="L37" s="58">
        <v>0</v>
      </c>
      <c r="M37" s="58">
        <v>2.8695853155270699E-2</v>
      </c>
      <c r="N37" s="58">
        <v>0</v>
      </c>
      <c r="O37" s="154">
        <f t="shared" si="0"/>
        <v>0</v>
      </c>
      <c r="P37" s="58">
        <v>0</v>
      </c>
      <c r="Q37" s="57">
        <v>0</v>
      </c>
      <c r="R37" s="57">
        <v>0</v>
      </c>
      <c r="S37" s="57">
        <v>0</v>
      </c>
      <c r="T37" s="57">
        <v>0</v>
      </c>
      <c r="U37" s="57">
        <v>0</v>
      </c>
      <c r="V37" s="57">
        <v>0</v>
      </c>
      <c r="W37" s="57">
        <v>0</v>
      </c>
      <c r="X37" s="57">
        <v>0</v>
      </c>
      <c r="Y37" s="57">
        <v>287</v>
      </c>
      <c r="Z37" s="57">
        <v>0</v>
      </c>
      <c r="AA37" s="57">
        <v>0</v>
      </c>
      <c r="AB37" s="57">
        <v>0</v>
      </c>
      <c r="AC37" s="57">
        <v>0</v>
      </c>
      <c r="AD37" s="57">
        <v>5054347.8260869598</v>
      </c>
      <c r="AE37" s="57">
        <v>13.088235294117601</v>
      </c>
      <c r="AF37" s="57">
        <v>0</v>
      </c>
      <c r="AG37" s="57">
        <v>0</v>
      </c>
      <c r="AH37" s="57">
        <v>283.37272092699999</v>
      </c>
      <c r="AI37" s="57">
        <v>329.57960340380703</v>
      </c>
      <c r="AJ37" s="57">
        <v>0</v>
      </c>
      <c r="AK37" s="57">
        <v>612.95232433080696</v>
      </c>
      <c r="AL37" s="57">
        <v>22479017.6935593</v>
      </c>
      <c r="AM37" s="57">
        <v>63161317.340725198</v>
      </c>
      <c r="AN37" s="57">
        <v>0</v>
      </c>
      <c r="AO37" s="57">
        <v>85640335.034284502</v>
      </c>
      <c r="AP37" s="59">
        <v>0.25549723031119997</v>
      </c>
      <c r="AQ37" s="57">
        <v>9.6999999999999993</v>
      </c>
      <c r="AR37" s="57">
        <v>8.9013222957233005</v>
      </c>
      <c r="AS37" s="57">
        <v>0</v>
      </c>
      <c r="AT37" s="57">
        <v>32.768219999999999</v>
      </c>
      <c r="AU37" s="57">
        <v>0</v>
      </c>
      <c r="AV37" s="57">
        <v>0</v>
      </c>
      <c r="AW37" s="57">
        <v>0</v>
      </c>
      <c r="AX37" s="57">
        <v>0</v>
      </c>
      <c r="AY37" s="112">
        <v>1.1142575762232633E-2</v>
      </c>
      <c r="AZ37" s="113">
        <v>40.509614163900096</v>
      </c>
      <c r="BA37" s="113">
        <v>2449.2532812344598</v>
      </c>
      <c r="BB37" s="113">
        <v>-57.595195320710403</v>
      </c>
      <c r="BC37" s="113">
        <v>393.39531333997502</v>
      </c>
      <c r="BD37" s="113">
        <v>690.28390048590995</v>
      </c>
      <c r="BE37" s="113">
        <v>-155.06137917958</v>
      </c>
      <c r="BF37" s="113">
        <v>2.2772859271656301E-2</v>
      </c>
      <c r="BG37" s="113">
        <v>375.47227683081798</v>
      </c>
      <c r="BH37" s="113">
        <v>0.88250619127672603</v>
      </c>
      <c r="BI37" s="113">
        <v>2.8395308367751E-8</v>
      </c>
      <c r="BJ37" s="113">
        <v>5.3154179915373195E-7</v>
      </c>
      <c r="BK37" s="113">
        <v>129.339304908945</v>
      </c>
      <c r="BL37" s="113">
        <v>-109.856322588056</v>
      </c>
      <c r="BM37" s="113">
        <v>-31.445418378758099</v>
      </c>
      <c r="BN37" s="113">
        <v>-89.630655107386403</v>
      </c>
      <c r="BO37" s="113">
        <v>0</v>
      </c>
      <c r="BP37" s="113">
        <v>0</v>
      </c>
      <c r="BQ37" s="113">
        <v>0</v>
      </c>
    </row>
    <row r="38" spans="1:69" x14ac:dyDescent="0.25">
      <c r="A38" s="87" t="s">
        <v>163</v>
      </c>
      <c r="B38" s="56">
        <v>45536</v>
      </c>
      <c r="C38" s="4" t="s">
        <v>20</v>
      </c>
      <c r="D38" s="57">
        <v>4210.6840000000002</v>
      </c>
      <c r="E38" s="57">
        <v>402318259</v>
      </c>
      <c r="F38" s="57">
        <v>95547.008000000002</v>
      </c>
      <c r="G38" s="57">
        <v>20692.3965399152</v>
      </c>
      <c r="H38" s="57">
        <v>83.384</v>
      </c>
      <c r="I38" s="57">
        <v>92.72</v>
      </c>
      <c r="J38" s="57">
        <v>74.986103400000005</v>
      </c>
      <c r="K38" s="57">
        <v>82.794982857868504</v>
      </c>
      <c r="L38" s="58">
        <v>0</v>
      </c>
      <c r="M38" s="58">
        <v>0</v>
      </c>
      <c r="N38" s="58">
        <v>0</v>
      </c>
      <c r="O38" s="154">
        <f t="shared" si="0"/>
        <v>0</v>
      </c>
      <c r="P38" s="58">
        <v>0</v>
      </c>
      <c r="Q38" s="57">
        <v>0</v>
      </c>
      <c r="R38" s="57">
        <v>0</v>
      </c>
      <c r="S38" s="57">
        <v>0</v>
      </c>
      <c r="T38" s="57">
        <v>0</v>
      </c>
      <c r="U38" s="57">
        <v>0</v>
      </c>
      <c r="V38" s="57">
        <v>0</v>
      </c>
      <c r="W38" s="57">
        <v>0</v>
      </c>
      <c r="X38" s="57">
        <v>0</v>
      </c>
      <c r="Y38" s="57">
        <v>308</v>
      </c>
      <c r="Z38" s="57">
        <v>0</v>
      </c>
      <c r="AA38" s="57">
        <v>0</v>
      </c>
      <c r="AB38" s="57">
        <v>0</v>
      </c>
      <c r="AC38" s="57">
        <v>0</v>
      </c>
      <c r="AD38" s="57">
        <v>0</v>
      </c>
      <c r="AE38" s="57">
        <v>0</v>
      </c>
      <c r="AF38" s="57">
        <v>0</v>
      </c>
      <c r="AG38" s="57">
        <v>0</v>
      </c>
      <c r="AH38" s="57">
        <v>378.41223527491098</v>
      </c>
      <c r="AI38" s="57">
        <v>151.70855285227299</v>
      </c>
      <c r="AJ38" s="57">
        <v>0</v>
      </c>
      <c r="AK38" s="57">
        <v>530.12078812718403</v>
      </c>
      <c r="AL38" s="57">
        <v>71858077.053920001</v>
      </c>
      <c r="AM38" s="57">
        <v>25948334.030217599</v>
      </c>
      <c r="AN38" s="57">
        <v>0</v>
      </c>
      <c r="AO38" s="57">
        <v>97806411.084137693</v>
      </c>
      <c r="AP38" s="59">
        <v>8.7768664364599999E-2</v>
      </c>
      <c r="AQ38" s="57">
        <v>12.1</v>
      </c>
      <c r="AR38" s="57">
        <v>8.7423149114592995</v>
      </c>
      <c r="AS38" s="57">
        <v>0</v>
      </c>
      <c r="AT38" s="57">
        <v>31.836134999999999</v>
      </c>
      <c r="AU38" s="57">
        <v>0</v>
      </c>
      <c r="AV38" s="57">
        <v>0</v>
      </c>
      <c r="AW38" s="57">
        <v>1</v>
      </c>
      <c r="AX38" s="57">
        <v>0</v>
      </c>
      <c r="AY38" s="112">
        <v>2.4494454001798817E-2</v>
      </c>
      <c r="AZ38" s="113">
        <v>103.13840555411025</v>
      </c>
      <c r="BA38" s="113">
        <v>2444.9632479841798</v>
      </c>
      <c r="BB38" s="113">
        <v>0</v>
      </c>
      <c r="BC38" s="113">
        <v>436.14917391957198</v>
      </c>
      <c r="BD38" s="113">
        <v>640.40914462724504</v>
      </c>
      <c r="BE38" s="113">
        <v>-95.872774659964307</v>
      </c>
      <c r="BF38" s="113">
        <v>0</v>
      </c>
      <c r="BG38" s="113">
        <v>375.349620736394</v>
      </c>
      <c r="BH38" s="113">
        <v>2.8087807422585002E-3</v>
      </c>
      <c r="BI38" s="113">
        <v>2.76416882247753E-8</v>
      </c>
      <c r="BJ38" s="113">
        <v>2.1569365164505699E-7</v>
      </c>
      <c r="BK38" s="113">
        <v>115.599841631545</v>
      </c>
      <c r="BL38" s="113">
        <v>-111.096400755093</v>
      </c>
      <c r="BM38" s="113">
        <v>-10.765847170696</v>
      </c>
      <c r="BN38" s="113">
        <v>-203.37505178749001</v>
      </c>
      <c r="BO38" s="113">
        <v>0</v>
      </c>
      <c r="BP38" s="113">
        <v>0</v>
      </c>
      <c r="BQ38" s="113">
        <v>516.18183089612103</v>
      </c>
    </row>
    <row r="42" spans="1:69" ht="60" x14ac:dyDescent="0.25">
      <c r="Q42" s="55" t="s">
        <v>146</v>
      </c>
      <c r="R42" s="192" t="s">
        <v>147</v>
      </c>
      <c r="S42" s="55" t="s">
        <v>148</v>
      </c>
      <c r="T42" s="192" t="s">
        <v>149</v>
      </c>
      <c r="U42" s="55" t="s">
        <v>50</v>
      </c>
      <c r="V42" s="192" t="s">
        <v>51</v>
      </c>
      <c r="W42" s="55" t="s">
        <v>54</v>
      </c>
      <c r="X42" s="192" t="s">
        <v>55</v>
      </c>
      <c r="Y42" s="55" t="s">
        <v>150</v>
      </c>
      <c r="Z42" s="55" t="s">
        <v>56</v>
      </c>
      <c r="AA42" s="192" t="s">
        <v>57</v>
      </c>
      <c r="AB42" s="192" t="s">
        <v>59</v>
      </c>
      <c r="AC42" s="55" t="s">
        <v>58</v>
      </c>
      <c r="AD42" s="192" t="s">
        <v>62</v>
      </c>
      <c r="AE42" s="55" t="s">
        <v>61</v>
      </c>
      <c r="AF42" s="192" t="s">
        <v>151</v>
      </c>
      <c r="AG42" s="55"/>
    </row>
    <row r="43" spans="1:69" x14ac:dyDescent="0.25">
      <c r="P43" s="4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</row>
    <row r="44" spans="1:69" x14ac:dyDescent="0.25">
      <c r="P44" s="4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</row>
  </sheetData>
  <conditionalFormatting sqref="A1:B1 K1:AX1 D1:I1">
    <cfRule type="duplicateValues" dxfId="5" priority="4"/>
  </conditionalFormatting>
  <conditionalFormatting sqref="C1">
    <cfRule type="duplicateValues" dxfId="4" priority="3"/>
  </conditionalFormatting>
  <conditionalFormatting sqref="Q42:AF42">
    <cfRule type="duplicateValues" dxfId="3" priority="1"/>
  </conditionalFormatting>
  <conditionalFormatting sqref="AG42">
    <cfRule type="duplicateValues" dxfId="2" priority="2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937C-6509-4D54-9A59-2E011884D70B}">
  <sheetPr codeName="Sheet10">
    <tabColor theme="1"/>
  </sheetPr>
  <dimension ref="A1:S9"/>
  <sheetViews>
    <sheetView workbookViewId="0">
      <selection activeCell="AD32" sqref="AD32:AD69"/>
    </sheetView>
  </sheetViews>
  <sheetFormatPr defaultRowHeight="15" x14ac:dyDescent="0.25"/>
  <cols>
    <col min="2" max="19" width="19" customWidth="1"/>
  </cols>
  <sheetData>
    <row r="1" spans="1:19" x14ac:dyDescent="0.25"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M1" t="s">
        <v>270</v>
      </c>
      <c r="N1" t="s">
        <v>271</v>
      </c>
      <c r="O1" t="s">
        <v>272</v>
      </c>
      <c r="P1" t="s">
        <v>273</v>
      </c>
      <c r="Q1" t="s">
        <v>274</v>
      </c>
      <c r="R1" t="s">
        <v>275</v>
      </c>
      <c r="S1" t="s">
        <v>276</v>
      </c>
    </row>
    <row r="2" spans="1:19" x14ac:dyDescent="0.25">
      <c r="A2" t="s">
        <v>277</v>
      </c>
      <c r="B2">
        <v>37</v>
      </c>
      <c r="C2">
        <v>37</v>
      </c>
      <c r="D2">
        <v>37</v>
      </c>
      <c r="E2">
        <v>37</v>
      </c>
      <c r="F2">
        <v>37</v>
      </c>
      <c r="G2">
        <v>37</v>
      </c>
      <c r="H2">
        <v>37</v>
      </c>
      <c r="I2">
        <v>37</v>
      </c>
      <c r="J2">
        <v>37</v>
      </c>
      <c r="K2">
        <v>37</v>
      </c>
      <c r="L2">
        <v>37</v>
      </c>
      <c r="M2">
        <v>37</v>
      </c>
      <c r="N2">
        <v>37</v>
      </c>
      <c r="O2">
        <v>37</v>
      </c>
      <c r="P2">
        <v>37</v>
      </c>
      <c r="Q2">
        <v>37</v>
      </c>
      <c r="R2">
        <v>37</v>
      </c>
      <c r="S2">
        <v>37</v>
      </c>
    </row>
    <row r="3" spans="1:19" x14ac:dyDescent="0.25">
      <c r="A3" t="s">
        <v>278</v>
      </c>
      <c r="B3" s="115">
        <v>2.0627167500110999</v>
      </c>
      <c r="C3" s="115">
        <v>2465.1361734882198</v>
      </c>
      <c r="D3" s="115">
        <v>-310.39738222057701</v>
      </c>
      <c r="E3" s="115">
        <v>243.05229736545101</v>
      </c>
      <c r="F3" s="115">
        <v>270.44489603100101</v>
      </c>
      <c r="G3" s="115">
        <v>-121.312841335747</v>
      </c>
      <c r="H3" s="115">
        <v>234.69370509415899</v>
      </c>
      <c r="I3" s="115">
        <v>114.512524392521</v>
      </c>
      <c r="J3" s="115">
        <v>15.759362653621301</v>
      </c>
      <c r="K3" s="115">
        <v>28.4930723226833</v>
      </c>
      <c r="L3" s="115">
        <v>33.171890016963303</v>
      </c>
      <c r="M3" s="115">
        <v>35.619816397456702</v>
      </c>
      <c r="N3" s="115">
        <v>-70.145283616052595</v>
      </c>
      <c r="O3" s="115">
        <v>-73.844452850754806</v>
      </c>
      <c r="P3" s="115">
        <v>-327.042423126004</v>
      </c>
      <c r="Q3" s="115">
        <v>137.91776136675</v>
      </c>
      <c r="R3" s="115">
        <v>47.841519291059001</v>
      </c>
      <c r="S3" s="115">
        <v>55.851269600850699</v>
      </c>
    </row>
    <row r="4" spans="1:19" x14ac:dyDescent="0.25">
      <c r="A4" t="s">
        <v>279</v>
      </c>
      <c r="B4" s="115">
        <v>-398.39647843769001</v>
      </c>
      <c r="C4" s="115">
        <v>2432.4739618746098</v>
      </c>
      <c r="D4" s="115">
        <v>-827.93500130736004</v>
      </c>
      <c r="E4" s="115">
        <v>0</v>
      </c>
      <c r="F4" s="115">
        <v>0</v>
      </c>
      <c r="G4" s="115">
        <v>-256.99128425429001</v>
      </c>
      <c r="H4" s="115">
        <v>0</v>
      </c>
      <c r="I4" s="115">
        <v>3.9018266009146901E-8</v>
      </c>
      <c r="J4" s="115">
        <v>1.7443190530789799E-8</v>
      </c>
      <c r="K4" s="115">
        <v>2.76416882247753E-8</v>
      </c>
      <c r="L4" s="115">
        <v>2.09101244950685E-8</v>
      </c>
      <c r="M4" s="115">
        <v>3.62337666511555E-9</v>
      </c>
      <c r="N4" s="115">
        <v>-111.096400755093</v>
      </c>
      <c r="O4" s="115">
        <v>-217.057873083918</v>
      </c>
      <c r="P4" s="115">
        <v>-660.80318951635002</v>
      </c>
      <c r="Q4" s="115">
        <v>0</v>
      </c>
      <c r="R4" s="115">
        <v>0</v>
      </c>
      <c r="S4" s="115">
        <v>0</v>
      </c>
    </row>
    <row r="5" spans="1:19" x14ac:dyDescent="0.25">
      <c r="A5" s="114">
        <v>0.25</v>
      </c>
      <c r="B5" s="115">
        <v>-177.54328109695001</v>
      </c>
      <c r="C5" s="115">
        <v>2452.5354376427199</v>
      </c>
      <c r="D5" s="115">
        <v>-447.04364718777902</v>
      </c>
      <c r="E5" s="115">
        <v>171.79208654812899</v>
      </c>
      <c r="F5" s="115">
        <v>173.30839346633499</v>
      </c>
      <c r="G5" s="115">
        <v>-182.00251681227201</v>
      </c>
      <c r="H5" s="115">
        <v>38.6756341129554</v>
      </c>
      <c r="I5" s="115">
        <v>3.94436776975133E-8</v>
      </c>
      <c r="J5" s="115">
        <v>2.1271467683529399E-8</v>
      </c>
      <c r="K5" s="115">
        <v>3.1429200372974601E-8</v>
      </c>
      <c r="L5" s="115">
        <v>2.48285795562441E-8</v>
      </c>
      <c r="M5" s="115">
        <v>5.1215194343237199E-9</v>
      </c>
      <c r="N5" s="115">
        <v>-96.922849601604995</v>
      </c>
      <c r="O5" s="115">
        <v>-109.99467310062199</v>
      </c>
      <c r="P5" s="115">
        <v>-533.64757102585702</v>
      </c>
      <c r="Q5" s="115">
        <v>0</v>
      </c>
      <c r="R5" s="115">
        <v>0</v>
      </c>
      <c r="S5" s="115">
        <v>0</v>
      </c>
    </row>
    <row r="6" spans="1:19" x14ac:dyDescent="0.25">
      <c r="A6" s="114">
        <v>0.5</v>
      </c>
      <c r="B6" s="115">
        <v>-2.2200222356300401</v>
      </c>
      <c r="C6" s="115">
        <v>2466.5158422189402</v>
      </c>
      <c r="D6" s="115">
        <v>-300.40606338852598</v>
      </c>
      <c r="E6" s="115">
        <v>288.00571674528697</v>
      </c>
      <c r="F6" s="115">
        <v>231.93651101983599</v>
      </c>
      <c r="G6" s="115">
        <v>-95.872774659964307</v>
      </c>
      <c r="H6" s="115">
        <v>256.57738136784701</v>
      </c>
      <c r="I6" s="115">
        <v>4.3414245480788497E-8</v>
      </c>
      <c r="J6" s="115">
        <v>2.3657323366789001E-8</v>
      </c>
      <c r="K6" s="115">
        <v>3.4416746553248597E-8</v>
      </c>
      <c r="L6" s="115">
        <v>2.69169240604387E-8</v>
      </c>
      <c r="M6" s="115">
        <v>7.6186900264243003E-9</v>
      </c>
      <c r="N6" s="115">
        <v>-90.405011456826998</v>
      </c>
      <c r="O6" s="115">
        <v>-73.196175260649099</v>
      </c>
      <c r="P6" s="115">
        <v>-319.480251448388</v>
      </c>
      <c r="Q6" s="115">
        <v>0</v>
      </c>
      <c r="R6" s="115">
        <v>0</v>
      </c>
      <c r="S6" s="115">
        <v>0</v>
      </c>
    </row>
    <row r="7" spans="1:19" x14ac:dyDescent="0.25">
      <c r="A7" s="114">
        <v>0.75</v>
      </c>
      <c r="B7" s="115">
        <v>93.810708723649896</v>
      </c>
      <c r="C7" s="115">
        <v>2472.8050198772999</v>
      </c>
      <c r="D7" s="115">
        <v>-140.13615638069001</v>
      </c>
      <c r="E7" s="115">
        <v>331.19340119348902</v>
      </c>
      <c r="F7" s="115">
        <v>324.65844146169502</v>
      </c>
      <c r="G7" s="115">
        <v>-61.7903845442654</v>
      </c>
      <c r="H7" s="115">
        <v>407.44942462436501</v>
      </c>
      <c r="I7" s="115">
        <v>348.10023965119098</v>
      </c>
      <c r="J7" s="115">
        <v>2.8087807422585002E-3</v>
      </c>
      <c r="K7" s="115">
        <v>1.3983778089518E-7</v>
      </c>
      <c r="L7" s="115">
        <v>1.6276671463457699E-2</v>
      </c>
      <c r="M7" s="115">
        <v>77.838028976607603</v>
      </c>
      <c r="N7" s="115">
        <v>-43.124681689568398</v>
      </c>
      <c r="O7" s="115">
        <v>-33.168675152964603</v>
      </c>
      <c r="P7" s="115">
        <v>-149.10749746124901</v>
      </c>
      <c r="Q7" s="115">
        <v>326.27370894545402</v>
      </c>
      <c r="R7" s="115">
        <v>0</v>
      </c>
      <c r="S7" s="115">
        <v>0</v>
      </c>
    </row>
    <row r="8" spans="1:19" x14ac:dyDescent="0.25">
      <c r="A8" t="s">
        <v>280</v>
      </c>
      <c r="B8" s="115">
        <v>446.59824735489002</v>
      </c>
      <c r="C8" s="115">
        <v>2512.4215074825502</v>
      </c>
      <c r="D8" s="115">
        <v>0</v>
      </c>
      <c r="E8" s="115">
        <v>436.14917391957198</v>
      </c>
      <c r="F8" s="115">
        <v>765.13329704554906</v>
      </c>
      <c r="G8" s="115">
        <v>0</v>
      </c>
      <c r="H8" s="115">
        <v>662.25311097081396</v>
      </c>
      <c r="I8" s="115">
        <v>396.74059646403299</v>
      </c>
      <c r="J8" s="115">
        <v>174.83294440917601</v>
      </c>
      <c r="K8" s="115">
        <v>271.09594003145298</v>
      </c>
      <c r="L8" s="115">
        <v>224.130800982072</v>
      </c>
      <c r="M8" s="115">
        <v>129.339304908945</v>
      </c>
      <c r="N8" s="115">
        <v>-1.1326817721787201E-6</v>
      </c>
      <c r="O8" s="115">
        <v>65.0437038090474</v>
      </c>
      <c r="P8" s="115">
        <v>0</v>
      </c>
      <c r="Q8" s="115">
        <v>508.04527659664097</v>
      </c>
      <c r="R8" s="115">
        <v>595.78993032942003</v>
      </c>
      <c r="S8" s="115">
        <v>519.93444782320296</v>
      </c>
    </row>
    <row r="9" spans="1:19" x14ac:dyDescent="0.25">
      <c r="A9" t="s">
        <v>281</v>
      </c>
      <c r="B9" s="115">
        <v>213.771285974466</v>
      </c>
      <c r="C9" s="115">
        <v>19.6175894917139</v>
      </c>
      <c r="D9" s="115">
        <v>217.03332092954699</v>
      </c>
      <c r="E9" s="115">
        <v>130.750234719026</v>
      </c>
      <c r="F9" s="115">
        <v>168.20403478188101</v>
      </c>
      <c r="G9" s="115">
        <v>75.931014341489899</v>
      </c>
      <c r="H9" s="115">
        <v>223.241207193088</v>
      </c>
      <c r="I9" s="115">
        <v>169.876140798432</v>
      </c>
      <c r="J9" s="115">
        <v>40.766272211793797</v>
      </c>
      <c r="K9" s="115">
        <v>80.622617989326997</v>
      </c>
      <c r="L9" s="115">
        <v>74.928239089454394</v>
      </c>
      <c r="M9" s="115">
        <v>49.746716464286798</v>
      </c>
      <c r="N9" s="115">
        <v>40.772661887328901</v>
      </c>
      <c r="O9" s="115">
        <v>61.565966859263703</v>
      </c>
      <c r="P9" s="115">
        <v>218.474439869355</v>
      </c>
      <c r="Q9" s="115">
        <v>170.41025354271099</v>
      </c>
      <c r="R9" s="115">
        <v>163.285045194953</v>
      </c>
      <c r="S9" s="115">
        <v>162.63657524717999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6A70-847B-4D92-8CE5-79B2754D3574}">
  <sheetPr codeName="Sheet11">
    <tabColor theme="1"/>
  </sheetPr>
  <dimension ref="A1:BN66"/>
  <sheetViews>
    <sheetView workbookViewId="0">
      <selection activeCell="AD32" sqref="AD32:AD69"/>
    </sheetView>
  </sheetViews>
  <sheetFormatPr defaultRowHeight="15" x14ac:dyDescent="0.25"/>
  <cols>
    <col min="1" max="1" width="39.7109375" bestFit="1" customWidth="1"/>
    <col min="2" max="47" width="4.7109375" customWidth="1"/>
    <col min="48" max="66" width="4.7109375" hidden="1" customWidth="1"/>
  </cols>
  <sheetData>
    <row r="1" spans="1:66" s="116" customFormat="1" ht="117.75" customHeight="1" x14ac:dyDescent="0.25">
      <c r="B1" s="116" t="s">
        <v>139</v>
      </c>
      <c r="C1" s="116" t="s">
        <v>140</v>
      </c>
      <c r="D1" s="116" t="s">
        <v>36</v>
      </c>
      <c r="E1" s="116" t="s">
        <v>39</v>
      </c>
      <c r="F1" s="116" t="s">
        <v>41</v>
      </c>
      <c r="G1" s="116" t="s">
        <v>141</v>
      </c>
      <c r="H1" s="116" t="s">
        <v>142</v>
      </c>
      <c r="I1" s="116" t="s">
        <v>44</v>
      </c>
      <c r="J1" s="116" t="s">
        <v>143</v>
      </c>
      <c r="K1" s="116" t="s">
        <v>144</v>
      </c>
      <c r="L1" s="116" t="s">
        <v>48</v>
      </c>
      <c r="M1" s="116" t="s">
        <v>145</v>
      </c>
      <c r="N1" s="116" t="s">
        <v>146</v>
      </c>
      <c r="O1" s="116" t="s">
        <v>147</v>
      </c>
      <c r="P1" s="116" t="s">
        <v>148</v>
      </c>
      <c r="Q1" s="116" t="s">
        <v>149</v>
      </c>
      <c r="R1" s="116" t="s">
        <v>50</v>
      </c>
      <c r="S1" s="116" t="s">
        <v>51</v>
      </c>
      <c r="T1" s="116" t="s">
        <v>54</v>
      </c>
      <c r="U1" s="116" t="s">
        <v>55</v>
      </c>
      <c r="V1" s="116" t="s">
        <v>150</v>
      </c>
      <c r="W1" s="116" t="s">
        <v>56</v>
      </c>
      <c r="X1" s="116" t="s">
        <v>57</v>
      </c>
      <c r="Y1" s="116" t="s">
        <v>59</v>
      </c>
      <c r="Z1" s="116" t="s">
        <v>58</v>
      </c>
      <c r="AA1" s="116" t="s">
        <v>62</v>
      </c>
      <c r="AB1" s="116" t="s">
        <v>61</v>
      </c>
      <c r="AC1" s="116" t="s">
        <v>151</v>
      </c>
      <c r="AD1" s="116" t="s">
        <v>152</v>
      </c>
      <c r="AE1" s="116" t="s">
        <v>153</v>
      </c>
      <c r="AF1" s="116" t="s">
        <v>154</v>
      </c>
      <c r="AG1" s="116" t="s">
        <v>155</v>
      </c>
      <c r="AH1" s="116" t="s">
        <v>63</v>
      </c>
      <c r="AI1" s="116" t="s">
        <v>156</v>
      </c>
      <c r="AJ1" s="116" t="s">
        <v>157</v>
      </c>
      <c r="AK1" s="116" t="s">
        <v>158</v>
      </c>
      <c r="AL1" s="116" t="s">
        <v>64</v>
      </c>
      <c r="AM1" s="116" t="s">
        <v>67</v>
      </c>
      <c r="AN1" s="116" t="s">
        <v>70</v>
      </c>
      <c r="AO1" s="116" t="s">
        <v>159</v>
      </c>
      <c r="AP1" s="116" t="s">
        <v>160</v>
      </c>
      <c r="AQ1" s="116" t="s">
        <v>161</v>
      </c>
      <c r="AR1" s="116" t="s">
        <v>71</v>
      </c>
      <c r="AS1" s="116" t="s">
        <v>72</v>
      </c>
      <c r="AT1" s="116" t="s">
        <v>73</v>
      </c>
      <c r="AU1" s="116" t="s">
        <v>162</v>
      </c>
      <c r="AV1" s="116" t="s">
        <v>6</v>
      </c>
      <c r="AW1" s="116" t="s">
        <v>259</v>
      </c>
      <c r="AX1" s="116" t="s">
        <v>260</v>
      </c>
      <c r="AY1" s="116" t="s">
        <v>261</v>
      </c>
      <c r="AZ1" s="116" t="s">
        <v>262</v>
      </c>
      <c r="BA1" s="116" t="s">
        <v>263</v>
      </c>
      <c r="BB1" s="116" t="s">
        <v>264</v>
      </c>
      <c r="BC1" s="116" t="s">
        <v>265</v>
      </c>
      <c r="BD1" s="116" t="s">
        <v>266</v>
      </c>
      <c r="BE1" s="116" t="s">
        <v>267</v>
      </c>
      <c r="BF1" s="116" t="s">
        <v>268</v>
      </c>
      <c r="BG1" s="116" t="s">
        <v>269</v>
      </c>
      <c r="BH1" s="116" t="s">
        <v>270</v>
      </c>
      <c r="BI1" s="116" t="s">
        <v>271</v>
      </c>
      <c r="BJ1" s="116" t="s">
        <v>272</v>
      </c>
      <c r="BK1" s="116" t="s">
        <v>273</v>
      </c>
      <c r="BL1" s="116" t="s">
        <v>274</v>
      </c>
      <c r="BM1" s="116" t="s">
        <v>275</v>
      </c>
      <c r="BN1" s="116" t="s">
        <v>276</v>
      </c>
    </row>
    <row r="2" spans="1:66" hidden="1" x14ac:dyDescent="0.25">
      <c r="A2" t="s">
        <v>139</v>
      </c>
      <c r="B2" s="117">
        <v>1</v>
      </c>
      <c r="C2" s="117">
        <v>0.97867055392471303</v>
      </c>
      <c r="D2" s="117">
        <v>-0.12630638011829201</v>
      </c>
      <c r="E2" s="117">
        <v>0.24508049021001599</v>
      </c>
      <c r="F2" s="117">
        <v>0.42162921640134599</v>
      </c>
      <c r="G2" s="117">
        <v>0.20150508118570601</v>
      </c>
      <c r="H2" s="117">
        <v>0.116036048002535</v>
      </c>
      <c r="I2" s="117">
        <v>0.16959062572489</v>
      </c>
      <c r="J2" s="117">
        <v>6.5163134215786206E-2</v>
      </c>
      <c r="K2" s="117">
        <v>4.5077429071313999E-2</v>
      </c>
      <c r="L2" s="117">
        <v>8.7633387390911796E-2</v>
      </c>
      <c r="M2" s="117">
        <v>4.2689868697852303E-2</v>
      </c>
      <c r="N2" s="117">
        <v>0.377275116961515</v>
      </c>
      <c r="O2" s="117">
        <v>0.36773809799673601</v>
      </c>
      <c r="P2" s="117">
        <v>0.36923920626005502</v>
      </c>
      <c r="Q2" s="117">
        <v>0.36114904526222402</v>
      </c>
      <c r="R2" s="117">
        <v>0.37759144825841001</v>
      </c>
      <c r="S2" s="117">
        <v>0.37197402357814602</v>
      </c>
      <c r="T2" s="117">
        <v>0.30583581111562702</v>
      </c>
      <c r="U2" s="117">
        <v>0.34643873829505001</v>
      </c>
      <c r="V2" s="117">
        <v>0.46411229739939702</v>
      </c>
      <c r="W2" s="117">
        <v>0.21426163802805201</v>
      </c>
      <c r="X2" s="117">
        <v>0.2359057667151</v>
      </c>
      <c r="Y2" s="117">
        <v>0.270906391351875</v>
      </c>
      <c r="Z2" s="117">
        <v>0.27090639177638198</v>
      </c>
      <c r="AA2" s="117">
        <v>0.44851350712861998</v>
      </c>
      <c r="AB2" s="117">
        <v>0.322779989445796</v>
      </c>
      <c r="AC2" s="117">
        <v>8.7847268101886603E-2</v>
      </c>
      <c r="AD2" s="117">
        <v>8.7847268101886603E-2</v>
      </c>
      <c r="AE2" s="117">
        <v>0.30852160234959802</v>
      </c>
      <c r="AF2" s="117">
        <v>0.18644356871554901</v>
      </c>
      <c r="AG2" s="117">
        <v>0.32563737142050297</v>
      </c>
      <c r="AH2" s="117">
        <v>0.35448645473897</v>
      </c>
      <c r="AI2" s="117">
        <v>0.28885129786179098</v>
      </c>
      <c r="AJ2" s="117">
        <v>0.19797581240283499</v>
      </c>
      <c r="AK2" s="117">
        <v>0.191478768403571</v>
      </c>
      <c r="AL2" s="117">
        <v>0.35274888977928398</v>
      </c>
      <c r="AM2" s="117">
        <v>-0.151636344165543</v>
      </c>
      <c r="AN2" s="117">
        <v>-0.76567223876468404</v>
      </c>
      <c r="AO2" s="117">
        <v>0.180923146910207</v>
      </c>
      <c r="AP2" s="117">
        <v>-0.17239458811463901</v>
      </c>
      <c r="AQ2" s="117">
        <v>1.7779829776578299E-2</v>
      </c>
      <c r="AR2" s="117">
        <v>8.9352233396485098E-2</v>
      </c>
      <c r="AS2" s="117">
        <v>0.47385924193576301</v>
      </c>
      <c r="AT2" s="117">
        <v>0.44363979114442897</v>
      </c>
      <c r="AU2" s="117">
        <v>-2.32154068154878E-2</v>
      </c>
      <c r="AV2" s="117">
        <v>-0.57996255718838197</v>
      </c>
      <c r="AW2" s="117">
        <v>0.27804579547552299</v>
      </c>
      <c r="AX2" s="117">
        <v>-0.156446360804394</v>
      </c>
      <c r="AY2" s="117">
        <v>0.238698374176564</v>
      </c>
      <c r="AZ2" s="117">
        <v>0.23685307470495301</v>
      </c>
      <c r="BA2" s="117">
        <v>0.41777845254074403</v>
      </c>
      <c r="BB2" s="117">
        <v>-0.150025487263172</v>
      </c>
      <c r="BC2" s="117">
        <v>4.7033387727237197E-2</v>
      </c>
      <c r="BD2" s="117">
        <v>0.51489321705054303</v>
      </c>
      <c r="BE2" s="117">
        <v>0.25467627972055901</v>
      </c>
      <c r="BF2" s="117">
        <v>0.24546199137431299</v>
      </c>
      <c r="BG2" s="117">
        <v>0.17138614371295</v>
      </c>
      <c r="BH2" s="117">
        <v>0.41747000818657998</v>
      </c>
      <c r="BI2" s="117">
        <v>-0.269791584725669</v>
      </c>
      <c r="BJ2" s="117">
        <v>0.16630191772723399</v>
      </c>
      <c r="BK2" s="117">
        <v>0.77407235993594203</v>
      </c>
      <c r="BL2" s="117">
        <v>0.10279947246335699</v>
      </c>
      <c r="BM2" s="117">
        <v>0.473622972533699</v>
      </c>
      <c r="BN2" s="117">
        <v>0.44310569030762798</v>
      </c>
    </row>
    <row r="3" spans="1:66" hidden="1" x14ac:dyDescent="0.25">
      <c r="A3" t="s">
        <v>140</v>
      </c>
      <c r="B3" s="117">
        <v>0.97867055392471303</v>
      </c>
      <c r="C3" s="117">
        <v>1</v>
      </c>
      <c r="D3" s="117">
        <v>7.5373353031044393E-2</v>
      </c>
      <c r="E3" s="117">
        <v>0.373547595057587</v>
      </c>
      <c r="F3" s="117">
        <v>0.49403206516449699</v>
      </c>
      <c r="G3" s="117">
        <v>0.18838047567921701</v>
      </c>
      <c r="H3" s="117">
        <v>0.23853293173767501</v>
      </c>
      <c r="I3" s="117">
        <v>0.27900649643310699</v>
      </c>
      <c r="J3" s="117">
        <v>-0.107141376006624</v>
      </c>
      <c r="K3" s="117">
        <v>-0.141079718038123</v>
      </c>
      <c r="L3" s="117">
        <v>-8.9116495461154702E-2</v>
      </c>
      <c r="M3" s="117">
        <v>-0.127864859028439</v>
      </c>
      <c r="N3" s="117">
        <v>0.44254155844802501</v>
      </c>
      <c r="O3" s="117">
        <v>0.43507108538358102</v>
      </c>
      <c r="P3" s="117">
        <v>0.43667938278836899</v>
      </c>
      <c r="Q3" s="117">
        <v>0.43094180102546298</v>
      </c>
      <c r="R3" s="117">
        <v>0.443526652936023</v>
      </c>
      <c r="S3" s="117">
        <v>0.44190232265683999</v>
      </c>
      <c r="T3" s="117">
        <v>0.327403418356778</v>
      </c>
      <c r="U3" s="117">
        <v>0.38996058051922899</v>
      </c>
      <c r="V3" s="117">
        <v>0.58793567810555403</v>
      </c>
      <c r="W3" s="117">
        <v>0.19472882904313399</v>
      </c>
      <c r="X3" s="117">
        <v>0.21863140476071799</v>
      </c>
      <c r="Y3" s="117">
        <v>0.24856567306524599</v>
      </c>
      <c r="Z3" s="117">
        <v>0.24856567383936701</v>
      </c>
      <c r="AA3" s="117">
        <v>0.51038533859731094</v>
      </c>
      <c r="AB3" s="117">
        <v>0.346208442578535</v>
      </c>
      <c r="AC3" s="117">
        <v>6.5067062378007495E-2</v>
      </c>
      <c r="AD3" s="117">
        <v>6.5067062378007495E-2</v>
      </c>
      <c r="AE3" s="117">
        <v>0.28529295769186802</v>
      </c>
      <c r="AF3" s="117">
        <v>0.20173202973332399</v>
      </c>
      <c r="AG3" s="117">
        <v>0.20919141615695</v>
      </c>
      <c r="AH3" s="117">
        <v>0.33332999876951902</v>
      </c>
      <c r="AI3" s="117">
        <v>0.30727706368534802</v>
      </c>
      <c r="AJ3" s="117">
        <v>0.26972021047817102</v>
      </c>
      <c r="AK3" s="117">
        <v>0.164113800743872</v>
      </c>
      <c r="AL3" s="117">
        <v>0.39927515379860901</v>
      </c>
      <c r="AM3" s="117">
        <v>-0.23281025482635001</v>
      </c>
      <c r="AN3" s="117">
        <v>-0.76560662969418103</v>
      </c>
      <c r="AO3" s="117">
        <v>0.25399493628504399</v>
      </c>
      <c r="AP3" s="117">
        <v>-0.26792476710028301</v>
      </c>
      <c r="AQ3" s="117">
        <v>-3.3784372140305101E-2</v>
      </c>
      <c r="AR3" s="117">
        <v>-6.0159651638979302E-2</v>
      </c>
      <c r="AS3" s="117">
        <v>0.49931987975537401</v>
      </c>
      <c r="AT3" s="117">
        <v>0.38014842799918003</v>
      </c>
      <c r="AU3" s="117">
        <v>8.1962205773729105E-3</v>
      </c>
      <c r="AV3" s="117">
        <v>-0.56324908761774695</v>
      </c>
      <c r="AW3" s="117">
        <v>0.30925526098193301</v>
      </c>
      <c r="AX3" s="117">
        <v>-0.19952200016351199</v>
      </c>
      <c r="AY3" s="117">
        <v>0.27347803020360401</v>
      </c>
      <c r="AZ3" s="117">
        <v>0.37305017846793398</v>
      </c>
      <c r="BA3" s="117">
        <v>0.47133766705409802</v>
      </c>
      <c r="BB3" s="117">
        <v>-0.24531944533989899</v>
      </c>
      <c r="BC3" s="117">
        <v>-0.129868451617212</v>
      </c>
      <c r="BD3" s="117">
        <v>0.59496960025687096</v>
      </c>
      <c r="BE3" s="117">
        <v>0.27955535888373401</v>
      </c>
      <c r="BF3" s="117">
        <v>0.236027531061414</v>
      </c>
      <c r="BG3" s="117">
        <v>0.17573030479643101</v>
      </c>
      <c r="BH3" s="117">
        <v>0.50451881843876401</v>
      </c>
      <c r="BI3" s="117">
        <v>-0.29562877032048601</v>
      </c>
      <c r="BJ3" s="117">
        <v>0.244921798545394</v>
      </c>
      <c r="BK3" s="117">
        <v>0.76789942625395402</v>
      </c>
      <c r="BL3" s="117">
        <v>-3.2826963244199397E-2</v>
      </c>
      <c r="BM3" s="117">
        <v>0.499192298638507</v>
      </c>
      <c r="BN3" s="117">
        <v>0.379757136005624</v>
      </c>
    </row>
    <row r="4" spans="1:66" hidden="1" x14ac:dyDescent="0.25">
      <c r="A4" t="s">
        <v>36</v>
      </c>
      <c r="B4" s="117">
        <v>-0.12630638011829201</v>
      </c>
      <c r="C4" s="117">
        <v>7.5373353031044393E-2</v>
      </c>
      <c r="D4" s="117">
        <v>1</v>
      </c>
      <c r="E4" s="117">
        <v>0.64287935594085899</v>
      </c>
      <c r="F4" s="117">
        <v>0.27379422768348299</v>
      </c>
      <c r="G4" s="117">
        <v>-0.113843209131193</v>
      </c>
      <c r="H4" s="117">
        <v>0.60395504452554705</v>
      </c>
      <c r="I4" s="117">
        <v>0.50969185080552804</v>
      </c>
      <c r="J4" s="117">
        <v>-0.83145010423223098</v>
      </c>
      <c r="K4" s="117">
        <v>-0.894215219778694</v>
      </c>
      <c r="L4" s="117">
        <v>-0.85174128560785101</v>
      </c>
      <c r="M4" s="117">
        <v>-0.82393004413900905</v>
      </c>
      <c r="N4" s="117">
        <v>0.27610206789991298</v>
      </c>
      <c r="O4" s="117">
        <v>0.28554265914527499</v>
      </c>
      <c r="P4" s="117">
        <v>0.291050445221401</v>
      </c>
      <c r="Q4" s="117">
        <v>0.29959140603010098</v>
      </c>
      <c r="R4" s="117">
        <v>0.27992234004412803</v>
      </c>
      <c r="S4" s="117">
        <v>0.29834425227125499</v>
      </c>
      <c r="T4" s="117">
        <v>9.4849928632425001E-2</v>
      </c>
      <c r="U4" s="117">
        <v>0.18922723043682799</v>
      </c>
      <c r="V4" s="117">
        <v>0.55080056073040995</v>
      </c>
      <c r="W4" s="117">
        <v>-7.2206690115921096E-2</v>
      </c>
      <c r="X4" s="117">
        <v>-5.9443873027116602E-2</v>
      </c>
      <c r="Y4" s="117">
        <v>-7.9279838400714703E-2</v>
      </c>
      <c r="Z4" s="117">
        <v>-7.9279836721446506E-2</v>
      </c>
      <c r="AA4" s="117">
        <v>0.25241843764472899</v>
      </c>
      <c r="AB4" s="117">
        <v>0.10354340814688601</v>
      </c>
      <c r="AC4" s="117">
        <v>-9.9182177293207399E-2</v>
      </c>
      <c r="AD4" s="117">
        <v>-9.9182177293207399E-2</v>
      </c>
      <c r="AE4" s="117">
        <v>-0.14027241287588499</v>
      </c>
      <c r="AF4" s="117">
        <v>8.3160540176064696E-2</v>
      </c>
      <c r="AG4" s="117">
        <v>-0.48349209493324202</v>
      </c>
      <c r="AH4" s="117">
        <v>-0.11038383040587001</v>
      </c>
      <c r="AI4" s="117">
        <v>5.3553265554473199E-2</v>
      </c>
      <c r="AJ4" s="117">
        <v>0.32323774712751602</v>
      </c>
      <c r="AK4" s="117">
        <v>-0.11062126355032</v>
      </c>
      <c r="AL4" s="117">
        <v>0.18685018120986099</v>
      </c>
      <c r="AM4" s="117">
        <v>-0.38423089371467301</v>
      </c>
      <c r="AN4" s="117">
        <v>-9.0457247634388692E-3</v>
      </c>
      <c r="AO4" s="117">
        <v>0.417631133464126</v>
      </c>
      <c r="AP4" s="117">
        <v>-0.43715391397116798</v>
      </c>
      <c r="AQ4" s="117">
        <v>-0.28168065613167298</v>
      </c>
      <c r="AR4" s="117">
        <v>-0.719893474727067</v>
      </c>
      <c r="AS4" s="117">
        <v>0.10259158161224</v>
      </c>
      <c r="AT4" s="117">
        <v>-0.25073945159430999</v>
      </c>
      <c r="AU4" s="117">
        <v>0.155640814361519</v>
      </c>
      <c r="AV4" s="117">
        <v>7.3376728813975001E-2</v>
      </c>
      <c r="AW4" s="117">
        <v>0.16025234786335499</v>
      </c>
      <c r="AX4" s="117">
        <v>-0.169841248808414</v>
      </c>
      <c r="AY4" s="117">
        <v>0.122816179524735</v>
      </c>
      <c r="AZ4" s="117">
        <v>0.68082034070072195</v>
      </c>
      <c r="BA4" s="117">
        <v>0.170616299017362</v>
      </c>
      <c r="BB4" s="117">
        <v>-0.44017579643218102</v>
      </c>
      <c r="BC4" s="117">
        <v>-0.849516585189111</v>
      </c>
      <c r="BD4" s="117">
        <v>0.348784558672808</v>
      </c>
      <c r="BE4" s="117">
        <v>0.10249471115563601</v>
      </c>
      <c r="BF4" s="117">
        <v>-2.8103886996685899E-2</v>
      </c>
      <c r="BG4" s="117">
        <v>4.1917414711332597E-2</v>
      </c>
      <c r="BH4" s="117">
        <v>0.38181561781440898</v>
      </c>
      <c r="BI4" s="117">
        <v>-0.12271063962095601</v>
      </c>
      <c r="BJ4" s="117">
        <v>0.37125680780086301</v>
      </c>
      <c r="BK4" s="117">
        <v>-2.4086103174781898E-2</v>
      </c>
      <c r="BL4" s="117">
        <v>-0.65730517319496495</v>
      </c>
      <c r="BM4" s="117">
        <v>0.10298794219070299</v>
      </c>
      <c r="BN4" s="117">
        <v>-0.250304990445961</v>
      </c>
    </row>
    <row r="5" spans="1:66" hidden="1" x14ac:dyDescent="0.25">
      <c r="A5" t="s">
        <v>39</v>
      </c>
      <c r="B5" s="117">
        <v>0.24508049021001599</v>
      </c>
      <c r="C5" s="117">
        <v>0.373547595057587</v>
      </c>
      <c r="D5" s="117">
        <v>0.64287935594085899</v>
      </c>
      <c r="E5" s="117">
        <v>1</v>
      </c>
      <c r="F5" s="117">
        <v>0.46490439302650699</v>
      </c>
      <c r="G5" s="117">
        <v>-0.24240203764142301</v>
      </c>
      <c r="H5" s="117">
        <v>0.86897831666953396</v>
      </c>
      <c r="I5" s="117">
        <v>0.68836964573057402</v>
      </c>
      <c r="J5" s="117">
        <v>-0.38432356617662999</v>
      </c>
      <c r="K5" s="117">
        <v>-0.41766963590501499</v>
      </c>
      <c r="L5" s="117">
        <v>-0.35594793822898901</v>
      </c>
      <c r="M5" s="117">
        <v>-0.34824424326466002</v>
      </c>
      <c r="N5" s="117">
        <v>0.46279095800003001</v>
      </c>
      <c r="O5" s="117">
        <v>0.45828913252097198</v>
      </c>
      <c r="P5" s="117">
        <v>0.46269428465024998</v>
      </c>
      <c r="Q5" s="117">
        <v>0.46409800683129399</v>
      </c>
      <c r="R5" s="117">
        <v>0.464860705760063</v>
      </c>
      <c r="S5" s="117">
        <v>0.47052705510022003</v>
      </c>
      <c r="T5" s="117">
        <v>0.331936581343106</v>
      </c>
      <c r="U5" s="117">
        <v>0.39314316497845597</v>
      </c>
      <c r="V5" s="117">
        <v>0.75212514272325104</v>
      </c>
      <c r="W5" s="117">
        <v>0.14359502898038001</v>
      </c>
      <c r="X5" s="117">
        <v>0.14060272895223699</v>
      </c>
      <c r="Y5" s="117">
        <v>0.114627099532808</v>
      </c>
      <c r="Z5" s="117">
        <v>0.11462709943707799</v>
      </c>
      <c r="AA5" s="117">
        <v>0.47034911025854398</v>
      </c>
      <c r="AB5" s="117">
        <v>0.33048174211654902</v>
      </c>
      <c r="AC5" s="117">
        <v>9.0475976194622207E-2</v>
      </c>
      <c r="AD5" s="117">
        <v>9.0475976194622096E-2</v>
      </c>
      <c r="AE5" s="117">
        <v>8.4362466985669002E-2</v>
      </c>
      <c r="AF5" s="117">
        <v>0.242663789486391</v>
      </c>
      <c r="AG5" s="117">
        <v>-6.2504584108337702E-2</v>
      </c>
      <c r="AH5" s="117">
        <v>0.17804348991618299</v>
      </c>
      <c r="AI5" s="117">
        <v>0.22207677757401301</v>
      </c>
      <c r="AJ5" s="117">
        <v>0.50992519967396599</v>
      </c>
      <c r="AK5" s="117">
        <v>0.113076964210978</v>
      </c>
      <c r="AL5" s="117">
        <v>0.43905384953121601</v>
      </c>
      <c r="AM5" s="117">
        <v>-0.60240919542558602</v>
      </c>
      <c r="AN5" s="117">
        <v>-0.289510392213568</v>
      </c>
      <c r="AO5" s="117">
        <v>0.78993081850326496</v>
      </c>
      <c r="AP5" s="117">
        <v>-0.61306488329839504</v>
      </c>
      <c r="AQ5" s="117">
        <v>-0.217604929108585</v>
      </c>
      <c r="AR5" s="117">
        <v>-0.84596243074120503</v>
      </c>
      <c r="AS5" s="117">
        <v>7.0144951279739007E-2</v>
      </c>
      <c r="AT5" s="117">
        <v>0.11653839382451101</v>
      </c>
      <c r="AU5" s="117">
        <v>-6.7871987549006502E-2</v>
      </c>
      <c r="AV5" s="117">
        <v>-0.223626786990101</v>
      </c>
      <c r="AW5" s="117">
        <v>2.3302052195263101E-2</v>
      </c>
      <c r="AX5" s="117">
        <v>0.120848360125676</v>
      </c>
      <c r="AY5" s="117">
        <v>-2.4948457587145201E-2</v>
      </c>
      <c r="AZ5" s="117">
        <v>0.98807548067473805</v>
      </c>
      <c r="BA5" s="117">
        <v>0.199103283700023</v>
      </c>
      <c r="BB5" s="117">
        <v>-0.626953573785895</v>
      </c>
      <c r="BC5" s="117">
        <v>-0.40926211627756898</v>
      </c>
      <c r="BD5" s="117">
        <v>0.64870134174279603</v>
      </c>
      <c r="BE5" s="117">
        <v>0.32061606154175498</v>
      </c>
      <c r="BF5" s="117">
        <v>0.20039075430464301</v>
      </c>
      <c r="BG5" s="117">
        <v>0.24933442874960801</v>
      </c>
      <c r="BH5" s="117">
        <v>0.68942206792832195</v>
      </c>
      <c r="BI5" s="117">
        <v>-0.489248461452301</v>
      </c>
      <c r="BJ5" s="117">
        <v>0.58480510230112404</v>
      </c>
      <c r="BK5" s="117">
        <v>0.23276906103050399</v>
      </c>
      <c r="BL5" s="117">
        <v>-0.84949287006341401</v>
      </c>
      <c r="BM5" s="117">
        <v>6.8807036379754299E-2</v>
      </c>
      <c r="BN5" s="117">
        <v>0.116246439276554</v>
      </c>
    </row>
    <row r="6" spans="1:66" hidden="1" x14ac:dyDescent="0.25">
      <c r="A6" t="s">
        <v>41</v>
      </c>
      <c r="B6" s="117">
        <v>0.42162921640134599</v>
      </c>
      <c r="C6" s="117">
        <v>0.49403206516449699</v>
      </c>
      <c r="D6" s="117">
        <v>0.27379422768348299</v>
      </c>
      <c r="E6" s="117">
        <v>0.46490439302650699</v>
      </c>
      <c r="F6" s="117">
        <v>1</v>
      </c>
      <c r="G6" s="117">
        <v>0.41281726422235099</v>
      </c>
      <c r="H6" s="117">
        <v>0.39538180812936302</v>
      </c>
      <c r="I6" s="117">
        <v>0.48500631991207999</v>
      </c>
      <c r="J6" s="117">
        <v>-0.243221202060037</v>
      </c>
      <c r="K6" s="117">
        <v>-0.327766099475443</v>
      </c>
      <c r="L6" s="117">
        <v>-0.30650263688514701</v>
      </c>
      <c r="M6" s="117">
        <v>-0.281383185928053</v>
      </c>
      <c r="N6" s="117">
        <v>0.46371922974508401</v>
      </c>
      <c r="O6" s="117">
        <v>0.53230862530501999</v>
      </c>
      <c r="P6" s="117">
        <v>0.36430362915462999</v>
      </c>
      <c r="Q6" s="117">
        <v>0.37543656665983499</v>
      </c>
      <c r="R6" s="117">
        <v>0.44868108489886399</v>
      </c>
      <c r="S6" s="117">
        <v>0.46531163402469</v>
      </c>
      <c r="T6" s="117">
        <v>0.113035440899726</v>
      </c>
      <c r="U6" s="117">
        <v>0.183489185453835</v>
      </c>
      <c r="V6" s="117">
        <v>0.60249310289987401</v>
      </c>
      <c r="W6" s="117">
        <v>-0.140069851180986</v>
      </c>
      <c r="X6" s="117">
        <v>-0.150283873370024</v>
      </c>
      <c r="Y6" s="117">
        <v>-0.111218998556295</v>
      </c>
      <c r="Z6" s="117">
        <v>-0.111218999837468</v>
      </c>
      <c r="AA6" s="117">
        <v>0.52461650715490604</v>
      </c>
      <c r="AB6" s="117">
        <v>9.6697630052909794E-2</v>
      </c>
      <c r="AC6" s="117">
        <v>-3.8334883068863297E-2</v>
      </c>
      <c r="AD6" s="117">
        <v>-3.8334883068863297E-2</v>
      </c>
      <c r="AE6" s="117">
        <v>0.30793107785944701</v>
      </c>
      <c r="AF6" s="117">
        <v>0.22551642713855399</v>
      </c>
      <c r="AG6" s="117">
        <v>-0.16726402925421699</v>
      </c>
      <c r="AH6" s="117">
        <v>0.32436711934539503</v>
      </c>
      <c r="AI6" s="117">
        <v>0.276643843349828</v>
      </c>
      <c r="AJ6" s="117">
        <v>0.48964428333334997</v>
      </c>
      <c r="AK6" s="117">
        <v>-7.3687044415832001E-2</v>
      </c>
      <c r="AL6" s="117">
        <v>0.45362507680810799</v>
      </c>
      <c r="AM6" s="117">
        <v>-0.254606850296618</v>
      </c>
      <c r="AN6" s="117">
        <v>-0.27964157787747901</v>
      </c>
      <c r="AO6" s="117">
        <v>0.27595490367561898</v>
      </c>
      <c r="AP6" s="117">
        <v>-0.69601778913232903</v>
      </c>
      <c r="AQ6" s="117">
        <v>0.24774566463741299</v>
      </c>
      <c r="AR6" s="117">
        <v>-0.29499721051595401</v>
      </c>
      <c r="AS6" s="117">
        <v>8.2951872222861101E-2</v>
      </c>
      <c r="AT6" s="117">
        <v>7.0787591147494803E-3</v>
      </c>
      <c r="AU6" s="117">
        <v>-0.10030007244967799</v>
      </c>
      <c r="AV6" s="117">
        <v>-0.20930836295646399</v>
      </c>
      <c r="AW6" s="117">
        <v>-4.6859156838726497E-2</v>
      </c>
      <c r="AX6" s="117">
        <v>-0.25409757567422903</v>
      </c>
      <c r="AY6" s="117">
        <v>0.39999977128583297</v>
      </c>
      <c r="AZ6" s="117">
        <v>0.43129777937323199</v>
      </c>
      <c r="BA6" s="117">
        <v>0.91193371123206801</v>
      </c>
      <c r="BB6" s="117">
        <v>-0.42106661894087899</v>
      </c>
      <c r="BC6" s="117">
        <v>-0.31915905951232798</v>
      </c>
      <c r="BD6" s="117">
        <v>0.53414390774557596</v>
      </c>
      <c r="BE6" s="117">
        <v>8.4834918898648096E-2</v>
      </c>
      <c r="BF6" s="117">
        <v>-0.18477018890240099</v>
      </c>
      <c r="BG6" s="117">
        <v>-0.15873761863556701</v>
      </c>
      <c r="BH6" s="117">
        <v>0.59940766182792005</v>
      </c>
      <c r="BI6" s="117">
        <v>-0.43414658981089699</v>
      </c>
      <c r="BJ6" s="117">
        <v>0.25229158132051899</v>
      </c>
      <c r="BK6" s="117">
        <v>0.26791772420361598</v>
      </c>
      <c r="BL6" s="117">
        <v>-0.31412861500885098</v>
      </c>
      <c r="BM6" s="117">
        <v>8.2662297392132503E-2</v>
      </c>
      <c r="BN6" s="117">
        <v>6.9009760794329598E-3</v>
      </c>
    </row>
    <row r="7" spans="1:66" hidden="1" x14ac:dyDescent="0.25">
      <c r="A7" t="s">
        <v>141</v>
      </c>
      <c r="B7" s="117">
        <v>0.20150508118570601</v>
      </c>
      <c r="C7" s="117">
        <v>0.18838047567921701</v>
      </c>
      <c r="D7" s="117">
        <v>-0.113843209131193</v>
      </c>
      <c r="E7" s="117">
        <v>-0.24240203764142301</v>
      </c>
      <c r="F7" s="117">
        <v>0.41281726422235099</v>
      </c>
      <c r="G7" s="117">
        <v>1</v>
      </c>
      <c r="H7" s="117">
        <v>-0.47777486338035802</v>
      </c>
      <c r="I7" s="117">
        <v>-0.30787036323882</v>
      </c>
      <c r="J7" s="117">
        <v>0.10042470275207201</v>
      </c>
      <c r="K7" s="117">
        <v>-5.0149199919244297E-2</v>
      </c>
      <c r="L7" s="117">
        <v>-2.08450895345462E-2</v>
      </c>
      <c r="M7" s="117">
        <v>2.2469232674054599E-2</v>
      </c>
      <c r="N7" s="117">
        <v>-5.9664438574748499E-2</v>
      </c>
      <c r="O7" s="117">
        <v>-2.9583496220645999E-2</v>
      </c>
      <c r="P7" s="117">
        <v>-0.10399036998395</v>
      </c>
      <c r="Q7" s="117">
        <v>-9.7508337682708002E-2</v>
      </c>
      <c r="R7" s="117">
        <v>-6.7570526194672506E-2</v>
      </c>
      <c r="S7" s="117">
        <v>-6.3901497567725105E-2</v>
      </c>
      <c r="T7" s="117">
        <v>-0.20393549595859001</v>
      </c>
      <c r="U7" s="117">
        <v>-0.22822840601001901</v>
      </c>
      <c r="V7" s="117">
        <v>-5.9031359910580103E-2</v>
      </c>
      <c r="W7" s="117">
        <v>-0.33336958273887801</v>
      </c>
      <c r="X7" s="117">
        <v>-0.35416872128468202</v>
      </c>
      <c r="Y7" s="117">
        <v>-0.26157283848311602</v>
      </c>
      <c r="Z7" s="117">
        <v>-0.26157284123541003</v>
      </c>
      <c r="AA7" s="117">
        <v>-0.10157736475835</v>
      </c>
      <c r="AB7" s="117">
        <v>-0.35928498530730502</v>
      </c>
      <c r="AC7" s="117">
        <v>-0.102885906839812</v>
      </c>
      <c r="AD7" s="117">
        <v>-0.102885906839812</v>
      </c>
      <c r="AE7" s="117">
        <v>6.5626592788223706E-2</v>
      </c>
      <c r="AF7" s="117">
        <v>-0.18204119041667699</v>
      </c>
      <c r="AG7" s="117">
        <v>-7.5366062129687605E-2</v>
      </c>
      <c r="AH7" s="117">
        <v>-5.0412768462096198E-2</v>
      </c>
      <c r="AI7" s="117">
        <v>-0.12584352859141801</v>
      </c>
      <c r="AJ7" s="117">
        <v>-0.14915610204839599</v>
      </c>
      <c r="AK7" s="117">
        <v>-0.18196268223175599</v>
      </c>
      <c r="AL7" s="117">
        <v>-0.194639894928514</v>
      </c>
      <c r="AM7" s="117">
        <v>0.200264306897706</v>
      </c>
      <c r="AN7" s="117">
        <v>3.5922690532066703E-2</v>
      </c>
      <c r="AO7" s="117">
        <v>-0.42684507941984301</v>
      </c>
      <c r="AP7" s="117">
        <v>-0.24211949106376601</v>
      </c>
      <c r="AQ7" s="117">
        <v>0.114323753495872</v>
      </c>
      <c r="AR7" s="117">
        <v>0.34120043072684197</v>
      </c>
      <c r="AS7" s="117">
        <v>-3.2003443840092197E-2</v>
      </c>
      <c r="AT7" s="117">
        <v>-5.1840847120885901E-2</v>
      </c>
      <c r="AU7" s="117">
        <v>0.11125105018380101</v>
      </c>
      <c r="AV7" s="117">
        <v>3.1833811805840898E-2</v>
      </c>
      <c r="AW7" s="117">
        <v>0.21176508057809501</v>
      </c>
      <c r="AX7" s="117">
        <v>-0.601752071969054</v>
      </c>
      <c r="AY7" s="117">
        <v>0.59319454660773496</v>
      </c>
      <c r="AZ7" s="117">
        <v>-0.214154402206505</v>
      </c>
      <c r="BA7" s="117">
        <v>0.63859349993410697</v>
      </c>
      <c r="BB7" s="117">
        <v>0.39117082876076797</v>
      </c>
      <c r="BC7" s="117">
        <v>3.28188131925635E-3</v>
      </c>
      <c r="BD7" s="117">
        <v>-0.28070554050951102</v>
      </c>
      <c r="BE7" s="117">
        <v>-0.31945606711566199</v>
      </c>
      <c r="BF7" s="117">
        <v>-0.56044879639356104</v>
      </c>
      <c r="BG7" s="117">
        <v>-0.72511925727030802</v>
      </c>
      <c r="BH7" s="117">
        <v>-0.27934506262376102</v>
      </c>
      <c r="BI7" s="117">
        <v>0.139885355076422</v>
      </c>
      <c r="BJ7" s="117">
        <v>-0.188377422964221</v>
      </c>
      <c r="BK7" s="117">
        <v>3.7422533592761202E-3</v>
      </c>
      <c r="BL7" s="117">
        <v>0.35731481793228298</v>
      </c>
      <c r="BM7" s="117">
        <v>-3.03961673272382E-2</v>
      </c>
      <c r="BN7" s="117">
        <v>-5.3671691789476901E-2</v>
      </c>
    </row>
    <row r="8" spans="1:66" hidden="1" x14ac:dyDescent="0.25">
      <c r="A8" t="s">
        <v>142</v>
      </c>
      <c r="B8" s="117">
        <v>0.116036048002535</v>
      </c>
      <c r="C8" s="117">
        <v>0.23853293173767501</v>
      </c>
      <c r="D8" s="117">
        <v>0.60395504452554705</v>
      </c>
      <c r="E8" s="117">
        <v>0.86897831666953396</v>
      </c>
      <c r="F8" s="117">
        <v>0.39538180812936302</v>
      </c>
      <c r="G8" s="117">
        <v>-0.47777486338035802</v>
      </c>
      <c r="H8" s="117">
        <v>1</v>
      </c>
      <c r="I8" s="117">
        <v>0.90263643287204198</v>
      </c>
      <c r="J8" s="117">
        <v>-0.46162050970767898</v>
      </c>
      <c r="K8" s="117">
        <v>-0.44077377070481699</v>
      </c>
      <c r="L8" s="117">
        <v>-0.40702291188839002</v>
      </c>
      <c r="M8" s="117">
        <v>-0.39217909973239001</v>
      </c>
      <c r="N8" s="117">
        <v>0.47575070704218198</v>
      </c>
      <c r="O8" s="117">
        <v>0.476710930090739</v>
      </c>
      <c r="P8" s="117">
        <v>0.47370979140210301</v>
      </c>
      <c r="Q8" s="117">
        <v>0.48240757350742303</v>
      </c>
      <c r="R8" s="117">
        <v>0.477543899620538</v>
      </c>
      <c r="S8" s="117">
        <v>0.48926917804886899</v>
      </c>
      <c r="T8" s="117">
        <v>0.31157664168489002</v>
      </c>
      <c r="U8" s="117">
        <v>0.40579458627234299</v>
      </c>
      <c r="V8" s="117">
        <v>0.68332761756721105</v>
      </c>
      <c r="W8" s="117">
        <v>0.12813466331557499</v>
      </c>
      <c r="X8" s="117">
        <v>0.12632719087094199</v>
      </c>
      <c r="Y8" s="117">
        <v>5.08682151453849E-2</v>
      </c>
      <c r="Z8" s="117">
        <v>5.0868216251221003E-2</v>
      </c>
      <c r="AA8" s="117">
        <v>0.49904591908881302</v>
      </c>
      <c r="AB8" s="117">
        <v>0.36847025277857698</v>
      </c>
      <c r="AC8" s="117">
        <v>5.0970599422160097E-2</v>
      </c>
      <c r="AD8" s="117">
        <v>5.0970599422160097E-2</v>
      </c>
      <c r="AE8" s="117">
        <v>0.107123509822332</v>
      </c>
      <c r="AF8" s="117">
        <v>0.30629021018888802</v>
      </c>
      <c r="AG8" s="117">
        <v>-0.15249086379205001</v>
      </c>
      <c r="AH8" s="117">
        <v>0.21783867053946601</v>
      </c>
      <c r="AI8" s="117">
        <v>0.26675366795896499</v>
      </c>
      <c r="AJ8" s="117">
        <v>0.53985950598181798</v>
      </c>
      <c r="AK8" s="117">
        <v>4.9463073019266002E-2</v>
      </c>
      <c r="AL8" s="117">
        <v>0.48308099763735501</v>
      </c>
      <c r="AM8" s="117">
        <v>-0.53203555326589302</v>
      </c>
      <c r="AN8" s="117">
        <v>-0.22224690906185801</v>
      </c>
      <c r="AO8" s="117">
        <v>0.722824460232254</v>
      </c>
      <c r="AP8" s="117">
        <v>-0.54675279513818897</v>
      </c>
      <c r="AQ8" s="117">
        <v>-8.9329453071848905E-2</v>
      </c>
      <c r="AR8" s="117">
        <v>-0.78150998849281395</v>
      </c>
      <c r="AS8" s="117">
        <v>0.11251512687703499</v>
      </c>
      <c r="AT8" s="117">
        <v>-8.1469480387172305E-2</v>
      </c>
      <c r="AU8" s="117">
        <v>-2.8358574524855198E-2</v>
      </c>
      <c r="AV8" s="117">
        <v>-0.17441523960043101</v>
      </c>
      <c r="AW8" s="117">
        <v>-1.4905100222565E-2</v>
      </c>
      <c r="AX8" s="117">
        <v>0.14334631175927001</v>
      </c>
      <c r="AY8" s="117">
        <v>-2.96435158201965E-2</v>
      </c>
      <c r="AZ8" s="117">
        <v>0.84822030024073902</v>
      </c>
      <c r="BA8" s="117">
        <v>0.12929576661353001</v>
      </c>
      <c r="BB8" s="117">
        <v>-0.88501212801516704</v>
      </c>
      <c r="BC8" s="117">
        <v>-0.44661925233711203</v>
      </c>
      <c r="BD8" s="117">
        <v>0.62869777849763797</v>
      </c>
      <c r="BE8" s="117">
        <v>0.37332379184292402</v>
      </c>
      <c r="BF8" s="117">
        <v>0.22344019216528399</v>
      </c>
      <c r="BG8" s="117">
        <v>0.374719456422132</v>
      </c>
      <c r="BH8" s="117">
        <v>0.73066319527152301</v>
      </c>
      <c r="BI8" s="117">
        <v>-0.56134453610151003</v>
      </c>
      <c r="BJ8" s="117">
        <v>0.51546630804454696</v>
      </c>
      <c r="BK8" s="117">
        <v>0.16458172396201101</v>
      </c>
      <c r="BL8" s="117">
        <v>-0.77830320249025897</v>
      </c>
      <c r="BM8" s="117">
        <v>0.111946965098101</v>
      </c>
      <c r="BN8" s="117">
        <v>-8.1184332513863894E-2</v>
      </c>
    </row>
    <row r="9" spans="1:66" hidden="1" x14ac:dyDescent="0.25">
      <c r="A9" t="s">
        <v>44</v>
      </c>
      <c r="B9" s="117">
        <v>0.16959062572489</v>
      </c>
      <c r="C9" s="117">
        <v>0.27900649643310699</v>
      </c>
      <c r="D9" s="117">
        <v>0.50969185080552804</v>
      </c>
      <c r="E9" s="117">
        <v>0.68836964573057402</v>
      </c>
      <c r="F9" s="117">
        <v>0.48500631991207999</v>
      </c>
      <c r="G9" s="117">
        <v>-0.30787036323882</v>
      </c>
      <c r="H9" s="117">
        <v>0.90263643287204198</v>
      </c>
      <c r="I9" s="117">
        <v>1</v>
      </c>
      <c r="J9" s="117">
        <v>-0.48768843663190597</v>
      </c>
      <c r="K9" s="117">
        <v>-0.50370352014814901</v>
      </c>
      <c r="L9" s="117">
        <v>-0.47155256170663701</v>
      </c>
      <c r="M9" s="117">
        <v>-0.448617448688993</v>
      </c>
      <c r="N9" s="117">
        <v>0.49209723773165098</v>
      </c>
      <c r="O9" s="117">
        <v>0.50901733782093805</v>
      </c>
      <c r="P9" s="117">
        <v>0.48321961569324601</v>
      </c>
      <c r="Q9" s="117">
        <v>0.497794791459654</v>
      </c>
      <c r="R9" s="117">
        <v>0.49278620047288602</v>
      </c>
      <c r="S9" s="117">
        <v>0.51383728247457605</v>
      </c>
      <c r="T9" s="117">
        <v>0.240801933100279</v>
      </c>
      <c r="U9" s="117">
        <v>0.370078142899741</v>
      </c>
      <c r="V9" s="117">
        <v>0.63683608597617603</v>
      </c>
      <c r="W9" s="117">
        <v>9.5597480859327E-3</v>
      </c>
      <c r="X9" s="117">
        <v>1.38058227974349E-2</v>
      </c>
      <c r="Y9" s="117">
        <v>-5.7925228080957403E-2</v>
      </c>
      <c r="Z9" s="117">
        <v>-5.7925226221587002E-2</v>
      </c>
      <c r="AA9" s="117">
        <v>0.50260782308472696</v>
      </c>
      <c r="AB9" s="117">
        <v>0.29522862076520301</v>
      </c>
      <c r="AC9" s="117">
        <v>-4.4563880486385002E-2</v>
      </c>
      <c r="AD9" s="117">
        <v>-4.4563880486385002E-2</v>
      </c>
      <c r="AE9" s="117">
        <v>7.08319133312275E-2</v>
      </c>
      <c r="AF9" s="117">
        <v>0.19629150148135199</v>
      </c>
      <c r="AG9" s="117">
        <v>-0.28722369809850601</v>
      </c>
      <c r="AH9" s="117">
        <v>0.12226257400531799</v>
      </c>
      <c r="AI9" s="117">
        <v>0.146400107236555</v>
      </c>
      <c r="AJ9" s="117">
        <v>0.46504501672831799</v>
      </c>
      <c r="AK9" s="117">
        <v>-6.8995793251301299E-2</v>
      </c>
      <c r="AL9" s="117">
        <v>0.33555210390690698</v>
      </c>
      <c r="AM9" s="117">
        <v>-0.40834509946886699</v>
      </c>
      <c r="AN9" s="117">
        <v>-0.18338702841538199</v>
      </c>
      <c r="AO9" s="117">
        <v>0.54878841465829697</v>
      </c>
      <c r="AP9" s="117">
        <v>-0.601905890089516</v>
      </c>
      <c r="AQ9" s="117">
        <v>0.216465663396195</v>
      </c>
      <c r="AR9" s="117">
        <v>-0.57235823374035799</v>
      </c>
      <c r="AS9" s="117">
        <v>0.138033895433406</v>
      </c>
      <c r="AT9" s="117">
        <v>-0.134645807495617</v>
      </c>
      <c r="AU9" s="117">
        <v>2.7626370024667401E-2</v>
      </c>
      <c r="AV9" s="117">
        <v>-0.17194494909259</v>
      </c>
      <c r="AW9" s="117">
        <v>7.3588010094393294E-2</v>
      </c>
      <c r="AX9" s="117">
        <v>-3.93312550767278E-2</v>
      </c>
      <c r="AY9" s="117">
        <v>0.20931063855975099</v>
      </c>
      <c r="AZ9" s="117">
        <v>0.64887732400033205</v>
      </c>
      <c r="BA9" s="117">
        <v>0.281528829472938</v>
      </c>
      <c r="BB9" s="117">
        <v>-0.98787331444285398</v>
      </c>
      <c r="BC9" s="117">
        <v>-0.50042230219387596</v>
      </c>
      <c r="BD9" s="117">
        <v>0.58880130112955598</v>
      </c>
      <c r="BE9" s="117">
        <v>0.30530583890796298</v>
      </c>
      <c r="BF9" s="117">
        <v>8.7690706930635104E-2</v>
      </c>
      <c r="BG9" s="117">
        <v>0.25575484846403801</v>
      </c>
      <c r="BH9" s="117">
        <v>0.72299756556978401</v>
      </c>
      <c r="BI9" s="117">
        <v>-0.50995059181167801</v>
      </c>
      <c r="BJ9" s="117">
        <v>0.401006658237331</v>
      </c>
      <c r="BK9" s="117">
        <v>0.13944150621013701</v>
      </c>
      <c r="BL9" s="117">
        <v>-0.57365796380015099</v>
      </c>
      <c r="BM9" s="117">
        <v>0.138185073761112</v>
      </c>
      <c r="BN9" s="117">
        <v>-0.13416493474721999</v>
      </c>
    </row>
    <row r="10" spans="1:66" hidden="1" x14ac:dyDescent="0.25">
      <c r="A10" t="s">
        <v>143</v>
      </c>
      <c r="B10" s="117">
        <v>6.5163134215786206E-2</v>
      </c>
      <c r="C10" s="117">
        <v>-0.107141376006624</v>
      </c>
      <c r="D10" s="117">
        <v>-0.83145010423223098</v>
      </c>
      <c r="E10" s="117">
        <v>-0.38432356617662999</v>
      </c>
      <c r="F10" s="117">
        <v>-0.243221202060037</v>
      </c>
      <c r="G10" s="117">
        <v>0.10042470275207201</v>
      </c>
      <c r="H10" s="117">
        <v>-0.46162050970767898</v>
      </c>
      <c r="I10" s="117">
        <v>-0.48768843663190597</v>
      </c>
      <c r="J10" s="117">
        <v>1</v>
      </c>
      <c r="K10" s="117">
        <v>0.91130053286805601</v>
      </c>
      <c r="L10" s="117">
        <v>0.91956736324622601</v>
      </c>
      <c r="M10" s="117">
        <v>0.94273912213206901</v>
      </c>
      <c r="N10" s="117">
        <v>-0.129303608227304</v>
      </c>
      <c r="O10" s="117">
        <v>-0.155642269336114</v>
      </c>
      <c r="P10" s="117">
        <v>-0.13557863233270401</v>
      </c>
      <c r="Q10" s="117">
        <v>-0.15352657484781701</v>
      </c>
      <c r="R10" s="117">
        <v>-0.130967699086006</v>
      </c>
      <c r="S10" s="117">
        <v>-0.15776916661732801</v>
      </c>
      <c r="T10" s="117">
        <v>7.78759410496246E-2</v>
      </c>
      <c r="U10" s="117">
        <v>-4.3743973292071699E-2</v>
      </c>
      <c r="V10" s="117">
        <v>-0.41772873892690399</v>
      </c>
      <c r="W10" s="117">
        <v>0.20470927838813399</v>
      </c>
      <c r="X10" s="117">
        <v>0.187288602221999</v>
      </c>
      <c r="Y10" s="117">
        <v>0.24096834086414901</v>
      </c>
      <c r="Z10" s="117">
        <v>0.24096833770165799</v>
      </c>
      <c r="AA10" s="117">
        <v>-0.16220965731989401</v>
      </c>
      <c r="AB10" s="117">
        <v>-1.4770805286856301E-2</v>
      </c>
      <c r="AC10" s="117">
        <v>0.21865873239665801</v>
      </c>
      <c r="AD10" s="117">
        <v>0.21865873239665901</v>
      </c>
      <c r="AE10" s="117">
        <v>0.19598283530542801</v>
      </c>
      <c r="AF10" s="117">
        <v>-0.103469528006981</v>
      </c>
      <c r="AG10" s="117">
        <v>0.64986303282969105</v>
      </c>
      <c r="AH10" s="117">
        <v>0.15804572790492699</v>
      </c>
      <c r="AI10" s="117">
        <v>2.6109343622643E-2</v>
      </c>
      <c r="AJ10" s="117">
        <v>-0.30580550657500299</v>
      </c>
      <c r="AK10" s="117">
        <v>0.27438036769019403</v>
      </c>
      <c r="AL10" s="117">
        <v>-9.5250727439296398E-2</v>
      </c>
      <c r="AM10" s="117">
        <v>0.113296510222337</v>
      </c>
      <c r="AN10" s="117">
        <v>1.02769434906497E-2</v>
      </c>
      <c r="AO10" s="117">
        <v>-0.20993069690594801</v>
      </c>
      <c r="AP10" s="117">
        <v>0.329981728435917</v>
      </c>
      <c r="AQ10" s="117">
        <v>0.13134820219784599</v>
      </c>
      <c r="AR10" s="117">
        <v>0.41845555723998801</v>
      </c>
      <c r="AS10" s="117">
        <v>-4.6254185381561702E-2</v>
      </c>
      <c r="AT10" s="117">
        <v>0.218701660536846</v>
      </c>
      <c r="AU10" s="117">
        <v>-0.222112019704991</v>
      </c>
      <c r="AV10" s="117">
        <v>-2.5106952765940101E-2</v>
      </c>
      <c r="AW10" s="117">
        <v>-0.220290003959735</v>
      </c>
      <c r="AX10" s="117">
        <v>0.37078672363144799</v>
      </c>
      <c r="AY10" s="117">
        <v>-0.32405818772589901</v>
      </c>
      <c r="AZ10" s="117">
        <v>-0.42980449118978098</v>
      </c>
      <c r="BA10" s="117">
        <v>-0.24851916237388999</v>
      </c>
      <c r="BB10" s="117">
        <v>0.43906346126687401</v>
      </c>
      <c r="BC10" s="117">
        <v>0.90426566639209105</v>
      </c>
      <c r="BD10" s="117">
        <v>-0.26793318148768902</v>
      </c>
      <c r="BE10" s="117">
        <v>-1.44222940173019E-2</v>
      </c>
      <c r="BF10" s="117">
        <v>7.9567210513212402E-2</v>
      </c>
      <c r="BG10" s="117">
        <v>-2.54679088288998E-2</v>
      </c>
      <c r="BH10" s="117">
        <v>-0.38418579653637203</v>
      </c>
      <c r="BI10" s="117">
        <v>3.0127976044744299E-2</v>
      </c>
      <c r="BJ10" s="117">
        <v>-0.109719243272918</v>
      </c>
      <c r="BK10" s="117">
        <v>3.2379507502610099E-3</v>
      </c>
      <c r="BL10" s="117">
        <v>0.329792230744127</v>
      </c>
      <c r="BM10" s="117">
        <v>-4.7704275277727401E-2</v>
      </c>
      <c r="BN10" s="117">
        <v>0.217348794543994</v>
      </c>
    </row>
    <row r="11" spans="1:66" hidden="1" x14ac:dyDescent="0.25">
      <c r="A11" t="s">
        <v>144</v>
      </c>
      <c r="B11" s="117">
        <v>4.5077429071313999E-2</v>
      </c>
      <c r="C11" s="117">
        <v>-0.141079718038123</v>
      </c>
      <c r="D11" s="117">
        <v>-0.894215219778694</v>
      </c>
      <c r="E11" s="117">
        <v>-0.41766963590501499</v>
      </c>
      <c r="F11" s="117">
        <v>-0.327766099475443</v>
      </c>
      <c r="G11" s="117">
        <v>-5.0149199919244297E-2</v>
      </c>
      <c r="H11" s="117">
        <v>-0.44077377070481699</v>
      </c>
      <c r="I11" s="117">
        <v>-0.50370352014814901</v>
      </c>
      <c r="J11" s="117">
        <v>0.91130053286805601</v>
      </c>
      <c r="K11" s="117">
        <v>1</v>
      </c>
      <c r="L11" s="117">
        <v>0.96066690509128005</v>
      </c>
      <c r="M11" s="117">
        <v>0.94502553564867198</v>
      </c>
      <c r="N11" s="117">
        <v>-0.20271412656118501</v>
      </c>
      <c r="O11" s="117">
        <v>-0.22524393111083099</v>
      </c>
      <c r="P11" s="117">
        <v>-0.21149933345569599</v>
      </c>
      <c r="Q11" s="117">
        <v>-0.225044477014744</v>
      </c>
      <c r="R11" s="117">
        <v>-0.20514166461869099</v>
      </c>
      <c r="S11" s="117">
        <v>-0.229742671627998</v>
      </c>
      <c r="T11" s="117">
        <v>3.95759528911366E-2</v>
      </c>
      <c r="U11" s="117">
        <v>-6.5042167157798897E-2</v>
      </c>
      <c r="V11" s="117">
        <v>-0.49549927937896898</v>
      </c>
      <c r="W11" s="117">
        <v>0.238380432267874</v>
      </c>
      <c r="X11" s="117">
        <v>0.22524756736398699</v>
      </c>
      <c r="Y11" s="117">
        <v>0.22298365926003599</v>
      </c>
      <c r="Z11" s="117">
        <v>0.222983657553843</v>
      </c>
      <c r="AA11" s="117">
        <v>-0.148324269571532</v>
      </c>
      <c r="AB11" s="117">
        <v>5.7800471314378897E-2</v>
      </c>
      <c r="AC11" s="117">
        <v>0.19789823677368601</v>
      </c>
      <c r="AD11" s="117">
        <v>0.19789823677368601</v>
      </c>
      <c r="AE11" s="117">
        <v>0.10164628066105701</v>
      </c>
      <c r="AF11" s="117">
        <v>5.8947465560304703E-2</v>
      </c>
      <c r="AG11" s="117">
        <v>0.62176132890107505</v>
      </c>
      <c r="AH11" s="117">
        <v>0.16700992845769999</v>
      </c>
      <c r="AI11" s="117">
        <v>-4.5120165834780103E-2</v>
      </c>
      <c r="AJ11" s="117">
        <v>-0.174356932960715</v>
      </c>
      <c r="AK11" s="117">
        <v>0.24474403450670201</v>
      </c>
      <c r="AL11" s="117">
        <v>-9.3842846389617998E-2</v>
      </c>
      <c r="AM11" s="117">
        <v>0.14809325333016099</v>
      </c>
      <c r="AN11" s="117">
        <v>2.3489373912520799E-2</v>
      </c>
      <c r="AO11" s="117">
        <v>-0.183203159398096</v>
      </c>
      <c r="AP11" s="117">
        <v>0.48160760791421597</v>
      </c>
      <c r="AQ11" s="117">
        <v>5.35065967842389E-2</v>
      </c>
      <c r="AR11" s="117">
        <v>0.43922455442038599</v>
      </c>
      <c r="AS11" s="117">
        <v>-0.111556923740707</v>
      </c>
      <c r="AT11" s="117">
        <v>0.22839493037866401</v>
      </c>
      <c r="AU11" s="117">
        <v>-0.16718686204962799</v>
      </c>
      <c r="AV11" s="117">
        <v>-2.2574726707212701E-2</v>
      </c>
      <c r="AW11" s="117">
        <v>-0.226602927613057</v>
      </c>
      <c r="AX11" s="117">
        <v>0.44661872542330699</v>
      </c>
      <c r="AY11" s="117">
        <v>-0.427025976467174</v>
      </c>
      <c r="AZ11" s="117">
        <v>-0.45539823946500502</v>
      </c>
      <c r="BA11" s="117">
        <v>-0.33756076804834301</v>
      </c>
      <c r="BB11" s="117">
        <v>0.43118002947684098</v>
      </c>
      <c r="BC11" s="117">
        <v>0.95287459973978395</v>
      </c>
      <c r="BD11" s="117">
        <v>-0.26272919304901998</v>
      </c>
      <c r="BE11" s="117">
        <v>3.7372229715032998E-2</v>
      </c>
      <c r="BF11" s="117">
        <v>0.18974602164163001</v>
      </c>
      <c r="BG11" s="117">
        <v>0.10880188669433399</v>
      </c>
      <c r="BH11" s="117">
        <v>-0.32495517076029501</v>
      </c>
      <c r="BI11" s="117">
        <v>3.7927159645605099E-2</v>
      </c>
      <c r="BJ11" s="117">
        <v>-0.144032476412361</v>
      </c>
      <c r="BK11" s="117">
        <v>-9.5792166577385995E-3</v>
      </c>
      <c r="BL11" s="117">
        <v>0.35951948244167298</v>
      </c>
      <c r="BM11" s="117">
        <v>-0.113084378134442</v>
      </c>
      <c r="BN11" s="117">
        <v>0.227423166377382</v>
      </c>
    </row>
    <row r="12" spans="1:66" hidden="1" x14ac:dyDescent="0.25">
      <c r="A12" t="s">
        <v>48</v>
      </c>
      <c r="B12" s="117">
        <v>8.7633387390911796E-2</v>
      </c>
      <c r="C12" s="117">
        <v>-8.9116495461154702E-2</v>
      </c>
      <c r="D12" s="117">
        <v>-0.85174128560785101</v>
      </c>
      <c r="E12" s="117">
        <v>-0.35594793822898901</v>
      </c>
      <c r="F12" s="117">
        <v>-0.30650263688514701</v>
      </c>
      <c r="G12" s="117">
        <v>-2.08450895345462E-2</v>
      </c>
      <c r="H12" s="117">
        <v>-0.40702291188839002</v>
      </c>
      <c r="I12" s="117">
        <v>-0.47155256170663701</v>
      </c>
      <c r="J12" s="117">
        <v>0.91956736324622601</v>
      </c>
      <c r="K12" s="117">
        <v>0.96066690509128005</v>
      </c>
      <c r="L12" s="117">
        <v>1</v>
      </c>
      <c r="M12" s="117">
        <v>0.97134723202758599</v>
      </c>
      <c r="N12" s="117">
        <v>-0.17031607250987199</v>
      </c>
      <c r="O12" s="117">
        <v>-0.19984814876002999</v>
      </c>
      <c r="P12" s="117">
        <v>-0.164026627543299</v>
      </c>
      <c r="Q12" s="117">
        <v>-0.178016958281939</v>
      </c>
      <c r="R12" s="117">
        <v>-0.17000027472113799</v>
      </c>
      <c r="S12" s="117">
        <v>-0.19309170611530599</v>
      </c>
      <c r="T12" s="117">
        <v>7.4057263206240606E-2</v>
      </c>
      <c r="U12" s="117">
        <v>-2.1541041721764801E-2</v>
      </c>
      <c r="V12" s="117">
        <v>-0.43759528558715899</v>
      </c>
      <c r="W12" s="117">
        <v>0.25973192824112401</v>
      </c>
      <c r="X12" s="117">
        <v>0.24879557466347499</v>
      </c>
      <c r="Y12" s="117">
        <v>0.238449849717212</v>
      </c>
      <c r="Z12" s="117">
        <v>0.238449848304506</v>
      </c>
      <c r="AA12" s="117">
        <v>-0.13777169027422501</v>
      </c>
      <c r="AB12" s="117">
        <v>8.9239703404683096E-2</v>
      </c>
      <c r="AC12" s="117">
        <v>0.20055896545193999</v>
      </c>
      <c r="AD12" s="117">
        <v>0.20055896545193999</v>
      </c>
      <c r="AE12" s="117">
        <v>9.97343563759885E-2</v>
      </c>
      <c r="AF12" s="117">
        <v>6.81589671241878E-2</v>
      </c>
      <c r="AG12" s="117">
        <v>0.61685917141679403</v>
      </c>
      <c r="AH12" s="117">
        <v>0.169731400939924</v>
      </c>
      <c r="AI12" s="117">
        <v>-6.0584566404715198E-2</v>
      </c>
      <c r="AJ12" s="117">
        <v>-0.172739556340053</v>
      </c>
      <c r="AK12" s="117">
        <v>0.25265680943088697</v>
      </c>
      <c r="AL12" s="117">
        <v>-0.104880288279491</v>
      </c>
      <c r="AM12" s="117">
        <v>6.5919043444863004E-2</v>
      </c>
      <c r="AN12" s="117">
        <v>-5.9707648144104297E-3</v>
      </c>
      <c r="AO12" s="117">
        <v>-0.16047010226247699</v>
      </c>
      <c r="AP12" s="117">
        <v>0.43876035802219499</v>
      </c>
      <c r="AQ12" s="117">
        <v>5.9493051196522997E-2</v>
      </c>
      <c r="AR12" s="117">
        <v>0.39021998519836498</v>
      </c>
      <c r="AS12" s="117">
        <v>-9.6202060407682893E-2</v>
      </c>
      <c r="AT12" s="117">
        <v>0.26291985939075602</v>
      </c>
      <c r="AU12" s="117">
        <v>-0.15180976247800601</v>
      </c>
      <c r="AV12" s="117">
        <v>-3.4519544013914598E-2</v>
      </c>
      <c r="AW12" s="117">
        <v>-0.22640916366532601</v>
      </c>
      <c r="AX12" s="117">
        <v>0.466419417750911</v>
      </c>
      <c r="AY12" s="117">
        <v>-0.43324873138386399</v>
      </c>
      <c r="AZ12" s="117">
        <v>-0.400809395397623</v>
      </c>
      <c r="BA12" s="117">
        <v>-0.33601258548451302</v>
      </c>
      <c r="BB12" s="117">
        <v>0.40418617530303402</v>
      </c>
      <c r="BC12" s="117">
        <v>0.99014905707837497</v>
      </c>
      <c r="BD12" s="117">
        <v>-0.233175788951585</v>
      </c>
      <c r="BE12" s="117">
        <v>7.2217797656361299E-2</v>
      </c>
      <c r="BF12" s="117">
        <v>0.22270217738665701</v>
      </c>
      <c r="BG12" s="117">
        <v>0.103247371403873</v>
      </c>
      <c r="BH12" s="117">
        <v>-0.32550656034638598</v>
      </c>
      <c r="BI12" s="117">
        <v>7.8943045032694396E-3</v>
      </c>
      <c r="BJ12" s="117">
        <v>-6.3392613367550199E-2</v>
      </c>
      <c r="BK12" s="117">
        <v>1.6018303611826101E-2</v>
      </c>
      <c r="BL12" s="117">
        <v>0.30490217972738198</v>
      </c>
      <c r="BM12" s="117">
        <v>-9.7709548629995202E-2</v>
      </c>
      <c r="BN12" s="117">
        <v>0.26209886166413898</v>
      </c>
    </row>
    <row r="13" spans="1:66" hidden="1" x14ac:dyDescent="0.25">
      <c r="A13" t="s">
        <v>145</v>
      </c>
      <c r="B13" s="117">
        <v>4.2689868697852303E-2</v>
      </c>
      <c r="C13" s="117">
        <v>-0.127864859028439</v>
      </c>
      <c r="D13" s="117">
        <v>-0.82393004413900905</v>
      </c>
      <c r="E13" s="117">
        <v>-0.34824424326466002</v>
      </c>
      <c r="F13" s="117">
        <v>-0.281383185928053</v>
      </c>
      <c r="G13" s="117">
        <v>2.2469232674054599E-2</v>
      </c>
      <c r="H13" s="117">
        <v>-0.39217909973239001</v>
      </c>
      <c r="I13" s="117">
        <v>-0.448617448688993</v>
      </c>
      <c r="J13" s="117">
        <v>0.94273912213206901</v>
      </c>
      <c r="K13" s="117">
        <v>0.94502553564867198</v>
      </c>
      <c r="L13" s="117">
        <v>0.97134723202758599</v>
      </c>
      <c r="M13" s="117">
        <v>1</v>
      </c>
      <c r="N13" s="117">
        <v>-0.14293983641924801</v>
      </c>
      <c r="O13" s="117">
        <v>-0.17289327395566001</v>
      </c>
      <c r="P13" s="117">
        <v>-0.13620128612826299</v>
      </c>
      <c r="Q13" s="117">
        <v>-0.150173314849955</v>
      </c>
      <c r="R13" s="117">
        <v>-0.142423239882148</v>
      </c>
      <c r="S13" s="117">
        <v>-0.16514548570052001</v>
      </c>
      <c r="T13" s="117">
        <v>9.4517833413066701E-2</v>
      </c>
      <c r="U13" s="117">
        <v>3.0244347800469302E-3</v>
      </c>
      <c r="V13" s="117">
        <v>-0.45482664019413299</v>
      </c>
      <c r="W13" s="117">
        <v>0.27079187589074299</v>
      </c>
      <c r="X13" s="117">
        <v>0.260124801585706</v>
      </c>
      <c r="Y13" s="117">
        <v>0.24762160190346699</v>
      </c>
      <c r="Z13" s="117">
        <v>0.24762160052786</v>
      </c>
      <c r="AA13" s="117">
        <v>-0.11945183716768699</v>
      </c>
      <c r="AB13" s="117">
        <v>9.3535006908459506E-2</v>
      </c>
      <c r="AC13" s="117">
        <v>0.20581640753435201</v>
      </c>
      <c r="AD13" s="117">
        <v>0.20581640753435201</v>
      </c>
      <c r="AE13" s="117">
        <v>0.14186677844794801</v>
      </c>
      <c r="AF13" s="117">
        <v>9.3310948656010695E-2</v>
      </c>
      <c r="AG13" s="117">
        <v>0.628595213854787</v>
      </c>
      <c r="AH13" s="117">
        <v>0.214711129532208</v>
      </c>
      <c r="AI13" s="117">
        <v>-2.1667741561088701E-2</v>
      </c>
      <c r="AJ13" s="117">
        <v>-0.14785585868555601</v>
      </c>
      <c r="AK13" s="117">
        <v>0.26036282980950798</v>
      </c>
      <c r="AL13" s="117">
        <v>-6.0192975225588502E-2</v>
      </c>
      <c r="AM13" s="117">
        <v>3.0022669090159899E-2</v>
      </c>
      <c r="AN13" s="117">
        <v>3.1947706227875301E-2</v>
      </c>
      <c r="AO13" s="117">
        <v>-0.167476996718221</v>
      </c>
      <c r="AP13" s="117">
        <v>0.39754886823822699</v>
      </c>
      <c r="AQ13" s="117">
        <v>7.7901497196521299E-2</v>
      </c>
      <c r="AR13" s="117">
        <v>0.37616308256710201</v>
      </c>
      <c r="AS13" s="117">
        <v>-7.72991820186993E-2</v>
      </c>
      <c r="AT13" s="117">
        <v>0.187420944844127</v>
      </c>
      <c r="AU13" s="117">
        <v>-0.13173838186082401</v>
      </c>
      <c r="AV13" s="117">
        <v>2.8365408099215499E-2</v>
      </c>
      <c r="AW13" s="117">
        <v>-0.21867814157608101</v>
      </c>
      <c r="AX13" s="117">
        <v>0.45493478624393402</v>
      </c>
      <c r="AY13" s="117">
        <v>-0.415947600334099</v>
      </c>
      <c r="AZ13" s="117">
        <v>-0.39543459040705498</v>
      </c>
      <c r="BA13" s="117">
        <v>-0.31410493344212298</v>
      </c>
      <c r="BB13" s="117">
        <v>0.38631905159072799</v>
      </c>
      <c r="BC13" s="117">
        <v>0.96273431882566496</v>
      </c>
      <c r="BD13" s="117">
        <v>-0.25402120395606598</v>
      </c>
      <c r="BE13" s="117">
        <v>7.5543716502885494E-2</v>
      </c>
      <c r="BF13" s="117">
        <v>0.16090151897792701</v>
      </c>
      <c r="BG13" s="117">
        <v>4.6203653067824903E-2</v>
      </c>
      <c r="BH13" s="117">
        <v>-0.33077763168985802</v>
      </c>
      <c r="BI13" s="117">
        <v>-2.6362801664509501E-2</v>
      </c>
      <c r="BJ13" s="117">
        <v>-2.65589252071756E-2</v>
      </c>
      <c r="BK13" s="117">
        <v>-2.2549448000853001E-2</v>
      </c>
      <c r="BL13" s="117">
        <v>0.28393124271429498</v>
      </c>
      <c r="BM13" s="117">
        <v>-7.8775498420555701E-2</v>
      </c>
      <c r="BN13" s="117">
        <v>0.18604346682279099</v>
      </c>
    </row>
    <row r="14" spans="1:66" hidden="1" x14ac:dyDescent="0.25">
      <c r="A14" t="s">
        <v>146</v>
      </c>
      <c r="B14" s="117">
        <v>0.377275116961515</v>
      </c>
      <c r="C14" s="117">
        <v>0.44254155844802501</v>
      </c>
      <c r="D14" s="117">
        <v>0.27610206789991298</v>
      </c>
      <c r="E14" s="117">
        <v>0.46279095800003001</v>
      </c>
      <c r="F14" s="117">
        <v>0.46371922974508401</v>
      </c>
      <c r="G14" s="117">
        <v>-5.9664438574748499E-2</v>
      </c>
      <c r="H14" s="117">
        <v>0.47575070704218198</v>
      </c>
      <c r="I14" s="117">
        <v>0.49209723773165098</v>
      </c>
      <c r="J14" s="117">
        <v>-0.129303608227304</v>
      </c>
      <c r="K14" s="117">
        <v>-0.20271412656118501</v>
      </c>
      <c r="L14" s="117">
        <v>-0.17031607250987199</v>
      </c>
      <c r="M14" s="117">
        <v>-0.14293983641924801</v>
      </c>
      <c r="N14" s="117">
        <v>1</v>
      </c>
      <c r="O14" s="117">
        <v>0.97840256432806905</v>
      </c>
      <c r="P14" s="117">
        <v>0.96848729890201901</v>
      </c>
      <c r="Q14" s="117">
        <v>0.96941536304081599</v>
      </c>
      <c r="R14" s="117">
        <v>0.99907885126208096</v>
      </c>
      <c r="S14" s="117">
        <v>0.99391322565115203</v>
      </c>
      <c r="T14" s="117">
        <v>0.76606483903039102</v>
      </c>
      <c r="U14" s="117">
        <v>0.86914204273357898</v>
      </c>
      <c r="V14" s="117">
        <v>0.64666266012208296</v>
      </c>
      <c r="W14" s="117">
        <v>0.33244771066168199</v>
      </c>
      <c r="X14" s="117">
        <v>0.319187491376971</v>
      </c>
      <c r="Y14" s="117">
        <v>0.30421120051356099</v>
      </c>
      <c r="Z14" s="117">
        <v>0.30421119880321301</v>
      </c>
      <c r="AA14" s="117">
        <v>0.86682716422595196</v>
      </c>
      <c r="AB14" s="117">
        <v>0.60157056167244405</v>
      </c>
      <c r="AC14" s="117">
        <v>0.25340710764357999</v>
      </c>
      <c r="AD14" s="117">
        <v>0.25340710764357999</v>
      </c>
      <c r="AE14" s="117">
        <v>0.30203504394905001</v>
      </c>
      <c r="AF14" s="117">
        <v>0.22698190242493099</v>
      </c>
      <c r="AG14" s="117">
        <v>0.123721732949992</v>
      </c>
      <c r="AH14" s="117">
        <v>0.34984910004549902</v>
      </c>
      <c r="AI14" s="117">
        <v>0.28498170786920102</v>
      </c>
      <c r="AJ14" s="117">
        <v>0.375012975650719</v>
      </c>
      <c r="AK14" s="117">
        <v>0.31592608838303798</v>
      </c>
      <c r="AL14" s="117">
        <v>0.44811620138529601</v>
      </c>
      <c r="AM14" s="117">
        <v>-0.329858171803939</v>
      </c>
      <c r="AN14" s="117">
        <v>-0.48500927569785202</v>
      </c>
      <c r="AO14" s="117">
        <v>0.23818191962025401</v>
      </c>
      <c r="AP14" s="117">
        <v>-0.443920139599632</v>
      </c>
      <c r="AQ14" s="117">
        <v>3.2981297303283703E-2</v>
      </c>
      <c r="AR14" s="117">
        <v>-0.33032229102223298</v>
      </c>
      <c r="AS14" s="117">
        <v>0.35854167771593798</v>
      </c>
      <c r="AT14" s="117">
        <v>-0.14578577827111899</v>
      </c>
      <c r="AU14" s="117">
        <v>-0.124383651678559</v>
      </c>
      <c r="AV14" s="117">
        <v>-0.23667987030044799</v>
      </c>
      <c r="AW14" s="117">
        <v>-0.18414191434532101</v>
      </c>
      <c r="AX14" s="117">
        <v>0.103015290294654</v>
      </c>
      <c r="AY14" s="117">
        <v>-2.0745332021189101E-2</v>
      </c>
      <c r="AZ14" s="117">
        <v>0.42936800048437102</v>
      </c>
      <c r="BA14" s="117">
        <v>0.31623385617497801</v>
      </c>
      <c r="BB14" s="117">
        <v>-0.49222372938832498</v>
      </c>
      <c r="BC14" s="117">
        <v>-0.21236557789897501</v>
      </c>
      <c r="BD14" s="117">
        <v>0.64655473107443895</v>
      </c>
      <c r="BE14" s="117">
        <v>0.65138137230724502</v>
      </c>
      <c r="BF14" s="117">
        <v>0.25234758761815601</v>
      </c>
      <c r="BG14" s="117">
        <v>0.16848488908322601</v>
      </c>
      <c r="BH14" s="117">
        <v>0.50064122865757898</v>
      </c>
      <c r="BI14" s="117">
        <v>-0.33086409838950798</v>
      </c>
      <c r="BJ14" s="117">
        <v>0.33105514056900998</v>
      </c>
      <c r="BK14" s="117">
        <v>0.46857280866432299</v>
      </c>
      <c r="BL14" s="117">
        <v>-0.34357078104783301</v>
      </c>
      <c r="BM14" s="117">
        <v>0.35675578336609498</v>
      </c>
      <c r="BN14" s="117">
        <v>-0.145782896555047</v>
      </c>
    </row>
    <row r="15" spans="1:66" hidden="1" x14ac:dyDescent="0.25">
      <c r="A15" t="s">
        <v>147</v>
      </c>
      <c r="B15" s="117">
        <v>0.36773809799673601</v>
      </c>
      <c r="C15" s="117">
        <v>0.43507108538358102</v>
      </c>
      <c r="D15" s="117">
        <v>0.28554265914527499</v>
      </c>
      <c r="E15" s="117">
        <v>0.45828913252097198</v>
      </c>
      <c r="F15" s="117">
        <v>0.53230862530501999</v>
      </c>
      <c r="G15" s="117">
        <v>-2.9583496220645999E-2</v>
      </c>
      <c r="H15" s="117">
        <v>0.476710930090739</v>
      </c>
      <c r="I15" s="117">
        <v>0.50901733782093805</v>
      </c>
      <c r="J15" s="117">
        <v>-0.155642269336114</v>
      </c>
      <c r="K15" s="117">
        <v>-0.22524393111083099</v>
      </c>
      <c r="L15" s="117">
        <v>-0.19984814876002999</v>
      </c>
      <c r="M15" s="117">
        <v>-0.17289327395566001</v>
      </c>
      <c r="N15" s="117">
        <v>0.97840256432806905</v>
      </c>
      <c r="O15" s="117">
        <v>1</v>
      </c>
      <c r="P15" s="117">
        <v>0.91775272642539996</v>
      </c>
      <c r="Q15" s="117">
        <v>0.92072604982063999</v>
      </c>
      <c r="R15" s="117">
        <v>0.97236388731743995</v>
      </c>
      <c r="S15" s="117">
        <v>0.98106505840968306</v>
      </c>
      <c r="T15" s="117">
        <v>0.65094476488344399</v>
      </c>
      <c r="U15" s="117">
        <v>0.78860901401491901</v>
      </c>
      <c r="V15" s="117">
        <v>0.63287679936854502</v>
      </c>
      <c r="W15" s="117">
        <v>0.24098710018191699</v>
      </c>
      <c r="X15" s="117">
        <v>0.24652245726279801</v>
      </c>
      <c r="Y15" s="117">
        <v>0.24618325158663201</v>
      </c>
      <c r="Z15" s="117">
        <v>0.24618325136760399</v>
      </c>
      <c r="AA15" s="117">
        <v>0.86242029903619399</v>
      </c>
      <c r="AB15" s="117">
        <v>0.54008207521888696</v>
      </c>
      <c r="AC15" s="117">
        <v>0.13969659476357699</v>
      </c>
      <c r="AD15" s="117">
        <v>0.13969659476357699</v>
      </c>
      <c r="AE15" s="117">
        <v>0.284412731297224</v>
      </c>
      <c r="AF15" s="117">
        <v>0.227901535622094</v>
      </c>
      <c r="AG15" s="117">
        <v>5.2887046088839297E-2</v>
      </c>
      <c r="AH15" s="117">
        <v>0.33018663284243099</v>
      </c>
      <c r="AI15" s="117">
        <v>0.25747629237217101</v>
      </c>
      <c r="AJ15" s="117">
        <v>0.41538985988612098</v>
      </c>
      <c r="AK15" s="117">
        <v>0.210995724445948</v>
      </c>
      <c r="AL15" s="117">
        <v>0.43344833068030503</v>
      </c>
      <c r="AM15" s="117">
        <v>-0.28197827753301502</v>
      </c>
      <c r="AN15" s="117">
        <v>-0.46712847976192201</v>
      </c>
      <c r="AO15" s="117">
        <v>0.230981727404867</v>
      </c>
      <c r="AP15" s="117">
        <v>-0.46880162833984901</v>
      </c>
      <c r="AQ15" s="117">
        <v>4.8272530231077901E-2</v>
      </c>
      <c r="AR15" s="117">
        <v>-0.31585965665567101</v>
      </c>
      <c r="AS15" s="117">
        <v>0.33504626294349898</v>
      </c>
      <c r="AT15" s="117">
        <v>-0.13940278062220099</v>
      </c>
      <c r="AU15" s="117">
        <v>-0.118937711987847</v>
      </c>
      <c r="AV15" s="117">
        <v>-0.232245044123257</v>
      </c>
      <c r="AW15" s="117">
        <v>-0.176045158221564</v>
      </c>
      <c r="AX15" s="117">
        <v>4.4640454880745098E-2</v>
      </c>
      <c r="AY15" s="117">
        <v>3.8026173640041197E-2</v>
      </c>
      <c r="AZ15" s="117">
        <v>0.42748106512450701</v>
      </c>
      <c r="BA15" s="117">
        <v>0.39920131785260698</v>
      </c>
      <c r="BB15" s="117">
        <v>-0.50236818887686296</v>
      </c>
      <c r="BC15" s="117">
        <v>-0.23940010496561301</v>
      </c>
      <c r="BD15" s="117">
        <v>0.612966553909852</v>
      </c>
      <c r="BE15" s="117">
        <v>0.550889290936038</v>
      </c>
      <c r="BF15" s="117">
        <v>0.17916133678308099</v>
      </c>
      <c r="BG15" s="117">
        <v>0.10749862526897699</v>
      </c>
      <c r="BH15" s="117">
        <v>0.49921110057349299</v>
      </c>
      <c r="BI15" s="117">
        <v>-0.32385096430539301</v>
      </c>
      <c r="BJ15" s="117">
        <v>0.282016061114923</v>
      </c>
      <c r="BK15" s="117">
        <v>0.45222939828407699</v>
      </c>
      <c r="BL15" s="117">
        <v>-0.32852808268814299</v>
      </c>
      <c r="BM15" s="117">
        <v>0.33331858378557</v>
      </c>
      <c r="BN15" s="117">
        <v>-0.13940002507746899</v>
      </c>
    </row>
    <row r="16" spans="1:66" hidden="1" x14ac:dyDescent="0.25">
      <c r="A16" t="s">
        <v>148</v>
      </c>
      <c r="B16" s="117">
        <v>0.36923920626005502</v>
      </c>
      <c r="C16" s="117">
        <v>0.43667938278836899</v>
      </c>
      <c r="D16" s="117">
        <v>0.291050445221401</v>
      </c>
      <c r="E16" s="117">
        <v>0.46269428465024998</v>
      </c>
      <c r="F16" s="117">
        <v>0.36430362915462999</v>
      </c>
      <c r="G16" s="117">
        <v>-0.10399036998395</v>
      </c>
      <c r="H16" s="117">
        <v>0.47370979140210301</v>
      </c>
      <c r="I16" s="117">
        <v>0.48321961569324601</v>
      </c>
      <c r="J16" s="117">
        <v>-0.13557863233270401</v>
      </c>
      <c r="K16" s="117">
        <v>-0.21149933345569599</v>
      </c>
      <c r="L16" s="117">
        <v>-0.164026627543299</v>
      </c>
      <c r="M16" s="117">
        <v>-0.13620128612826299</v>
      </c>
      <c r="N16" s="117">
        <v>0.96848729890201901</v>
      </c>
      <c r="O16" s="117">
        <v>0.91775272642539996</v>
      </c>
      <c r="P16" s="117">
        <v>1</v>
      </c>
      <c r="Q16" s="117">
        <v>0.99817686579632203</v>
      </c>
      <c r="R16" s="117">
        <v>0.97828299400362395</v>
      </c>
      <c r="S16" s="117">
        <v>0.976404232541766</v>
      </c>
      <c r="T16" s="117">
        <v>0.77932688168304498</v>
      </c>
      <c r="U16" s="117">
        <v>0.91662438375330402</v>
      </c>
      <c r="V16" s="117">
        <v>0.60129522555619597</v>
      </c>
      <c r="W16" s="117">
        <v>0.35967078998151297</v>
      </c>
      <c r="X16" s="117">
        <v>0.37141644007874502</v>
      </c>
      <c r="Y16" s="117">
        <v>0.35036088238226198</v>
      </c>
      <c r="Z16" s="117">
        <v>0.35036088278234101</v>
      </c>
      <c r="AA16" s="117">
        <v>0.82148976703815801</v>
      </c>
      <c r="AB16" s="117">
        <v>0.62771418322582095</v>
      </c>
      <c r="AC16" s="117">
        <v>0.18653617867647701</v>
      </c>
      <c r="AD16" s="117">
        <v>0.18653617867647701</v>
      </c>
      <c r="AE16" s="117">
        <v>0.29277212175775802</v>
      </c>
      <c r="AF16" s="117">
        <v>0.20286840691237801</v>
      </c>
      <c r="AG16" s="117">
        <v>0.109470307629788</v>
      </c>
      <c r="AH16" s="117">
        <v>0.32945901425054303</v>
      </c>
      <c r="AI16" s="117">
        <v>0.29488294127134401</v>
      </c>
      <c r="AJ16" s="117">
        <v>0.31451140954124901</v>
      </c>
      <c r="AK16" s="117">
        <v>0.28943278711798898</v>
      </c>
      <c r="AL16" s="117">
        <v>0.42431369643984701</v>
      </c>
      <c r="AM16" s="117">
        <v>-0.37995256011789202</v>
      </c>
      <c r="AN16" s="117">
        <v>-0.46868425519784102</v>
      </c>
      <c r="AO16" s="117">
        <v>0.23128138903179599</v>
      </c>
      <c r="AP16" s="117">
        <v>-0.42875292412810501</v>
      </c>
      <c r="AQ16" s="117">
        <v>2.2554388890142E-2</v>
      </c>
      <c r="AR16" s="117">
        <v>-0.338390657563784</v>
      </c>
      <c r="AS16" s="117">
        <v>0.41115419874515202</v>
      </c>
      <c r="AT16" s="117">
        <v>-0.14934670385078999</v>
      </c>
      <c r="AU16" s="117">
        <v>-0.127421814469249</v>
      </c>
      <c r="AV16" s="117">
        <v>-0.25863317369968902</v>
      </c>
      <c r="AW16" s="117">
        <v>-0.16825885221480599</v>
      </c>
      <c r="AX16" s="117">
        <v>0.12808005861037</v>
      </c>
      <c r="AY16" s="117">
        <v>-5.0011970759766003E-2</v>
      </c>
      <c r="AZ16" s="117">
        <v>0.42851453653302601</v>
      </c>
      <c r="BA16" s="117">
        <v>0.21438072743853101</v>
      </c>
      <c r="BB16" s="117">
        <v>-0.48595842425592201</v>
      </c>
      <c r="BC16" s="117">
        <v>-0.20225379495214199</v>
      </c>
      <c r="BD16" s="117">
        <v>0.65423437413097296</v>
      </c>
      <c r="BE16" s="117">
        <v>0.649383561066744</v>
      </c>
      <c r="BF16" s="117">
        <v>0.29318500848438001</v>
      </c>
      <c r="BG16" s="117">
        <v>0.204721240373853</v>
      </c>
      <c r="BH16" s="117">
        <v>0.46629874447446701</v>
      </c>
      <c r="BI16" s="117">
        <v>-0.330586209282762</v>
      </c>
      <c r="BJ16" s="117">
        <v>0.38329993196131101</v>
      </c>
      <c r="BK16" s="117">
        <v>0.45083539774967402</v>
      </c>
      <c r="BL16" s="117">
        <v>-0.351962751767951</v>
      </c>
      <c r="BM16" s="117">
        <v>0.40896105402039301</v>
      </c>
      <c r="BN16" s="117">
        <v>-0.149343751746669</v>
      </c>
    </row>
    <row r="17" spans="1:66" hidden="1" x14ac:dyDescent="0.25">
      <c r="A17" t="s">
        <v>149</v>
      </c>
      <c r="B17" s="117">
        <v>0.36114904526222402</v>
      </c>
      <c r="C17" s="117">
        <v>0.43094180102546298</v>
      </c>
      <c r="D17" s="117">
        <v>0.29959140603010098</v>
      </c>
      <c r="E17" s="117">
        <v>0.46409800683129399</v>
      </c>
      <c r="F17" s="117">
        <v>0.37543656665983499</v>
      </c>
      <c r="G17" s="117">
        <v>-9.7508337682708002E-2</v>
      </c>
      <c r="H17" s="117">
        <v>0.48240757350742303</v>
      </c>
      <c r="I17" s="117">
        <v>0.497794791459654</v>
      </c>
      <c r="J17" s="117">
        <v>-0.15352657484781701</v>
      </c>
      <c r="K17" s="117">
        <v>-0.225044477014744</v>
      </c>
      <c r="L17" s="117">
        <v>-0.178016958281939</v>
      </c>
      <c r="M17" s="117">
        <v>-0.150173314849955</v>
      </c>
      <c r="N17" s="117">
        <v>0.96941536304081599</v>
      </c>
      <c r="O17" s="117">
        <v>0.92072604982063999</v>
      </c>
      <c r="P17" s="117">
        <v>0.99817686579632203</v>
      </c>
      <c r="Q17" s="117">
        <v>1</v>
      </c>
      <c r="R17" s="117">
        <v>0.97874122655639495</v>
      </c>
      <c r="S17" s="117">
        <v>0.97886735788595503</v>
      </c>
      <c r="T17" s="117">
        <v>0.76010002118396003</v>
      </c>
      <c r="U17" s="117">
        <v>0.90685673975524705</v>
      </c>
      <c r="V17" s="117">
        <v>0.60011367023857498</v>
      </c>
      <c r="W17" s="117">
        <v>0.32418096926258499</v>
      </c>
      <c r="X17" s="117">
        <v>0.33268338120886998</v>
      </c>
      <c r="Y17" s="117">
        <v>0.29863153734334802</v>
      </c>
      <c r="Z17" s="117">
        <v>0.29863153785549801</v>
      </c>
      <c r="AA17" s="117">
        <v>0.82651381869282903</v>
      </c>
      <c r="AB17" s="117">
        <v>0.61636220315493395</v>
      </c>
      <c r="AC17" s="117">
        <v>0.167159187052866</v>
      </c>
      <c r="AD17" s="117">
        <v>0.167159187052866</v>
      </c>
      <c r="AE17" s="117">
        <v>0.28529800437009101</v>
      </c>
      <c r="AF17" s="117">
        <v>0.2094950733749</v>
      </c>
      <c r="AG17" s="117">
        <v>8.1139478447007293E-2</v>
      </c>
      <c r="AH17" s="117">
        <v>0.32442321507920202</v>
      </c>
      <c r="AI17" s="117">
        <v>0.28474427562586502</v>
      </c>
      <c r="AJ17" s="117">
        <v>0.32445654924349898</v>
      </c>
      <c r="AK17" s="117">
        <v>0.25040701169706497</v>
      </c>
      <c r="AL17" s="117">
        <v>0.41650032259521402</v>
      </c>
      <c r="AM17" s="117">
        <v>-0.36599149316763102</v>
      </c>
      <c r="AN17" s="117">
        <v>-0.462274969759086</v>
      </c>
      <c r="AO17" s="117">
        <v>0.22902196416040099</v>
      </c>
      <c r="AP17" s="117">
        <v>-0.44122082449587402</v>
      </c>
      <c r="AQ17" s="117">
        <v>2.7583430049667099E-2</v>
      </c>
      <c r="AR17" s="117">
        <v>-0.33456402440008898</v>
      </c>
      <c r="AS17" s="117">
        <v>0.39055695325412199</v>
      </c>
      <c r="AT17" s="117">
        <v>-0.147657842066134</v>
      </c>
      <c r="AU17" s="117">
        <v>-0.12598088656498399</v>
      </c>
      <c r="AV17" s="117">
        <v>-0.25889606040756002</v>
      </c>
      <c r="AW17" s="117">
        <v>-0.16091860456738799</v>
      </c>
      <c r="AX17" s="117">
        <v>0.11051912031015899</v>
      </c>
      <c r="AY17" s="117">
        <v>-3.1951631307845597E-2</v>
      </c>
      <c r="AZ17" s="117">
        <v>0.430351289397783</v>
      </c>
      <c r="BA17" s="117">
        <v>0.22972830156713001</v>
      </c>
      <c r="BB17" s="117">
        <v>-0.49958741016195202</v>
      </c>
      <c r="BC17" s="117">
        <v>-0.21537275706071099</v>
      </c>
      <c r="BD17" s="117">
        <v>0.64696259041847204</v>
      </c>
      <c r="BE17" s="117">
        <v>0.65013656113825002</v>
      </c>
      <c r="BF17" s="117">
        <v>0.26649213257272403</v>
      </c>
      <c r="BG17" s="117">
        <v>0.18066989775978601</v>
      </c>
      <c r="BH17" s="117">
        <v>0.46848724084372301</v>
      </c>
      <c r="BI17" s="117">
        <v>-0.330097503299013</v>
      </c>
      <c r="BJ17" s="117">
        <v>0.368655547565296</v>
      </c>
      <c r="BK17" s="117">
        <v>0.44478041680769498</v>
      </c>
      <c r="BL17" s="117">
        <v>-0.34798264088664899</v>
      </c>
      <c r="BM17" s="117">
        <v>0.38860427794229402</v>
      </c>
      <c r="BN17" s="117">
        <v>-0.147654923345381</v>
      </c>
    </row>
    <row r="18" spans="1:66" hidden="1" x14ac:dyDescent="0.25">
      <c r="A18" t="s">
        <v>50</v>
      </c>
      <c r="B18" s="117">
        <v>0.37759144825841001</v>
      </c>
      <c r="C18" s="117">
        <v>0.443526652936023</v>
      </c>
      <c r="D18" s="117">
        <v>0.27992234004412803</v>
      </c>
      <c r="E18" s="117">
        <v>0.464860705760063</v>
      </c>
      <c r="F18" s="117">
        <v>0.44868108489886399</v>
      </c>
      <c r="G18" s="117">
        <v>-6.7570526194672506E-2</v>
      </c>
      <c r="H18" s="117">
        <v>0.477543899620538</v>
      </c>
      <c r="I18" s="117">
        <v>0.49278620047288602</v>
      </c>
      <c r="J18" s="117">
        <v>-0.130967699086006</v>
      </c>
      <c r="K18" s="117">
        <v>-0.20514166461869099</v>
      </c>
      <c r="L18" s="117">
        <v>-0.17000027472113799</v>
      </c>
      <c r="M18" s="117">
        <v>-0.142423239882148</v>
      </c>
      <c r="N18" s="117">
        <v>0.99907885126208096</v>
      </c>
      <c r="O18" s="117">
        <v>0.97236388731743995</v>
      </c>
      <c r="P18" s="117">
        <v>0.97828299400362395</v>
      </c>
      <c r="Q18" s="117">
        <v>0.97874122655639495</v>
      </c>
      <c r="R18" s="117">
        <v>1</v>
      </c>
      <c r="S18" s="117">
        <v>0.99537739386896695</v>
      </c>
      <c r="T18" s="117">
        <v>0.77180346836376301</v>
      </c>
      <c r="U18" s="117">
        <v>0.88124133558090401</v>
      </c>
      <c r="V18" s="117">
        <v>0.64176146739141204</v>
      </c>
      <c r="W18" s="117">
        <v>0.33863686655963998</v>
      </c>
      <c r="X18" s="117">
        <v>0.32962523299832502</v>
      </c>
      <c r="Y18" s="117">
        <v>0.313534001843981</v>
      </c>
      <c r="Z18" s="117">
        <v>0.313534000489537</v>
      </c>
      <c r="AA18" s="117">
        <v>0.86292371608184404</v>
      </c>
      <c r="AB18" s="117">
        <v>0.60878702184178601</v>
      </c>
      <c r="AC18" s="117">
        <v>0.243028070003696</v>
      </c>
      <c r="AD18" s="117">
        <v>0.243028070003696</v>
      </c>
      <c r="AE18" s="117">
        <v>0.30180076285560298</v>
      </c>
      <c r="AF18" s="117">
        <v>0.22385059066598301</v>
      </c>
      <c r="AG18" s="117">
        <v>0.12182407031340201</v>
      </c>
      <c r="AH18" s="117">
        <v>0.34791323340401598</v>
      </c>
      <c r="AI18" s="117">
        <v>0.28797241841508098</v>
      </c>
      <c r="AJ18" s="117">
        <v>0.36627957911050602</v>
      </c>
      <c r="AK18" s="117">
        <v>0.31278573759231199</v>
      </c>
      <c r="AL18" s="117">
        <v>0.44603541295829202</v>
      </c>
      <c r="AM18" s="117">
        <v>-0.339976247709041</v>
      </c>
      <c r="AN18" s="117">
        <v>-0.48438313998355598</v>
      </c>
      <c r="AO18" s="117">
        <v>0.23806679542645501</v>
      </c>
      <c r="AP18" s="117">
        <v>-0.44330824453784901</v>
      </c>
      <c r="AQ18" s="117">
        <v>3.1333491040156099E-2</v>
      </c>
      <c r="AR18" s="117">
        <v>-0.333201618492103</v>
      </c>
      <c r="AS18" s="117">
        <v>0.36922292741359802</v>
      </c>
      <c r="AT18" s="117">
        <v>-0.14705655232270801</v>
      </c>
      <c r="AU18" s="117">
        <v>-0.12546786934964799</v>
      </c>
      <c r="AV18" s="117">
        <v>-0.24152932335515001</v>
      </c>
      <c r="AW18" s="117">
        <v>-0.18223552287639799</v>
      </c>
      <c r="AX18" s="117">
        <v>0.10779822973440201</v>
      </c>
      <c r="AY18" s="117">
        <v>-2.5881331183748999E-2</v>
      </c>
      <c r="AZ18" s="117">
        <v>0.43115667661933599</v>
      </c>
      <c r="BA18" s="117">
        <v>0.300110829868238</v>
      </c>
      <c r="BB18" s="117">
        <v>-0.49336334950816801</v>
      </c>
      <c r="BC18" s="117">
        <v>-0.21158078545954301</v>
      </c>
      <c r="BD18" s="117">
        <v>0.65079275686403104</v>
      </c>
      <c r="BE18" s="117">
        <v>0.65397378859783395</v>
      </c>
      <c r="BF18" s="117">
        <v>0.260521299935975</v>
      </c>
      <c r="BG18" s="117">
        <v>0.17548778484093699</v>
      </c>
      <c r="BH18" s="117">
        <v>0.49698126166491002</v>
      </c>
      <c r="BI18" s="117">
        <v>-0.33230785684980202</v>
      </c>
      <c r="BJ18" s="117">
        <v>0.34154911480817302</v>
      </c>
      <c r="BK18" s="117">
        <v>0.46762922558874198</v>
      </c>
      <c r="BL18" s="117">
        <v>-0.34656559191770903</v>
      </c>
      <c r="BM18" s="117">
        <v>0.36735881481508398</v>
      </c>
      <c r="BN18" s="117">
        <v>-0.14705364548751901</v>
      </c>
    </row>
    <row r="19" spans="1:66" hidden="1" x14ac:dyDescent="0.25">
      <c r="A19" t="s">
        <v>51</v>
      </c>
      <c r="B19" s="117">
        <v>0.37197402357814602</v>
      </c>
      <c r="C19" s="117">
        <v>0.44190232265683999</v>
      </c>
      <c r="D19" s="117">
        <v>0.29834425227125499</v>
      </c>
      <c r="E19" s="117">
        <v>0.47052705510022003</v>
      </c>
      <c r="F19" s="117">
        <v>0.46531163402469</v>
      </c>
      <c r="G19" s="117">
        <v>-6.3901497567725105E-2</v>
      </c>
      <c r="H19" s="117">
        <v>0.48926917804886899</v>
      </c>
      <c r="I19" s="117">
        <v>0.51383728247457605</v>
      </c>
      <c r="J19" s="117">
        <v>-0.15776916661732801</v>
      </c>
      <c r="K19" s="117">
        <v>-0.229742671627998</v>
      </c>
      <c r="L19" s="117">
        <v>-0.19309170611530599</v>
      </c>
      <c r="M19" s="117">
        <v>-0.16514548570052001</v>
      </c>
      <c r="N19" s="117">
        <v>0.99391322565115203</v>
      </c>
      <c r="O19" s="117">
        <v>0.98106505840968306</v>
      </c>
      <c r="P19" s="117">
        <v>0.976404232541766</v>
      </c>
      <c r="Q19" s="117">
        <v>0.97886735788595503</v>
      </c>
      <c r="R19" s="117">
        <v>0.99537739386896695</v>
      </c>
      <c r="S19" s="117">
        <v>1</v>
      </c>
      <c r="T19" s="117">
        <v>0.71841065423532302</v>
      </c>
      <c r="U19" s="117">
        <v>0.86339794134991599</v>
      </c>
      <c r="V19" s="117">
        <v>0.62953344185882298</v>
      </c>
      <c r="W19" s="117">
        <v>0.28719902859355201</v>
      </c>
      <c r="X19" s="117">
        <v>0.29432005680668599</v>
      </c>
      <c r="Y19" s="117">
        <v>0.277240837804478</v>
      </c>
      <c r="Z19" s="117">
        <v>0.27724083794389498</v>
      </c>
      <c r="AA19" s="117">
        <v>0.86220225823179697</v>
      </c>
      <c r="AB19" s="117">
        <v>0.58896761031792599</v>
      </c>
      <c r="AC19" s="117">
        <v>0.15617903068090799</v>
      </c>
      <c r="AD19" s="117">
        <v>0.15617903068090799</v>
      </c>
      <c r="AE19" s="117">
        <v>0.29065763954590301</v>
      </c>
      <c r="AF19" s="117">
        <v>0.22341757182017599</v>
      </c>
      <c r="AG19" s="117">
        <v>6.7989535547653704E-2</v>
      </c>
      <c r="AH19" s="117">
        <v>0.33406584756185098</v>
      </c>
      <c r="AI19" s="117">
        <v>0.27626628536256997</v>
      </c>
      <c r="AJ19" s="117">
        <v>0.37873464019987202</v>
      </c>
      <c r="AK19" s="117">
        <v>0.234864208439692</v>
      </c>
      <c r="AL19" s="117">
        <v>0.43388393824291999</v>
      </c>
      <c r="AM19" s="117">
        <v>-0.32943360698443502</v>
      </c>
      <c r="AN19" s="117">
        <v>-0.47425461545815001</v>
      </c>
      <c r="AO19" s="117">
        <v>0.23472386921215499</v>
      </c>
      <c r="AP19" s="117">
        <v>-0.46468134488722102</v>
      </c>
      <c r="AQ19" s="117">
        <v>3.8988956570698702E-2</v>
      </c>
      <c r="AR19" s="117">
        <v>-0.33159088107726697</v>
      </c>
      <c r="AS19" s="117">
        <v>0.36943775265246698</v>
      </c>
      <c r="AT19" s="117">
        <v>-0.14634566294589399</v>
      </c>
      <c r="AU19" s="117">
        <v>-0.124861342309246</v>
      </c>
      <c r="AV19" s="117">
        <v>-0.25021378193604699</v>
      </c>
      <c r="AW19" s="117">
        <v>-0.17213065362826499</v>
      </c>
      <c r="AX19" s="117">
        <v>7.8250194203291296E-2</v>
      </c>
      <c r="AY19" s="117">
        <v>4.0692611470901398E-3</v>
      </c>
      <c r="AZ19" s="117">
        <v>0.43763154193217302</v>
      </c>
      <c r="BA19" s="117">
        <v>0.32323288655216198</v>
      </c>
      <c r="BB19" s="117">
        <v>-0.51124243599984598</v>
      </c>
      <c r="BC19" s="117">
        <v>-0.232360956173223</v>
      </c>
      <c r="BD19" s="117">
        <v>0.64235234142466502</v>
      </c>
      <c r="BE19" s="117">
        <v>0.61139504516517396</v>
      </c>
      <c r="BF19" s="117">
        <v>0.226164603069932</v>
      </c>
      <c r="BG19" s="117">
        <v>0.14601108901815299</v>
      </c>
      <c r="BH19" s="117">
        <v>0.49415150414634301</v>
      </c>
      <c r="BI19" s="117">
        <v>-0.333561932101134</v>
      </c>
      <c r="BJ19" s="117">
        <v>0.330775697421336</v>
      </c>
      <c r="BK19" s="117">
        <v>0.45776316148523799</v>
      </c>
      <c r="BL19" s="117">
        <v>-0.34489025141929502</v>
      </c>
      <c r="BM19" s="117">
        <v>0.36756313200305601</v>
      </c>
      <c r="BN19" s="117">
        <v>-0.146342770162703</v>
      </c>
    </row>
    <row r="20" spans="1:66" hidden="1" x14ac:dyDescent="0.25">
      <c r="A20" t="s">
        <v>54</v>
      </c>
      <c r="B20" s="117">
        <v>0.30583581111562702</v>
      </c>
      <c r="C20" s="117">
        <v>0.327403418356778</v>
      </c>
      <c r="D20" s="117">
        <v>9.4849928632425001E-2</v>
      </c>
      <c r="E20" s="117">
        <v>0.331936581343106</v>
      </c>
      <c r="F20" s="117">
        <v>0.113035440899726</v>
      </c>
      <c r="G20" s="117">
        <v>-0.20393549595859001</v>
      </c>
      <c r="H20" s="117">
        <v>0.31157664168489002</v>
      </c>
      <c r="I20" s="117">
        <v>0.240801933100279</v>
      </c>
      <c r="J20" s="117">
        <v>7.78759410496246E-2</v>
      </c>
      <c r="K20" s="117">
        <v>3.95759528911366E-2</v>
      </c>
      <c r="L20" s="117">
        <v>7.4057263206240606E-2</v>
      </c>
      <c r="M20" s="117">
        <v>9.4517833413066701E-2</v>
      </c>
      <c r="N20" s="117">
        <v>0.76606483903039102</v>
      </c>
      <c r="O20" s="117">
        <v>0.65094476488344399</v>
      </c>
      <c r="P20" s="117">
        <v>0.77932688168304498</v>
      </c>
      <c r="Q20" s="117">
        <v>0.76010002118396003</v>
      </c>
      <c r="R20" s="117">
        <v>0.77180346836376301</v>
      </c>
      <c r="S20" s="117">
        <v>0.71841065423532302</v>
      </c>
      <c r="T20" s="117">
        <v>1</v>
      </c>
      <c r="U20" s="117">
        <v>0.90835362212529303</v>
      </c>
      <c r="V20" s="117">
        <v>0.53859390668583496</v>
      </c>
      <c r="W20" s="117">
        <v>0.78308562241298296</v>
      </c>
      <c r="X20" s="117">
        <v>0.71400222161197102</v>
      </c>
      <c r="Y20" s="117">
        <v>0.64840461929381998</v>
      </c>
      <c r="Z20" s="117">
        <v>0.64840461280109396</v>
      </c>
      <c r="AA20" s="117">
        <v>0.69064583700065396</v>
      </c>
      <c r="AB20" s="117">
        <v>0.79524308034909796</v>
      </c>
      <c r="AC20" s="117">
        <v>0.70474971456193802</v>
      </c>
      <c r="AD20" s="117">
        <v>0.70474971456193802</v>
      </c>
      <c r="AE20" s="117">
        <v>0.245992904702552</v>
      </c>
      <c r="AF20" s="117">
        <v>0.31386536088216499</v>
      </c>
      <c r="AG20" s="117">
        <v>0.48034844189250298</v>
      </c>
      <c r="AH20" s="117">
        <v>0.387695988317385</v>
      </c>
      <c r="AI20" s="117">
        <v>0.252884690163376</v>
      </c>
      <c r="AJ20" s="117">
        <v>0.33291927148278</v>
      </c>
      <c r="AK20" s="117">
        <v>0.78599786537199601</v>
      </c>
      <c r="AL20" s="117">
        <v>0.453054820069343</v>
      </c>
      <c r="AM20" s="117">
        <v>-0.39868780520464597</v>
      </c>
      <c r="AN20" s="117">
        <v>-0.47408468712547203</v>
      </c>
      <c r="AO20" s="117">
        <v>0.27738051034050298</v>
      </c>
      <c r="AP20" s="117">
        <v>-0.120646198288553</v>
      </c>
      <c r="AQ20" s="117">
        <v>-6.4240778453081598E-2</v>
      </c>
      <c r="AR20" s="117">
        <v>-0.30560680783594601</v>
      </c>
      <c r="AS20" s="117">
        <v>0.273859598692544</v>
      </c>
      <c r="AT20" s="117">
        <v>-0.13487774678311601</v>
      </c>
      <c r="AU20" s="117">
        <v>-0.115076977151094</v>
      </c>
      <c r="AV20" s="117">
        <v>-0.125336554885315</v>
      </c>
      <c r="AW20" s="117">
        <v>-0.26358868340776698</v>
      </c>
      <c r="AX20" s="117">
        <v>0.42908339348117203</v>
      </c>
      <c r="AY20" s="117">
        <v>-0.379573276908857</v>
      </c>
      <c r="AZ20" s="117">
        <v>0.293831156133816</v>
      </c>
      <c r="BA20" s="117">
        <v>-8.3841545911294293E-2</v>
      </c>
      <c r="BB20" s="117">
        <v>-0.28484875991165998</v>
      </c>
      <c r="BC20" s="117">
        <v>3.1021014804270899E-2</v>
      </c>
      <c r="BD20" s="117">
        <v>0.62866349558083401</v>
      </c>
      <c r="BE20" s="117">
        <v>0.87318628554102495</v>
      </c>
      <c r="BF20" s="117">
        <v>0.636272848502065</v>
      </c>
      <c r="BG20" s="117">
        <v>0.50907680049442805</v>
      </c>
      <c r="BH20" s="117">
        <v>0.39306783093879399</v>
      </c>
      <c r="BI20" s="117">
        <v>-0.25981172063818497</v>
      </c>
      <c r="BJ20" s="117">
        <v>0.40324449656865102</v>
      </c>
      <c r="BK20" s="117">
        <v>0.45488405035610302</v>
      </c>
      <c r="BL20" s="117">
        <v>-0.31786401498003602</v>
      </c>
      <c r="BM20" s="117">
        <v>0.27173015832988701</v>
      </c>
      <c r="BN20" s="117">
        <v>-0.13487508068375301</v>
      </c>
    </row>
    <row r="21" spans="1:66" hidden="1" x14ac:dyDescent="0.25">
      <c r="A21" t="s">
        <v>55</v>
      </c>
      <c r="B21" s="117">
        <v>0.34643873829505001</v>
      </c>
      <c r="C21" s="117">
        <v>0.38996058051922899</v>
      </c>
      <c r="D21" s="117">
        <v>0.18922723043682799</v>
      </c>
      <c r="E21" s="117">
        <v>0.39314316497845597</v>
      </c>
      <c r="F21" s="117">
        <v>0.183489185453835</v>
      </c>
      <c r="G21" s="117">
        <v>-0.22822840601001901</v>
      </c>
      <c r="H21" s="117">
        <v>0.40579458627234299</v>
      </c>
      <c r="I21" s="117">
        <v>0.370078142899741</v>
      </c>
      <c r="J21" s="117">
        <v>-4.3743973292071699E-2</v>
      </c>
      <c r="K21" s="117">
        <v>-6.5042167157798897E-2</v>
      </c>
      <c r="L21" s="117">
        <v>-2.1541041721764801E-2</v>
      </c>
      <c r="M21" s="117">
        <v>3.0244347800469302E-3</v>
      </c>
      <c r="N21" s="117">
        <v>0.86914204273357898</v>
      </c>
      <c r="O21" s="117">
        <v>0.78860901401491901</v>
      </c>
      <c r="P21" s="117">
        <v>0.91662438375330402</v>
      </c>
      <c r="Q21" s="117">
        <v>0.90685673975524705</v>
      </c>
      <c r="R21" s="117">
        <v>0.88124133558090401</v>
      </c>
      <c r="S21" s="117">
        <v>0.86339794134991599</v>
      </c>
      <c r="T21" s="117">
        <v>0.90835362212529303</v>
      </c>
      <c r="U21" s="117">
        <v>1</v>
      </c>
      <c r="V21" s="117">
        <v>0.54674271225061499</v>
      </c>
      <c r="W21" s="117">
        <v>0.64310268665255998</v>
      </c>
      <c r="X21" s="117">
        <v>0.64944627798280197</v>
      </c>
      <c r="Y21" s="117">
        <v>0.56030457591552396</v>
      </c>
      <c r="Z21" s="117">
        <v>0.56030457652844701</v>
      </c>
      <c r="AA21" s="117">
        <v>0.81502425219090502</v>
      </c>
      <c r="AB21" s="117">
        <v>0.83950524113704905</v>
      </c>
      <c r="AC21" s="117">
        <v>0.35480741151585099</v>
      </c>
      <c r="AD21" s="117">
        <v>0.35480741151585099</v>
      </c>
      <c r="AE21" s="117">
        <v>0.240829787595878</v>
      </c>
      <c r="AF21" s="117">
        <v>0.35093083020853599</v>
      </c>
      <c r="AG21" s="117">
        <v>0.27517654144085302</v>
      </c>
      <c r="AH21" s="117">
        <v>0.381967854524984</v>
      </c>
      <c r="AI21" s="117">
        <v>0.25786654135366499</v>
      </c>
      <c r="AJ21" s="117">
        <v>0.41440558546869899</v>
      </c>
      <c r="AK21" s="117">
        <v>0.49640752260878601</v>
      </c>
      <c r="AL21" s="117">
        <v>0.46453256413841498</v>
      </c>
      <c r="AM21" s="117">
        <v>-0.42819254723588301</v>
      </c>
      <c r="AN21" s="117">
        <v>-0.49954704041564801</v>
      </c>
      <c r="AO21" s="117">
        <v>0.28722214675283197</v>
      </c>
      <c r="AP21" s="117">
        <v>-0.22342809634449501</v>
      </c>
      <c r="AQ21" s="117">
        <v>-4.9350173657981999E-2</v>
      </c>
      <c r="AR21" s="117">
        <v>-0.33470159527877602</v>
      </c>
      <c r="AS21" s="117">
        <v>0.36289403355644101</v>
      </c>
      <c r="AT21" s="117">
        <v>-0.147718558155124</v>
      </c>
      <c r="AU21" s="117">
        <v>-0.12603268920961599</v>
      </c>
      <c r="AV21" s="117">
        <v>-0.200625153431918</v>
      </c>
      <c r="AW21" s="117">
        <v>-0.22678169462231701</v>
      </c>
      <c r="AX21" s="117">
        <v>0.35157658930935298</v>
      </c>
      <c r="AY21" s="117">
        <v>-0.29585708539302902</v>
      </c>
      <c r="AZ21" s="117">
        <v>0.35403829647313001</v>
      </c>
      <c r="BA21" s="117">
        <v>-7.5245471663447404E-3</v>
      </c>
      <c r="BB21" s="117">
        <v>-0.40684269850266602</v>
      </c>
      <c r="BC21" s="117">
        <v>-6.1571850812123997E-2</v>
      </c>
      <c r="BD21" s="117">
        <v>0.68313503967786904</v>
      </c>
      <c r="BE21" s="117">
        <v>0.82033078034608997</v>
      </c>
      <c r="BF21" s="117">
        <v>0.56769765851065401</v>
      </c>
      <c r="BG21" s="117">
        <v>0.44626957123225403</v>
      </c>
      <c r="BH21" s="117">
        <v>0.45969655829812001</v>
      </c>
      <c r="BI21" s="117">
        <v>-0.30177854463113002</v>
      </c>
      <c r="BJ21" s="117">
        <v>0.43355250992052702</v>
      </c>
      <c r="BK21" s="117">
        <v>0.47948453315471901</v>
      </c>
      <c r="BL21" s="117">
        <v>-0.34812572942630998</v>
      </c>
      <c r="BM21" s="117">
        <v>0.36032339220700199</v>
      </c>
      <c r="BN21" s="117">
        <v>-0.147715638234208</v>
      </c>
    </row>
    <row r="22" spans="1:66" hidden="1" x14ac:dyDescent="0.25">
      <c r="A22" t="s">
        <v>150</v>
      </c>
      <c r="B22" s="117">
        <v>0.46411229739939702</v>
      </c>
      <c r="C22" s="117">
        <v>0.58793567810555403</v>
      </c>
      <c r="D22" s="117">
        <v>0.55080056073040995</v>
      </c>
      <c r="E22" s="117">
        <v>0.75212514272325104</v>
      </c>
      <c r="F22" s="117">
        <v>0.60249310289987401</v>
      </c>
      <c r="G22" s="117">
        <v>-5.9031359910580103E-2</v>
      </c>
      <c r="H22" s="117">
        <v>0.68332761756721105</v>
      </c>
      <c r="I22" s="117">
        <v>0.63683608597617603</v>
      </c>
      <c r="J22" s="117">
        <v>-0.41772873892690399</v>
      </c>
      <c r="K22" s="117">
        <v>-0.49549927937896898</v>
      </c>
      <c r="L22" s="117">
        <v>-0.43759528558715899</v>
      </c>
      <c r="M22" s="117">
        <v>-0.45482664019413299</v>
      </c>
      <c r="N22" s="117">
        <v>0.64666266012208296</v>
      </c>
      <c r="O22" s="117">
        <v>0.63287679936854502</v>
      </c>
      <c r="P22" s="117">
        <v>0.60129522555619597</v>
      </c>
      <c r="Q22" s="117">
        <v>0.60011367023857498</v>
      </c>
      <c r="R22" s="117">
        <v>0.64176146739141204</v>
      </c>
      <c r="S22" s="117">
        <v>0.62953344185882298</v>
      </c>
      <c r="T22" s="117">
        <v>0.53859390668583496</v>
      </c>
      <c r="U22" s="117">
        <v>0.54674271225061499</v>
      </c>
      <c r="V22" s="117">
        <v>1</v>
      </c>
      <c r="W22" s="117">
        <v>0.29142885269341001</v>
      </c>
      <c r="X22" s="117">
        <v>0.25397738018631499</v>
      </c>
      <c r="Y22" s="117">
        <v>0.23027075445381301</v>
      </c>
      <c r="Z22" s="117">
        <v>0.230270751056429</v>
      </c>
      <c r="AA22" s="117">
        <v>0.66014286466705496</v>
      </c>
      <c r="AB22" s="117">
        <v>0.46920608090605698</v>
      </c>
      <c r="AC22" s="117">
        <v>0.300945280069429</v>
      </c>
      <c r="AD22" s="117">
        <v>0.300945280069429</v>
      </c>
      <c r="AE22" s="117">
        <v>0.22451025565743199</v>
      </c>
      <c r="AF22" s="117">
        <v>0.132096753969386</v>
      </c>
      <c r="AG22" s="117">
        <v>-4.4197966259965103E-2</v>
      </c>
      <c r="AH22" s="117">
        <v>0.22803609221560101</v>
      </c>
      <c r="AI22" s="117">
        <v>0.37151017617916499</v>
      </c>
      <c r="AJ22" s="117">
        <v>0.47051929644910701</v>
      </c>
      <c r="AK22" s="117">
        <v>0.31393125714898101</v>
      </c>
      <c r="AL22" s="117">
        <v>0.56465439851179999</v>
      </c>
      <c r="AM22" s="117">
        <v>-0.489173823074878</v>
      </c>
      <c r="AN22" s="117">
        <v>-0.57106928644092403</v>
      </c>
      <c r="AO22" s="117">
        <v>0.53945794732488905</v>
      </c>
      <c r="AP22" s="117">
        <v>-0.54633325999205995</v>
      </c>
      <c r="AQ22" s="117">
        <v>-0.148134902997275</v>
      </c>
      <c r="AR22" s="117">
        <v>-0.66679517031687696</v>
      </c>
      <c r="AS22" s="117">
        <v>0.235675272526472</v>
      </c>
      <c r="AT22" s="117">
        <v>-9.9598173739759696E-2</v>
      </c>
      <c r="AU22" s="117">
        <v>-0.13238819858905801</v>
      </c>
      <c r="AV22" s="117">
        <v>-0.30655591329308901</v>
      </c>
      <c r="AW22" s="117">
        <v>4.0671348120514504E-3</v>
      </c>
      <c r="AX22" s="117">
        <v>-5.9935319214164E-2</v>
      </c>
      <c r="AY22" s="117">
        <v>0.13459977548719401</v>
      </c>
      <c r="AZ22" s="117">
        <v>0.75431855487127697</v>
      </c>
      <c r="BA22" s="117">
        <v>0.434578639717347</v>
      </c>
      <c r="BB22" s="117">
        <v>-0.59212986721499195</v>
      </c>
      <c r="BC22" s="117">
        <v>-0.49623208093596899</v>
      </c>
      <c r="BD22" s="117">
        <v>0.75227712767041999</v>
      </c>
      <c r="BE22" s="117">
        <v>0.49876159122929398</v>
      </c>
      <c r="BF22" s="117">
        <v>0.27701017869593703</v>
      </c>
      <c r="BG22" s="117">
        <v>0.27759576240975498</v>
      </c>
      <c r="BH22" s="117">
        <v>0.68622104760633795</v>
      </c>
      <c r="BI22" s="117">
        <v>-0.29985437858338898</v>
      </c>
      <c r="BJ22" s="117">
        <v>0.48485601371865999</v>
      </c>
      <c r="BK22" s="117">
        <v>0.53861449735488498</v>
      </c>
      <c r="BL22" s="117">
        <v>-0.61736788512986496</v>
      </c>
      <c r="BM22" s="117">
        <v>0.23506375376111199</v>
      </c>
      <c r="BN22" s="117">
        <v>-9.9508568462318397E-2</v>
      </c>
    </row>
    <row r="23" spans="1:66" hidden="1" x14ac:dyDescent="0.25">
      <c r="A23" t="s">
        <v>56</v>
      </c>
      <c r="B23" s="117">
        <v>0.21426163802805201</v>
      </c>
      <c r="C23" s="117">
        <v>0.19472882904313399</v>
      </c>
      <c r="D23" s="117">
        <v>-7.2206690115921096E-2</v>
      </c>
      <c r="E23" s="117">
        <v>0.14359502898038001</v>
      </c>
      <c r="F23" s="117">
        <v>-0.140069851180986</v>
      </c>
      <c r="G23" s="117">
        <v>-0.33336958273887801</v>
      </c>
      <c r="H23" s="117">
        <v>0.12813466331557499</v>
      </c>
      <c r="I23" s="117">
        <v>9.5597480859327E-3</v>
      </c>
      <c r="J23" s="117">
        <v>0.20470927838813399</v>
      </c>
      <c r="K23" s="117">
        <v>0.238380432267874</v>
      </c>
      <c r="L23" s="117">
        <v>0.25973192824112401</v>
      </c>
      <c r="M23" s="117">
        <v>0.27079187589074299</v>
      </c>
      <c r="N23" s="117">
        <v>0.33244771066168199</v>
      </c>
      <c r="O23" s="117">
        <v>0.24098710018191699</v>
      </c>
      <c r="P23" s="117">
        <v>0.35967078998151297</v>
      </c>
      <c r="Q23" s="117">
        <v>0.32418096926258499</v>
      </c>
      <c r="R23" s="117">
        <v>0.33863686655963998</v>
      </c>
      <c r="S23" s="117">
        <v>0.28719902859355201</v>
      </c>
      <c r="T23" s="117">
        <v>0.78308562241298296</v>
      </c>
      <c r="U23" s="117">
        <v>0.64310268665255998</v>
      </c>
      <c r="V23" s="117">
        <v>0.29142885269341001</v>
      </c>
      <c r="W23" s="117">
        <v>1</v>
      </c>
      <c r="X23" s="117">
        <v>0.973694519309103</v>
      </c>
      <c r="Y23" s="117">
        <v>0.87910651680588103</v>
      </c>
      <c r="Z23" s="117">
        <v>0.87910651384001604</v>
      </c>
      <c r="AA23" s="117">
        <v>0.45631533547452602</v>
      </c>
      <c r="AB23" s="117">
        <v>0.84098923154865901</v>
      </c>
      <c r="AC23" s="117">
        <v>0.69240307740228701</v>
      </c>
      <c r="AD23" s="117">
        <v>0.69240307740228701</v>
      </c>
      <c r="AE23" s="117">
        <v>0.126518897956097</v>
      </c>
      <c r="AF23" s="117">
        <v>0.37346572161057501</v>
      </c>
      <c r="AG23" s="117">
        <v>0.59694284497491201</v>
      </c>
      <c r="AH23" s="117">
        <v>0.34089634566339</v>
      </c>
      <c r="AI23" s="117">
        <v>0.15834300143629501</v>
      </c>
      <c r="AJ23" s="117">
        <v>0.33371743916792901</v>
      </c>
      <c r="AK23" s="117">
        <v>0.88037908782338403</v>
      </c>
      <c r="AL23" s="117">
        <v>0.38625238288013097</v>
      </c>
      <c r="AM23" s="117">
        <v>-0.38629338704243898</v>
      </c>
      <c r="AN23" s="117">
        <v>-0.38532313847379701</v>
      </c>
      <c r="AO23" s="117">
        <v>0.29363664508543103</v>
      </c>
      <c r="AP23" s="117">
        <v>0.19711888092413801</v>
      </c>
      <c r="AQ23" s="117">
        <v>-0.127507501179209</v>
      </c>
      <c r="AR23" s="117">
        <v>-0.22927739098126801</v>
      </c>
      <c r="AS23" s="117">
        <v>0.27380014340182302</v>
      </c>
      <c r="AT23" s="117">
        <v>-0.101190212688147</v>
      </c>
      <c r="AU23" s="117">
        <v>-8.6334951992881104E-2</v>
      </c>
      <c r="AV23" s="117">
        <v>-9.6246261761459301E-4</v>
      </c>
      <c r="AW23" s="117">
        <v>-0.30176919617968501</v>
      </c>
      <c r="AX23" s="117">
        <v>0.63152250070220795</v>
      </c>
      <c r="AY23" s="117">
        <v>-0.62610133333239604</v>
      </c>
      <c r="AZ23" s="117">
        <v>0.10897359491750599</v>
      </c>
      <c r="BA23" s="117">
        <v>-0.34629392052922803</v>
      </c>
      <c r="BB23" s="117">
        <v>-8.6603340156813494E-2</v>
      </c>
      <c r="BC23" s="117">
        <v>0.230932165837505</v>
      </c>
      <c r="BD23" s="117">
        <v>0.483788266487441</v>
      </c>
      <c r="BE23" s="117">
        <v>0.75672279813274801</v>
      </c>
      <c r="BF23" s="117">
        <v>0.87270585854545801</v>
      </c>
      <c r="BG23" s="117">
        <v>0.73367438895488202</v>
      </c>
      <c r="BH23" s="117">
        <v>0.239798360803647</v>
      </c>
      <c r="BI23" s="117">
        <v>-0.14626871047950199</v>
      </c>
      <c r="BJ23" s="117">
        <v>0.394149569259445</v>
      </c>
      <c r="BK23" s="117">
        <v>0.36721094440879398</v>
      </c>
      <c r="BL23" s="117">
        <v>-0.23847319553357499</v>
      </c>
      <c r="BM23" s="117">
        <v>0.27081950334233901</v>
      </c>
      <c r="BN23" s="117">
        <v>-0.101188212483013</v>
      </c>
    </row>
    <row r="24" spans="1:66" hidden="1" x14ac:dyDescent="0.25">
      <c r="A24" t="s">
        <v>57</v>
      </c>
      <c r="B24" s="117">
        <v>0.2359057667151</v>
      </c>
      <c r="C24" s="117">
        <v>0.21863140476071799</v>
      </c>
      <c r="D24" s="117">
        <v>-5.9443873027116602E-2</v>
      </c>
      <c r="E24" s="117">
        <v>0.14060272895223699</v>
      </c>
      <c r="F24" s="117">
        <v>-0.150283873370024</v>
      </c>
      <c r="G24" s="117">
        <v>-0.35416872128468202</v>
      </c>
      <c r="H24" s="117">
        <v>0.12632719087094199</v>
      </c>
      <c r="I24" s="117">
        <v>1.38058227974349E-2</v>
      </c>
      <c r="J24" s="117">
        <v>0.187288602221999</v>
      </c>
      <c r="K24" s="117">
        <v>0.22524756736398699</v>
      </c>
      <c r="L24" s="117">
        <v>0.24879557466347499</v>
      </c>
      <c r="M24" s="117">
        <v>0.260124801585706</v>
      </c>
      <c r="N24" s="117">
        <v>0.319187491376971</v>
      </c>
      <c r="O24" s="117">
        <v>0.24652245726279801</v>
      </c>
      <c r="P24" s="117">
        <v>0.37141644007874502</v>
      </c>
      <c r="Q24" s="117">
        <v>0.33268338120886998</v>
      </c>
      <c r="R24" s="117">
        <v>0.32962523299832502</v>
      </c>
      <c r="S24" s="117">
        <v>0.29432005680668599</v>
      </c>
      <c r="T24" s="117">
        <v>0.71400222161197102</v>
      </c>
      <c r="U24" s="117">
        <v>0.64944627798280197</v>
      </c>
      <c r="V24" s="117">
        <v>0.25397738018631499</v>
      </c>
      <c r="W24" s="117">
        <v>0.973694519309103</v>
      </c>
      <c r="X24" s="117">
        <v>1</v>
      </c>
      <c r="Y24" s="117">
        <v>0.92806987807861896</v>
      </c>
      <c r="Z24" s="117">
        <v>0.92806987902979099</v>
      </c>
      <c r="AA24" s="117">
        <v>0.45819268800434798</v>
      </c>
      <c r="AB24" s="117">
        <v>0.84428181918885403</v>
      </c>
      <c r="AC24" s="117">
        <v>0.51520903023398201</v>
      </c>
      <c r="AD24" s="117">
        <v>0.51520903023398201</v>
      </c>
      <c r="AE24" s="117">
        <v>0.12512069650222901</v>
      </c>
      <c r="AF24" s="117">
        <v>0.35565412300495097</v>
      </c>
      <c r="AG24" s="117">
        <v>0.53550742315456601</v>
      </c>
      <c r="AH24" s="117">
        <v>0.32477039028375398</v>
      </c>
      <c r="AI24" s="117">
        <v>0.170666426790124</v>
      </c>
      <c r="AJ24" s="117">
        <v>0.32400507331020401</v>
      </c>
      <c r="AK24" s="117">
        <v>0.78106378290643996</v>
      </c>
      <c r="AL24" s="117">
        <v>0.38082819617402802</v>
      </c>
      <c r="AM24" s="117">
        <v>-0.41262588209800399</v>
      </c>
      <c r="AN24" s="117">
        <v>-0.38136085130429898</v>
      </c>
      <c r="AO24" s="117">
        <v>0.28487016041170099</v>
      </c>
      <c r="AP24" s="117">
        <v>0.19758990829117901</v>
      </c>
      <c r="AQ24" s="117">
        <v>-0.13191849949376799</v>
      </c>
      <c r="AR24" s="117">
        <v>-0.22982526303334999</v>
      </c>
      <c r="AS24" s="117">
        <v>0.36073035772847101</v>
      </c>
      <c r="AT24" s="117">
        <v>-0.1014320127594</v>
      </c>
      <c r="AU24" s="117">
        <v>-8.6541254529351297E-2</v>
      </c>
      <c r="AV24" s="117">
        <v>-2.7437193796040499E-2</v>
      </c>
      <c r="AW24" s="117">
        <v>-0.282301726896452</v>
      </c>
      <c r="AX24" s="117">
        <v>0.61551525078031399</v>
      </c>
      <c r="AY24" s="117">
        <v>-0.61328250343609603</v>
      </c>
      <c r="AZ24" s="117">
        <v>0.107095639725708</v>
      </c>
      <c r="BA24" s="117">
        <v>-0.35117077357540799</v>
      </c>
      <c r="BB24" s="117">
        <v>-8.8025086044778197E-2</v>
      </c>
      <c r="BC24" s="117">
        <v>0.22232951397825801</v>
      </c>
      <c r="BD24" s="117">
        <v>0.48370751024515801</v>
      </c>
      <c r="BE24" s="117">
        <v>0.67102826329937104</v>
      </c>
      <c r="BF24" s="117">
        <v>0.871746912420164</v>
      </c>
      <c r="BG24" s="117">
        <v>0.73703332221566098</v>
      </c>
      <c r="BH24" s="117">
        <v>0.24079089014337601</v>
      </c>
      <c r="BI24" s="117">
        <v>-0.14750100636233801</v>
      </c>
      <c r="BJ24" s="117">
        <v>0.42257412402629801</v>
      </c>
      <c r="BK24" s="117">
        <v>0.36332862601232602</v>
      </c>
      <c r="BL24" s="117">
        <v>-0.23904304151116801</v>
      </c>
      <c r="BM24" s="117">
        <v>0.35702791731471201</v>
      </c>
      <c r="BN24" s="117">
        <v>-0.10143000777465599</v>
      </c>
    </row>
    <row r="25" spans="1:66" hidden="1" x14ac:dyDescent="0.25">
      <c r="A25" t="s">
        <v>59</v>
      </c>
      <c r="B25" s="117">
        <v>0.270906391351875</v>
      </c>
      <c r="C25" s="117">
        <v>0.24856567306524599</v>
      </c>
      <c r="D25" s="117">
        <v>-7.9279838400714703E-2</v>
      </c>
      <c r="E25" s="117">
        <v>0.114627099532808</v>
      </c>
      <c r="F25" s="117">
        <v>-0.111218998556295</v>
      </c>
      <c r="G25" s="117">
        <v>-0.26157283848311602</v>
      </c>
      <c r="H25" s="117">
        <v>5.08682151453849E-2</v>
      </c>
      <c r="I25" s="117">
        <v>-5.7925228080957403E-2</v>
      </c>
      <c r="J25" s="117">
        <v>0.24096834086414901</v>
      </c>
      <c r="K25" s="117">
        <v>0.22298365926003599</v>
      </c>
      <c r="L25" s="117">
        <v>0.238449849717212</v>
      </c>
      <c r="M25" s="117">
        <v>0.24762160190346699</v>
      </c>
      <c r="N25" s="117">
        <v>0.30421120051356099</v>
      </c>
      <c r="O25" s="117">
        <v>0.24618325158663201</v>
      </c>
      <c r="P25" s="117">
        <v>0.35036088238226198</v>
      </c>
      <c r="Q25" s="117">
        <v>0.29863153734334802</v>
      </c>
      <c r="R25" s="117">
        <v>0.313534001843981</v>
      </c>
      <c r="S25" s="117">
        <v>0.277240837804478</v>
      </c>
      <c r="T25" s="117">
        <v>0.64840461929381998</v>
      </c>
      <c r="U25" s="117">
        <v>0.56030457591552396</v>
      </c>
      <c r="V25" s="117">
        <v>0.23027075445381301</v>
      </c>
      <c r="W25" s="117">
        <v>0.87910651680588103</v>
      </c>
      <c r="X25" s="117">
        <v>0.92806987807861896</v>
      </c>
      <c r="Y25" s="117">
        <v>1</v>
      </c>
      <c r="Z25" s="117">
        <v>0.999999999999999</v>
      </c>
      <c r="AA25" s="117">
        <v>0.34814209680636399</v>
      </c>
      <c r="AB25" s="117">
        <v>0.65091093893853003</v>
      </c>
      <c r="AC25" s="117">
        <v>0.45346216230935199</v>
      </c>
      <c r="AD25" s="117">
        <v>0.45346216230935299</v>
      </c>
      <c r="AE25" s="117">
        <v>0.18456080388625801</v>
      </c>
      <c r="AF25" s="117">
        <v>0.163903111736872</v>
      </c>
      <c r="AG25" s="117">
        <v>0.54479482486601705</v>
      </c>
      <c r="AH25" s="117">
        <v>0.27337177550115999</v>
      </c>
      <c r="AI25" s="117">
        <v>0.23594805961399401</v>
      </c>
      <c r="AJ25" s="117">
        <v>0.13431069085900901</v>
      </c>
      <c r="AK25" s="117">
        <v>0.78812386575272597</v>
      </c>
      <c r="AL25" s="117">
        <v>0.34413385448790601</v>
      </c>
      <c r="AM25" s="117">
        <v>-0.39973139869461999</v>
      </c>
      <c r="AN25" s="117">
        <v>-0.33579106241285001</v>
      </c>
      <c r="AO25" s="117">
        <v>0.20108032997201</v>
      </c>
      <c r="AP25" s="117">
        <v>0.16924879072059301</v>
      </c>
      <c r="AQ25" s="117">
        <v>-0.116812263704088</v>
      </c>
      <c r="AR25" s="117">
        <v>-0.19686049850337001</v>
      </c>
      <c r="AS25" s="117">
        <v>0.46675549564838498</v>
      </c>
      <c r="AT25" s="117">
        <v>-8.6883210019945797E-2</v>
      </c>
      <c r="AU25" s="117">
        <v>-7.4128293308133697E-2</v>
      </c>
      <c r="AV25" s="117">
        <v>-4.9412854671161903E-2</v>
      </c>
      <c r="AW25" s="117">
        <v>-0.23078333427678099</v>
      </c>
      <c r="AX25" s="117">
        <v>0.501411958538028</v>
      </c>
      <c r="AY25" s="117">
        <v>-0.49531337301612699</v>
      </c>
      <c r="AZ25" s="117">
        <v>8.8747361041595002E-2</v>
      </c>
      <c r="BA25" s="117">
        <v>-0.27528284776692702</v>
      </c>
      <c r="BB25" s="117">
        <v>8.4957443645666403E-3</v>
      </c>
      <c r="BC25" s="117">
        <v>0.209521801389493</v>
      </c>
      <c r="BD25" s="117">
        <v>0.41271443136334302</v>
      </c>
      <c r="BE25" s="117">
        <v>0.445688853375377</v>
      </c>
      <c r="BF25" s="117">
        <v>0.742521557633954</v>
      </c>
      <c r="BG25" s="117">
        <v>0.63621300960302796</v>
      </c>
      <c r="BH25" s="117">
        <v>0.19907294542750401</v>
      </c>
      <c r="BI25" s="117">
        <v>-0.12683652596238201</v>
      </c>
      <c r="BJ25" s="117">
        <v>0.41199916392577501</v>
      </c>
      <c r="BK25" s="117">
        <v>0.321319260878558</v>
      </c>
      <c r="BL25" s="117">
        <v>-0.20475613383208299</v>
      </c>
      <c r="BM25" s="117">
        <v>0.462277235040712</v>
      </c>
      <c r="BN25" s="117">
        <v>-8.6881492618251094E-2</v>
      </c>
    </row>
    <row r="26" spans="1:66" hidden="1" x14ac:dyDescent="0.25">
      <c r="A26" t="s">
        <v>58</v>
      </c>
      <c r="B26" s="117">
        <v>0.27090639177638198</v>
      </c>
      <c r="C26" s="117">
        <v>0.24856567383936701</v>
      </c>
      <c r="D26" s="117">
        <v>-7.9279836721446506E-2</v>
      </c>
      <c r="E26" s="117">
        <v>0.11462709943707799</v>
      </c>
      <c r="F26" s="117">
        <v>-0.111218999837468</v>
      </c>
      <c r="G26" s="117">
        <v>-0.26157284123541003</v>
      </c>
      <c r="H26" s="117">
        <v>5.0868216251221003E-2</v>
      </c>
      <c r="I26" s="117">
        <v>-5.7925226221587002E-2</v>
      </c>
      <c r="J26" s="117">
        <v>0.24096833770165799</v>
      </c>
      <c r="K26" s="117">
        <v>0.222983657553843</v>
      </c>
      <c r="L26" s="117">
        <v>0.238449848304506</v>
      </c>
      <c r="M26" s="117">
        <v>0.24762160052786</v>
      </c>
      <c r="N26" s="117">
        <v>0.30421119880321301</v>
      </c>
      <c r="O26" s="117">
        <v>0.24618325136760399</v>
      </c>
      <c r="P26" s="117">
        <v>0.35036088278234101</v>
      </c>
      <c r="Q26" s="117">
        <v>0.29863153785549801</v>
      </c>
      <c r="R26" s="117">
        <v>0.313534000489537</v>
      </c>
      <c r="S26" s="117">
        <v>0.27724083794389498</v>
      </c>
      <c r="T26" s="117">
        <v>0.64840461280109396</v>
      </c>
      <c r="U26" s="117">
        <v>0.56030457652844701</v>
      </c>
      <c r="V26" s="117">
        <v>0.230270751056429</v>
      </c>
      <c r="W26" s="117">
        <v>0.87910651384001604</v>
      </c>
      <c r="X26" s="117">
        <v>0.92806987902979099</v>
      </c>
      <c r="Y26" s="117">
        <v>0.999999999999999</v>
      </c>
      <c r="Z26" s="117">
        <v>1</v>
      </c>
      <c r="AA26" s="117">
        <v>0.34814209802827301</v>
      </c>
      <c r="AB26" s="117">
        <v>0.650910940974189</v>
      </c>
      <c r="AC26" s="117">
        <v>0.45346214709666699</v>
      </c>
      <c r="AD26" s="117">
        <v>0.45346214709666699</v>
      </c>
      <c r="AE26" s="117">
        <v>0.18456080213963</v>
      </c>
      <c r="AF26" s="117">
        <v>0.163903113324113</v>
      </c>
      <c r="AG26" s="117">
        <v>0.54479481792432305</v>
      </c>
      <c r="AH26" s="117">
        <v>0.27337177431164</v>
      </c>
      <c r="AI26" s="117">
        <v>0.235948058781008</v>
      </c>
      <c r="AJ26" s="117">
        <v>0.13431069318091399</v>
      </c>
      <c r="AK26" s="117">
        <v>0.788123854940739</v>
      </c>
      <c r="AL26" s="117">
        <v>0.34413385373539901</v>
      </c>
      <c r="AM26" s="117">
        <v>-0.39973140004453001</v>
      </c>
      <c r="AN26" s="117">
        <v>-0.33579106197342701</v>
      </c>
      <c r="AO26" s="117">
        <v>0.201080330215715</v>
      </c>
      <c r="AP26" s="117">
        <v>0.16924879080906799</v>
      </c>
      <c r="AQ26" s="117">
        <v>-0.116812264029996</v>
      </c>
      <c r="AR26" s="117">
        <v>-0.19686049860627999</v>
      </c>
      <c r="AS26" s="117">
        <v>0.46675549975341701</v>
      </c>
      <c r="AT26" s="117">
        <v>-8.6883210065364397E-2</v>
      </c>
      <c r="AU26" s="117">
        <v>-7.4128293346884602E-2</v>
      </c>
      <c r="AV26" s="117">
        <v>-4.94128563755315E-2</v>
      </c>
      <c r="AW26" s="117">
        <v>-0.23078333292560901</v>
      </c>
      <c r="AX26" s="117">
        <v>0.50141195787986104</v>
      </c>
      <c r="AY26" s="117">
        <v>-0.49531337271843701</v>
      </c>
      <c r="AZ26" s="117">
        <v>8.8747360972028302E-2</v>
      </c>
      <c r="BA26" s="117">
        <v>-0.27528284881475301</v>
      </c>
      <c r="BB26" s="117">
        <v>8.4957424242659806E-3</v>
      </c>
      <c r="BC26" s="117">
        <v>0.209521800302995</v>
      </c>
      <c r="BD26" s="117">
        <v>0.41271443150950199</v>
      </c>
      <c r="BE26" s="117">
        <v>0.44568884901372202</v>
      </c>
      <c r="BF26" s="117">
        <v>0.74252155785558205</v>
      </c>
      <c r="BG26" s="117">
        <v>0.63621300996447006</v>
      </c>
      <c r="BH26" s="117">
        <v>0.199072945724803</v>
      </c>
      <c r="BI26" s="117">
        <v>-0.126836526092824</v>
      </c>
      <c r="BJ26" s="117">
        <v>0.41199916537586601</v>
      </c>
      <c r="BK26" s="117">
        <v>0.32131926042065201</v>
      </c>
      <c r="BL26" s="117">
        <v>-0.20475613393912001</v>
      </c>
      <c r="BM26" s="117">
        <v>0.46227723911142099</v>
      </c>
      <c r="BN26" s="117">
        <v>-8.6881492663668694E-2</v>
      </c>
    </row>
    <row r="27" spans="1:66" hidden="1" x14ac:dyDescent="0.25">
      <c r="A27" t="s">
        <v>62</v>
      </c>
      <c r="B27" s="117">
        <v>0.44851350712861998</v>
      </c>
      <c r="C27" s="117">
        <v>0.51038533859731094</v>
      </c>
      <c r="D27" s="117">
        <v>0.25241843764472899</v>
      </c>
      <c r="E27" s="117">
        <v>0.47034911025854398</v>
      </c>
      <c r="F27" s="117">
        <v>0.52461650715490604</v>
      </c>
      <c r="G27" s="117">
        <v>-0.10157736475835</v>
      </c>
      <c r="H27" s="117">
        <v>0.49904591908881302</v>
      </c>
      <c r="I27" s="117">
        <v>0.50260782308472696</v>
      </c>
      <c r="J27" s="117">
        <v>-0.16220965731989401</v>
      </c>
      <c r="K27" s="117">
        <v>-0.148324269571532</v>
      </c>
      <c r="L27" s="117">
        <v>-0.13777169027422501</v>
      </c>
      <c r="M27" s="117">
        <v>-0.11945183716768699</v>
      </c>
      <c r="N27" s="117">
        <v>0.86682716422595196</v>
      </c>
      <c r="O27" s="117">
        <v>0.86242029903619399</v>
      </c>
      <c r="P27" s="117">
        <v>0.82148976703815801</v>
      </c>
      <c r="Q27" s="117">
        <v>0.82651381869282903</v>
      </c>
      <c r="R27" s="117">
        <v>0.86292371608184404</v>
      </c>
      <c r="S27" s="117">
        <v>0.86220225823179697</v>
      </c>
      <c r="T27" s="117">
        <v>0.69064583700065396</v>
      </c>
      <c r="U27" s="117">
        <v>0.81502425219090502</v>
      </c>
      <c r="V27" s="117">
        <v>0.66014286466705496</v>
      </c>
      <c r="W27" s="117">
        <v>0.45631533547452602</v>
      </c>
      <c r="X27" s="117">
        <v>0.45819268800434798</v>
      </c>
      <c r="Y27" s="117">
        <v>0.34814209680636399</v>
      </c>
      <c r="Z27" s="117">
        <v>0.34814209802827301</v>
      </c>
      <c r="AA27" s="117">
        <v>1</v>
      </c>
      <c r="AB27" s="117">
        <v>0.79403182362767599</v>
      </c>
      <c r="AC27" s="117">
        <v>0.23618932753177599</v>
      </c>
      <c r="AD27" s="117">
        <v>0.23618932753177599</v>
      </c>
      <c r="AE27" s="117">
        <v>0.263773594682775</v>
      </c>
      <c r="AF27" s="117">
        <v>0.42375269646726399</v>
      </c>
      <c r="AG27" s="117">
        <v>0.123080183125933</v>
      </c>
      <c r="AH27" s="117">
        <v>0.42030356242886002</v>
      </c>
      <c r="AI27" s="117">
        <v>0.23756002645694099</v>
      </c>
      <c r="AJ27" s="117">
        <v>0.60666996100840298</v>
      </c>
      <c r="AK27" s="117">
        <v>0.31259044076778097</v>
      </c>
      <c r="AL27" s="117">
        <v>0.51998987891905601</v>
      </c>
      <c r="AM27" s="117">
        <v>-0.38596056508527299</v>
      </c>
      <c r="AN27" s="117">
        <v>-0.57651054666902302</v>
      </c>
      <c r="AO27" s="117">
        <v>0.37778518313238002</v>
      </c>
      <c r="AP27" s="117">
        <v>-0.37936742008181901</v>
      </c>
      <c r="AQ27" s="117">
        <v>1.7999844039514601E-2</v>
      </c>
      <c r="AR27" s="117">
        <v>-0.36924931266825101</v>
      </c>
      <c r="AS27" s="117">
        <v>0.37376636951459402</v>
      </c>
      <c r="AT27" s="117">
        <v>-0.128062672589035</v>
      </c>
      <c r="AU27" s="117">
        <v>-0.13904171513022001</v>
      </c>
      <c r="AV27" s="117">
        <v>-0.24680356883103199</v>
      </c>
      <c r="AW27" s="117">
        <v>-0.21745972069951</v>
      </c>
      <c r="AX27" s="117">
        <v>0.22866554418565199</v>
      </c>
      <c r="AY27" s="117">
        <v>-0.147032968044643</v>
      </c>
      <c r="AZ27" s="117">
        <v>0.42940192608237099</v>
      </c>
      <c r="BA27" s="117">
        <v>0.33165230847975902</v>
      </c>
      <c r="BB27" s="117">
        <v>-0.52162353384083404</v>
      </c>
      <c r="BC27" s="117">
        <v>-0.18284091512571299</v>
      </c>
      <c r="BD27" s="117">
        <v>0.74806971744089501</v>
      </c>
      <c r="BE27" s="117">
        <v>0.74620992105291295</v>
      </c>
      <c r="BF27" s="117">
        <v>0.43788179499030799</v>
      </c>
      <c r="BG27" s="117">
        <v>0.32773355762357498</v>
      </c>
      <c r="BH27" s="117">
        <v>0.63427973229641899</v>
      </c>
      <c r="BI27" s="117">
        <v>-0.36275999338880399</v>
      </c>
      <c r="BJ27" s="117">
        <v>0.38717878494282298</v>
      </c>
      <c r="BK27" s="117">
        <v>0.55708354649500003</v>
      </c>
      <c r="BL27" s="117">
        <v>-0.38405907867194899</v>
      </c>
      <c r="BM27" s="117">
        <v>0.371838015044403</v>
      </c>
      <c r="BN27" s="117">
        <v>-0.12783650707795499</v>
      </c>
    </row>
    <row r="28" spans="1:66" hidden="1" x14ac:dyDescent="0.25">
      <c r="A28" t="s">
        <v>61</v>
      </c>
      <c r="B28" s="117">
        <v>0.322779989445796</v>
      </c>
      <c r="C28" s="117">
        <v>0.346208442578535</v>
      </c>
      <c r="D28" s="117">
        <v>0.10354340814688601</v>
      </c>
      <c r="E28" s="117">
        <v>0.33048174211654902</v>
      </c>
      <c r="F28" s="117">
        <v>9.6697630052909794E-2</v>
      </c>
      <c r="G28" s="117">
        <v>-0.35928498530730502</v>
      </c>
      <c r="H28" s="117">
        <v>0.36847025277857698</v>
      </c>
      <c r="I28" s="117">
        <v>0.29522862076520301</v>
      </c>
      <c r="J28" s="117">
        <v>-1.4770805286856301E-2</v>
      </c>
      <c r="K28" s="117">
        <v>5.7800471314378897E-2</v>
      </c>
      <c r="L28" s="117">
        <v>8.9239703404683096E-2</v>
      </c>
      <c r="M28" s="117">
        <v>9.3535006908459506E-2</v>
      </c>
      <c r="N28" s="117">
        <v>0.60157056167244405</v>
      </c>
      <c r="O28" s="117">
        <v>0.54008207521888696</v>
      </c>
      <c r="P28" s="117">
        <v>0.62771418322582095</v>
      </c>
      <c r="Q28" s="117">
        <v>0.61636220315493395</v>
      </c>
      <c r="R28" s="117">
        <v>0.60878702184178601</v>
      </c>
      <c r="S28" s="117">
        <v>0.58896761031792599</v>
      </c>
      <c r="T28" s="117">
        <v>0.79524308034909796</v>
      </c>
      <c r="U28" s="117">
        <v>0.83950524113704905</v>
      </c>
      <c r="V28" s="117">
        <v>0.46920608090605698</v>
      </c>
      <c r="W28" s="117">
        <v>0.84098923154865901</v>
      </c>
      <c r="X28" s="117">
        <v>0.84428181918885403</v>
      </c>
      <c r="Y28" s="117">
        <v>0.65091093893853003</v>
      </c>
      <c r="Z28" s="117">
        <v>0.650910940974189</v>
      </c>
      <c r="AA28" s="117">
        <v>0.79403182362767599</v>
      </c>
      <c r="AB28" s="117">
        <v>1</v>
      </c>
      <c r="AC28" s="117">
        <v>0.44071560468120502</v>
      </c>
      <c r="AD28" s="117">
        <v>0.44071560468120502</v>
      </c>
      <c r="AE28" s="117">
        <v>0.13868922075719101</v>
      </c>
      <c r="AF28" s="117">
        <v>0.53652479637939898</v>
      </c>
      <c r="AG28" s="117">
        <v>0.35357499994738101</v>
      </c>
      <c r="AH28" s="117">
        <v>0.40745215536706098</v>
      </c>
      <c r="AI28" s="117">
        <v>0.15267452033819401</v>
      </c>
      <c r="AJ28" s="117">
        <v>0.59278150315952804</v>
      </c>
      <c r="AK28" s="117">
        <v>0.58609258200308301</v>
      </c>
      <c r="AL28" s="117">
        <v>0.473663331934492</v>
      </c>
      <c r="AM28" s="117">
        <v>-0.43069833018180298</v>
      </c>
      <c r="AN28" s="117">
        <v>-0.52275129572182899</v>
      </c>
      <c r="AO28" s="117">
        <v>0.411129088696089</v>
      </c>
      <c r="AP28" s="117">
        <v>-3.1966726495239503E-2</v>
      </c>
      <c r="AQ28" s="117">
        <v>-8.6424234081571502E-2</v>
      </c>
      <c r="AR28" s="117">
        <v>-0.33858279534247199</v>
      </c>
      <c r="AS28" s="117">
        <v>0.29409705186032198</v>
      </c>
      <c r="AT28" s="117">
        <v>-9.2528099780752299E-2</v>
      </c>
      <c r="AU28" s="117">
        <v>-0.127494164411073</v>
      </c>
      <c r="AV28" s="117">
        <v>-0.13293783748239699</v>
      </c>
      <c r="AW28" s="117">
        <v>-0.29944492084312502</v>
      </c>
      <c r="AX28" s="117">
        <v>0.56704156257884797</v>
      </c>
      <c r="AY28" s="117">
        <v>-0.53059757337917401</v>
      </c>
      <c r="AZ28" s="117">
        <v>0.28501869930468299</v>
      </c>
      <c r="BA28" s="117">
        <v>-0.14266541921013601</v>
      </c>
      <c r="BB28" s="117">
        <v>-0.36740666277308898</v>
      </c>
      <c r="BC28" s="117">
        <v>5.5427568325821797E-2</v>
      </c>
      <c r="BD28" s="117">
        <v>0.69984637081618795</v>
      </c>
      <c r="BE28" s="117">
        <v>0.90105012300015297</v>
      </c>
      <c r="BF28" s="117">
        <v>0.83352312593047495</v>
      </c>
      <c r="BG28" s="117">
        <v>0.68417754956261001</v>
      </c>
      <c r="BH28" s="117">
        <v>0.46873012163452998</v>
      </c>
      <c r="BI28" s="117">
        <v>-0.275771812617149</v>
      </c>
      <c r="BJ28" s="117">
        <v>0.43459660298228198</v>
      </c>
      <c r="BK28" s="117">
        <v>0.49947816574534898</v>
      </c>
      <c r="BL28" s="117">
        <v>-0.35216259576421299</v>
      </c>
      <c r="BM28" s="117">
        <v>0.29157677836859103</v>
      </c>
      <c r="BN28" s="117">
        <v>-9.21616767009001E-2</v>
      </c>
    </row>
    <row r="29" spans="1:66" hidden="1" x14ac:dyDescent="0.25">
      <c r="A29" t="s">
        <v>151</v>
      </c>
      <c r="B29" s="117">
        <v>8.7847268101886603E-2</v>
      </c>
      <c r="C29" s="117">
        <v>6.5067062378007495E-2</v>
      </c>
      <c r="D29" s="117">
        <v>-9.9182177293207399E-2</v>
      </c>
      <c r="E29" s="117">
        <v>9.0475976194622207E-2</v>
      </c>
      <c r="F29" s="117">
        <v>-3.8334883068863297E-2</v>
      </c>
      <c r="G29" s="117">
        <v>-0.102885906839812</v>
      </c>
      <c r="H29" s="117">
        <v>5.0970599422160097E-2</v>
      </c>
      <c r="I29" s="117">
        <v>-4.4563880486385002E-2</v>
      </c>
      <c r="J29" s="117">
        <v>0.21865873239665801</v>
      </c>
      <c r="K29" s="117">
        <v>0.19789823677368601</v>
      </c>
      <c r="L29" s="117">
        <v>0.20055896545193999</v>
      </c>
      <c r="M29" s="117">
        <v>0.20581640753435201</v>
      </c>
      <c r="N29" s="117">
        <v>0.25340710764357999</v>
      </c>
      <c r="O29" s="117">
        <v>0.13969659476357699</v>
      </c>
      <c r="P29" s="117">
        <v>0.18653617867647701</v>
      </c>
      <c r="Q29" s="117">
        <v>0.167159187052866</v>
      </c>
      <c r="R29" s="117">
        <v>0.243028070003696</v>
      </c>
      <c r="S29" s="117">
        <v>0.15617903068090799</v>
      </c>
      <c r="T29" s="117">
        <v>0.70474971456193802</v>
      </c>
      <c r="U29" s="117">
        <v>0.35480741151585099</v>
      </c>
      <c r="V29" s="117">
        <v>0.300945280069429</v>
      </c>
      <c r="W29" s="117">
        <v>0.69240307740228701</v>
      </c>
      <c r="X29" s="117">
        <v>0.51520903023398201</v>
      </c>
      <c r="Y29" s="117">
        <v>0.45346216230935199</v>
      </c>
      <c r="Z29" s="117">
        <v>0.45346214709666699</v>
      </c>
      <c r="AA29" s="117">
        <v>0.23618932753177599</v>
      </c>
      <c r="AB29" s="117">
        <v>0.44071560468120502</v>
      </c>
      <c r="AC29" s="117">
        <v>1</v>
      </c>
      <c r="AD29" s="117">
        <v>0.999999999999999</v>
      </c>
      <c r="AE29" s="117">
        <v>0.118115732407754</v>
      </c>
      <c r="AF29" s="117">
        <v>0.20401050413435301</v>
      </c>
      <c r="AG29" s="117">
        <v>0.59641420287572799</v>
      </c>
      <c r="AH29" s="117">
        <v>0.24951751853594301</v>
      </c>
      <c r="AI29" s="117">
        <v>9.7218144517487295E-2</v>
      </c>
      <c r="AJ29" s="117">
        <v>0.15259939758604599</v>
      </c>
      <c r="AK29" s="117">
        <v>0.90459156650899997</v>
      </c>
      <c r="AL29" s="117">
        <v>0.25190847850860199</v>
      </c>
      <c r="AM29" s="117">
        <v>-0.160602880370322</v>
      </c>
      <c r="AN29" s="117">
        <v>-0.241955081791627</v>
      </c>
      <c r="AO29" s="117">
        <v>0.177839660290559</v>
      </c>
      <c r="AP29" s="117">
        <v>0.113034623357085</v>
      </c>
      <c r="AQ29" s="117">
        <v>-6.1384095140786701E-2</v>
      </c>
      <c r="AR29" s="117">
        <v>-0.131475399070659</v>
      </c>
      <c r="AS29" s="117">
        <v>-4.9507377148833701E-2</v>
      </c>
      <c r="AT29" s="117">
        <v>-5.8025885318565902E-2</v>
      </c>
      <c r="AU29" s="117">
        <v>-4.9507377148833701E-2</v>
      </c>
      <c r="AV29" s="117">
        <v>7.4410566502829803E-2</v>
      </c>
      <c r="AW29" s="117">
        <v>-0.23471514880876601</v>
      </c>
      <c r="AX29" s="117">
        <v>0.40726696084934699</v>
      </c>
      <c r="AY29" s="117">
        <v>-0.39131971563297502</v>
      </c>
      <c r="AZ29" s="117">
        <v>6.8083452216005605E-2</v>
      </c>
      <c r="BA29" s="117">
        <v>-0.171912496714934</v>
      </c>
      <c r="BB29" s="117">
        <v>-2.3612668032433198E-3</v>
      </c>
      <c r="BC29" s="117">
        <v>0.17280273016706699</v>
      </c>
      <c r="BD29" s="117">
        <v>0.28071536475636699</v>
      </c>
      <c r="BE29" s="117">
        <v>0.65931874164395698</v>
      </c>
      <c r="BF29" s="117">
        <v>0.50843728963018497</v>
      </c>
      <c r="BG29" s="117">
        <v>0.41787986835095298</v>
      </c>
      <c r="BH29" s="117">
        <v>0.132407458617091</v>
      </c>
      <c r="BI29" s="117">
        <v>-8.1183941341664803E-2</v>
      </c>
      <c r="BJ29" s="117">
        <v>0.16012207288209601</v>
      </c>
      <c r="BK29" s="117">
        <v>0.23165982732902299</v>
      </c>
      <c r="BL29" s="117">
        <v>-0.13674858395869299</v>
      </c>
      <c r="BM29" s="117">
        <v>-4.9505894667673002E-2</v>
      </c>
      <c r="BN29" s="117">
        <v>-5.8024738333391598E-2</v>
      </c>
    </row>
    <row r="30" spans="1:66" hidden="1" x14ac:dyDescent="0.25">
      <c r="A30" t="s">
        <v>152</v>
      </c>
      <c r="B30" s="117">
        <v>8.7847268101886603E-2</v>
      </c>
      <c r="C30" s="117">
        <v>6.5067062378007495E-2</v>
      </c>
      <c r="D30" s="117">
        <v>-9.9182177293207399E-2</v>
      </c>
      <c r="E30" s="117">
        <v>9.0475976194622096E-2</v>
      </c>
      <c r="F30" s="117">
        <v>-3.8334883068863297E-2</v>
      </c>
      <c r="G30" s="117">
        <v>-0.102885906839812</v>
      </c>
      <c r="H30" s="117">
        <v>5.0970599422160097E-2</v>
      </c>
      <c r="I30" s="117">
        <v>-4.4563880486385002E-2</v>
      </c>
      <c r="J30" s="117">
        <v>0.21865873239665901</v>
      </c>
      <c r="K30" s="117">
        <v>0.19789823677368601</v>
      </c>
      <c r="L30" s="117">
        <v>0.20055896545193999</v>
      </c>
      <c r="M30" s="117">
        <v>0.20581640753435201</v>
      </c>
      <c r="N30" s="117">
        <v>0.25340710764357999</v>
      </c>
      <c r="O30" s="117">
        <v>0.13969659476357699</v>
      </c>
      <c r="P30" s="117">
        <v>0.18653617867647701</v>
      </c>
      <c r="Q30" s="117">
        <v>0.167159187052866</v>
      </c>
      <c r="R30" s="117">
        <v>0.243028070003696</v>
      </c>
      <c r="S30" s="117">
        <v>0.15617903068090799</v>
      </c>
      <c r="T30" s="117">
        <v>0.70474971456193802</v>
      </c>
      <c r="U30" s="117">
        <v>0.35480741151585099</v>
      </c>
      <c r="V30" s="117">
        <v>0.300945280069429</v>
      </c>
      <c r="W30" s="117">
        <v>0.69240307740228701</v>
      </c>
      <c r="X30" s="117">
        <v>0.51520903023398201</v>
      </c>
      <c r="Y30" s="117">
        <v>0.45346216230935299</v>
      </c>
      <c r="Z30" s="117">
        <v>0.45346214709666699</v>
      </c>
      <c r="AA30" s="117">
        <v>0.23618932753177599</v>
      </c>
      <c r="AB30" s="117">
        <v>0.44071560468120502</v>
      </c>
      <c r="AC30" s="117">
        <v>0.999999999999999</v>
      </c>
      <c r="AD30" s="117">
        <v>1</v>
      </c>
      <c r="AE30" s="117">
        <v>0.118115732407754</v>
      </c>
      <c r="AF30" s="117">
        <v>0.20401050413435301</v>
      </c>
      <c r="AG30" s="117">
        <v>0.59641420287572799</v>
      </c>
      <c r="AH30" s="117">
        <v>0.24951751853594301</v>
      </c>
      <c r="AI30" s="117">
        <v>9.7218144517487295E-2</v>
      </c>
      <c r="AJ30" s="117">
        <v>0.15259939758604599</v>
      </c>
      <c r="AK30" s="117">
        <v>0.90459156650899997</v>
      </c>
      <c r="AL30" s="117">
        <v>0.25190847850860199</v>
      </c>
      <c r="AM30" s="117">
        <v>-0.160602880370322</v>
      </c>
      <c r="AN30" s="117">
        <v>-0.241955081791627</v>
      </c>
      <c r="AO30" s="117">
        <v>0.17783966029056</v>
      </c>
      <c r="AP30" s="117">
        <v>0.113034623357085</v>
      </c>
      <c r="AQ30" s="117">
        <v>-6.1384095140786701E-2</v>
      </c>
      <c r="AR30" s="117">
        <v>-0.131475399070659</v>
      </c>
      <c r="AS30" s="117">
        <v>-4.9507377148833701E-2</v>
      </c>
      <c r="AT30" s="117">
        <v>-5.8025885318565902E-2</v>
      </c>
      <c r="AU30" s="117">
        <v>-4.9507377148833701E-2</v>
      </c>
      <c r="AV30" s="117">
        <v>7.44105665028299E-2</v>
      </c>
      <c r="AW30" s="117">
        <v>-0.23471514880876601</v>
      </c>
      <c r="AX30" s="117">
        <v>0.40726696084934699</v>
      </c>
      <c r="AY30" s="117">
        <v>-0.39131971563297502</v>
      </c>
      <c r="AZ30" s="117">
        <v>6.8083452216005702E-2</v>
      </c>
      <c r="BA30" s="117">
        <v>-0.171912496714934</v>
      </c>
      <c r="BB30" s="117">
        <v>-2.3612668032433398E-3</v>
      </c>
      <c r="BC30" s="117">
        <v>0.17280273016706699</v>
      </c>
      <c r="BD30" s="117">
        <v>0.28071536475636699</v>
      </c>
      <c r="BE30" s="117">
        <v>0.65931874164395698</v>
      </c>
      <c r="BF30" s="117">
        <v>0.50843728963018597</v>
      </c>
      <c r="BG30" s="117">
        <v>0.41787986835095298</v>
      </c>
      <c r="BH30" s="117">
        <v>0.132407458617091</v>
      </c>
      <c r="BI30" s="117">
        <v>-8.1183941341664803E-2</v>
      </c>
      <c r="BJ30" s="117">
        <v>0.16012207288209601</v>
      </c>
      <c r="BK30" s="117">
        <v>0.23165982732902299</v>
      </c>
      <c r="BL30" s="117">
        <v>-0.13674858395869299</v>
      </c>
      <c r="BM30" s="117">
        <v>-4.9505894667673002E-2</v>
      </c>
      <c r="BN30" s="117">
        <v>-5.8024738333391598E-2</v>
      </c>
    </row>
    <row r="31" spans="1:66" hidden="1" x14ac:dyDescent="0.25">
      <c r="A31" t="s">
        <v>153</v>
      </c>
      <c r="B31" s="117">
        <v>0.30852160234959802</v>
      </c>
      <c r="C31" s="117">
        <v>0.28529295769186802</v>
      </c>
      <c r="D31" s="117">
        <v>-0.14027241287588499</v>
      </c>
      <c r="E31" s="117">
        <v>8.4362466985669002E-2</v>
      </c>
      <c r="F31" s="117">
        <v>0.30793107785944701</v>
      </c>
      <c r="G31" s="117">
        <v>6.5626592788223706E-2</v>
      </c>
      <c r="H31" s="117">
        <v>0.107123509822332</v>
      </c>
      <c r="I31" s="117">
        <v>7.08319133312275E-2</v>
      </c>
      <c r="J31" s="117">
        <v>0.19598283530542801</v>
      </c>
      <c r="K31" s="117">
        <v>0.10164628066105701</v>
      </c>
      <c r="L31" s="117">
        <v>9.97343563759885E-2</v>
      </c>
      <c r="M31" s="117">
        <v>0.14186677844794801</v>
      </c>
      <c r="N31" s="117">
        <v>0.30203504394905001</v>
      </c>
      <c r="O31" s="117">
        <v>0.284412731297224</v>
      </c>
      <c r="P31" s="117">
        <v>0.29277212175775802</v>
      </c>
      <c r="Q31" s="117">
        <v>0.28529800437009101</v>
      </c>
      <c r="R31" s="117">
        <v>0.30180076285560298</v>
      </c>
      <c r="S31" s="117">
        <v>0.29065763954590301</v>
      </c>
      <c r="T31" s="117">
        <v>0.245992904702552</v>
      </c>
      <c r="U31" s="117">
        <v>0.240829787595878</v>
      </c>
      <c r="V31" s="117">
        <v>0.22451025565743199</v>
      </c>
      <c r="W31" s="117">
        <v>0.126518897956097</v>
      </c>
      <c r="X31" s="117">
        <v>0.12512069650222901</v>
      </c>
      <c r="Y31" s="117">
        <v>0.18456080388625801</v>
      </c>
      <c r="Z31" s="117">
        <v>0.18456080213963</v>
      </c>
      <c r="AA31" s="117">
        <v>0.263773594682775</v>
      </c>
      <c r="AB31" s="117">
        <v>0.13868922075719101</v>
      </c>
      <c r="AC31" s="117">
        <v>0.118115732407754</v>
      </c>
      <c r="AD31" s="117">
        <v>0.118115732407754</v>
      </c>
      <c r="AE31" s="117">
        <v>1</v>
      </c>
      <c r="AF31" s="117">
        <v>0.18532945579268401</v>
      </c>
      <c r="AG31" s="117">
        <v>0.235938092263977</v>
      </c>
      <c r="AH31" s="117">
        <v>0.85656924821374403</v>
      </c>
      <c r="AI31" s="117">
        <v>0.83072602059627199</v>
      </c>
      <c r="AJ31" s="117">
        <v>2.0181033617798601E-2</v>
      </c>
      <c r="AK31" s="117">
        <v>0.178069932456938</v>
      </c>
      <c r="AL31" s="117">
        <v>0.71028074069490399</v>
      </c>
      <c r="AM31" s="117">
        <v>-7.9075304552025702E-2</v>
      </c>
      <c r="AN31" s="117">
        <v>-0.45072387428195199</v>
      </c>
      <c r="AO31" s="117">
        <v>1.52040907501964E-2</v>
      </c>
      <c r="AP31" s="117">
        <v>-0.22001938704628601</v>
      </c>
      <c r="AQ31" s="117">
        <v>-0.100118113560646</v>
      </c>
      <c r="AR31" s="117">
        <v>8.3397604495822994E-2</v>
      </c>
      <c r="AS31" s="117">
        <v>0.17952760071552301</v>
      </c>
      <c r="AT31" s="117">
        <v>3.4396696307442798E-2</v>
      </c>
      <c r="AU31" s="117">
        <v>-0.22128845325465199</v>
      </c>
      <c r="AV31" s="117">
        <v>-0.30416802136676901</v>
      </c>
      <c r="AW31" s="117">
        <v>-0.235675143039868</v>
      </c>
      <c r="AX31" s="117">
        <v>-9.8221543512726894E-3</v>
      </c>
      <c r="AY31" s="117">
        <v>5.4274227207402097E-2</v>
      </c>
      <c r="AZ31" s="117">
        <v>7.4568204806979094E-2</v>
      </c>
      <c r="BA31" s="117">
        <v>0.290897467341663</v>
      </c>
      <c r="BB31" s="117">
        <v>-6.93096157501608E-2</v>
      </c>
      <c r="BC31" s="117">
        <v>7.2653504800832797E-2</v>
      </c>
      <c r="BD31" s="117">
        <v>0.22647965619212099</v>
      </c>
      <c r="BE31" s="117">
        <v>0.14114205442153599</v>
      </c>
      <c r="BF31" s="117">
        <v>2.87453263149943E-2</v>
      </c>
      <c r="BG31" s="117">
        <v>1.1775709641909499E-3</v>
      </c>
      <c r="BH31" s="117">
        <v>0.16875615192111601</v>
      </c>
      <c r="BI31" s="117">
        <v>-0.50375291116350995</v>
      </c>
      <c r="BJ31" s="117">
        <v>8.09723440491079E-2</v>
      </c>
      <c r="BK31" s="117">
        <v>0.45053792973866902</v>
      </c>
      <c r="BL31" s="117">
        <v>6.4571069648991494E-2</v>
      </c>
      <c r="BM31" s="117">
        <v>0.17769626310155801</v>
      </c>
      <c r="BN31" s="117">
        <v>3.4864737014575001E-2</v>
      </c>
    </row>
    <row r="32" spans="1:66" hidden="1" x14ac:dyDescent="0.25">
      <c r="A32" t="s">
        <v>154</v>
      </c>
      <c r="B32" s="117">
        <v>0.18644356871554901</v>
      </c>
      <c r="C32" s="117">
        <v>0.20173202973332399</v>
      </c>
      <c r="D32" s="117">
        <v>8.3160540176064696E-2</v>
      </c>
      <c r="E32" s="117">
        <v>0.242663789486391</v>
      </c>
      <c r="F32" s="117">
        <v>0.22551642713855399</v>
      </c>
      <c r="G32" s="117">
        <v>-0.18204119041667699</v>
      </c>
      <c r="H32" s="117">
        <v>0.30629021018888802</v>
      </c>
      <c r="I32" s="117">
        <v>0.19629150148135199</v>
      </c>
      <c r="J32" s="117">
        <v>-0.103469528006981</v>
      </c>
      <c r="K32" s="117">
        <v>5.8947465560304703E-2</v>
      </c>
      <c r="L32" s="117">
        <v>6.81589671241878E-2</v>
      </c>
      <c r="M32" s="117">
        <v>9.3310948656010695E-2</v>
      </c>
      <c r="N32" s="117">
        <v>0.22698190242493099</v>
      </c>
      <c r="O32" s="117">
        <v>0.227901535622094</v>
      </c>
      <c r="P32" s="117">
        <v>0.20286840691237801</v>
      </c>
      <c r="Q32" s="117">
        <v>0.2094950733749</v>
      </c>
      <c r="R32" s="117">
        <v>0.22385059066598301</v>
      </c>
      <c r="S32" s="117">
        <v>0.22341757182017599</v>
      </c>
      <c r="T32" s="117">
        <v>0.31386536088216499</v>
      </c>
      <c r="U32" s="117">
        <v>0.35093083020853599</v>
      </c>
      <c r="V32" s="117">
        <v>0.132096753969386</v>
      </c>
      <c r="W32" s="117">
        <v>0.37346572161057501</v>
      </c>
      <c r="X32" s="117">
        <v>0.35565412300495097</v>
      </c>
      <c r="Y32" s="117">
        <v>0.163903111736872</v>
      </c>
      <c r="Z32" s="117">
        <v>0.163903113324113</v>
      </c>
      <c r="AA32" s="117">
        <v>0.42375269646726399</v>
      </c>
      <c r="AB32" s="117">
        <v>0.53652479637939898</v>
      </c>
      <c r="AC32" s="117">
        <v>0.20401050413435301</v>
      </c>
      <c r="AD32" s="117">
        <v>0.20401050413435301</v>
      </c>
      <c r="AE32" s="117">
        <v>0.18532945579268401</v>
      </c>
      <c r="AF32" s="117">
        <v>1</v>
      </c>
      <c r="AG32" s="117">
        <v>0.175593398754809</v>
      </c>
      <c r="AH32" s="117">
        <v>0.65693602173981103</v>
      </c>
      <c r="AI32" s="117">
        <v>0.12890375051255001</v>
      </c>
      <c r="AJ32" s="117">
        <v>0.83461950126642104</v>
      </c>
      <c r="AK32" s="117">
        <v>0.19639982262844299</v>
      </c>
      <c r="AL32" s="117">
        <v>0.52752776083250597</v>
      </c>
      <c r="AM32" s="117">
        <v>-0.190523852491498</v>
      </c>
      <c r="AN32" s="117">
        <v>-0.309719807008004</v>
      </c>
      <c r="AO32" s="117">
        <v>0.29453598050787</v>
      </c>
      <c r="AP32" s="117">
        <v>4.5349744304321402E-3</v>
      </c>
      <c r="AQ32" s="117">
        <v>-0.126603036483211</v>
      </c>
      <c r="AR32" s="117">
        <v>-0.113751487949362</v>
      </c>
      <c r="AS32" s="117">
        <v>-0.113024635692919</v>
      </c>
      <c r="AT32" s="117">
        <v>3.0181002454381999E-2</v>
      </c>
      <c r="AU32" s="117">
        <v>0.13510636811695001</v>
      </c>
      <c r="AV32" s="117">
        <v>-9.8891259428702694E-2</v>
      </c>
      <c r="AW32" s="117">
        <v>-0.105156012571401</v>
      </c>
      <c r="AX32" s="117">
        <v>0.38129169324247503</v>
      </c>
      <c r="AY32" s="117">
        <v>-0.375466510475432</v>
      </c>
      <c r="AZ32" s="117">
        <v>0.214167136851069</v>
      </c>
      <c r="BA32" s="117">
        <v>6.58603120270283E-2</v>
      </c>
      <c r="BB32" s="117">
        <v>-0.248306547922753</v>
      </c>
      <c r="BC32" s="117">
        <v>8.0042883415470806E-2</v>
      </c>
      <c r="BD32" s="117">
        <v>0.42658773456277799</v>
      </c>
      <c r="BE32" s="117">
        <v>0.48839088755537702</v>
      </c>
      <c r="BF32" s="117">
        <v>0.41271461436618601</v>
      </c>
      <c r="BG32" s="117">
        <v>0.40712867998503599</v>
      </c>
      <c r="BH32" s="117">
        <v>0.347792984932422</v>
      </c>
      <c r="BI32" s="117">
        <v>-0.55793874163789303</v>
      </c>
      <c r="BJ32" s="117">
        <v>0.18237321238616</v>
      </c>
      <c r="BK32" s="117">
        <v>0.29609098071672602</v>
      </c>
      <c r="BL32" s="117">
        <v>-0.147457576739391</v>
      </c>
      <c r="BM32" s="117">
        <v>-0.11332309806838101</v>
      </c>
      <c r="BN32" s="117">
        <v>3.0658584968816401E-2</v>
      </c>
    </row>
    <row r="33" spans="1:66" hidden="1" x14ac:dyDescent="0.25">
      <c r="A33" t="s">
        <v>155</v>
      </c>
      <c r="B33" s="117">
        <v>0.32563737142050297</v>
      </c>
      <c r="C33" s="117">
        <v>0.20919141615695</v>
      </c>
      <c r="D33" s="117">
        <v>-0.48349209493324202</v>
      </c>
      <c r="E33" s="117">
        <v>-6.2504584108337702E-2</v>
      </c>
      <c r="F33" s="117">
        <v>-0.16726402925421699</v>
      </c>
      <c r="G33" s="117">
        <v>-7.5366062129687605E-2</v>
      </c>
      <c r="H33" s="117">
        <v>-0.15249086379205001</v>
      </c>
      <c r="I33" s="117">
        <v>-0.28722369809850601</v>
      </c>
      <c r="J33" s="117">
        <v>0.64986303282969105</v>
      </c>
      <c r="K33" s="117">
        <v>0.62176132890107505</v>
      </c>
      <c r="L33" s="117">
        <v>0.61685917141679403</v>
      </c>
      <c r="M33" s="117">
        <v>0.628595213854787</v>
      </c>
      <c r="N33" s="117">
        <v>0.123721732949992</v>
      </c>
      <c r="O33" s="117">
        <v>5.2887046088839297E-2</v>
      </c>
      <c r="P33" s="117">
        <v>0.109470307629788</v>
      </c>
      <c r="Q33" s="117">
        <v>8.1139478447007293E-2</v>
      </c>
      <c r="R33" s="117">
        <v>0.12182407031340201</v>
      </c>
      <c r="S33" s="117">
        <v>6.7989535547653704E-2</v>
      </c>
      <c r="T33" s="117">
        <v>0.48034844189250298</v>
      </c>
      <c r="U33" s="117">
        <v>0.27517654144085302</v>
      </c>
      <c r="V33" s="117">
        <v>-4.4197966259965103E-2</v>
      </c>
      <c r="W33" s="117">
        <v>0.59694284497491201</v>
      </c>
      <c r="X33" s="117">
        <v>0.53550742315456601</v>
      </c>
      <c r="Y33" s="117">
        <v>0.54479482486601705</v>
      </c>
      <c r="Z33" s="117">
        <v>0.54479481792432305</v>
      </c>
      <c r="AA33" s="117">
        <v>0.123080183125933</v>
      </c>
      <c r="AB33" s="117">
        <v>0.35357499994738101</v>
      </c>
      <c r="AC33" s="117">
        <v>0.59641420287572799</v>
      </c>
      <c r="AD33" s="117">
        <v>0.59641420287572799</v>
      </c>
      <c r="AE33" s="117">
        <v>0.235938092263977</v>
      </c>
      <c r="AF33" s="117">
        <v>0.175593398754809</v>
      </c>
      <c r="AG33" s="117">
        <v>1</v>
      </c>
      <c r="AH33" s="117">
        <v>0.36279233947279599</v>
      </c>
      <c r="AI33" s="117">
        <v>0.22054985495371701</v>
      </c>
      <c r="AJ33" s="117">
        <v>-3.1671653548725198E-2</v>
      </c>
      <c r="AK33" s="117">
        <v>0.67505412231753104</v>
      </c>
      <c r="AL33" s="117">
        <v>0.23951679169946899</v>
      </c>
      <c r="AM33" s="117">
        <v>-4.4355694741826199E-2</v>
      </c>
      <c r="AN33" s="117">
        <v>-0.35917433852588199</v>
      </c>
      <c r="AO33" s="117">
        <v>3.3677723047090803E-2</v>
      </c>
      <c r="AP33" s="117">
        <v>0.25820469619603498</v>
      </c>
      <c r="AQ33" s="117">
        <v>-0.15937447693673201</v>
      </c>
      <c r="AR33" s="117">
        <v>0.18734123987009299</v>
      </c>
      <c r="AS33" s="117">
        <v>8.3128963413488993E-2</v>
      </c>
      <c r="AT33" s="117">
        <v>0.27280091191938699</v>
      </c>
      <c r="AU33" s="117">
        <v>-0.105820464045443</v>
      </c>
      <c r="AV33" s="117">
        <v>-0.17056077285923599</v>
      </c>
      <c r="AW33" s="117">
        <v>-0.213382608111681</v>
      </c>
      <c r="AX33" s="117">
        <v>0.41161642752234701</v>
      </c>
      <c r="AY33" s="117">
        <v>-0.41333231611243598</v>
      </c>
      <c r="AZ33" s="117">
        <v>-8.0075781813757504E-2</v>
      </c>
      <c r="BA33" s="117">
        <v>-0.231947315786911</v>
      </c>
      <c r="BB33" s="117">
        <v>0.23108055719555401</v>
      </c>
      <c r="BC33" s="117">
        <v>0.60321887075014002</v>
      </c>
      <c r="BD33" s="117">
        <v>0.111264465064674</v>
      </c>
      <c r="BE33" s="117">
        <v>0.380269274516574</v>
      </c>
      <c r="BF33" s="117">
        <v>0.44280644933609697</v>
      </c>
      <c r="BG33" s="117">
        <v>0.33217671337068</v>
      </c>
      <c r="BH33" s="117">
        <v>-5.6927607738037497E-2</v>
      </c>
      <c r="BI33" s="117">
        <v>-0.20858054903443601</v>
      </c>
      <c r="BJ33" s="117">
        <v>4.8854383952981903E-2</v>
      </c>
      <c r="BK33" s="117">
        <v>0.36200220592114901</v>
      </c>
      <c r="BL33" s="117">
        <v>0.16358978741690899</v>
      </c>
      <c r="BM33" s="117">
        <v>8.13176012962918E-2</v>
      </c>
      <c r="BN33" s="117">
        <v>0.27021405825980899</v>
      </c>
    </row>
    <row r="34" spans="1:66" hidden="1" x14ac:dyDescent="0.25">
      <c r="A34" t="s">
        <v>63</v>
      </c>
      <c r="B34" s="117">
        <v>0.35448645473897</v>
      </c>
      <c r="C34" s="117">
        <v>0.33332999876951902</v>
      </c>
      <c r="D34" s="117">
        <v>-0.11038383040587001</v>
      </c>
      <c r="E34" s="117">
        <v>0.17804348991618299</v>
      </c>
      <c r="F34" s="117">
        <v>0.32436711934539503</v>
      </c>
      <c r="G34" s="117">
        <v>-5.0412768462096198E-2</v>
      </c>
      <c r="H34" s="117">
        <v>0.21783867053946601</v>
      </c>
      <c r="I34" s="117">
        <v>0.12226257400531799</v>
      </c>
      <c r="J34" s="117">
        <v>0.15804572790492699</v>
      </c>
      <c r="K34" s="117">
        <v>0.16700992845769999</v>
      </c>
      <c r="L34" s="117">
        <v>0.169731400939924</v>
      </c>
      <c r="M34" s="117">
        <v>0.214711129532208</v>
      </c>
      <c r="N34" s="117">
        <v>0.34984910004549902</v>
      </c>
      <c r="O34" s="117">
        <v>0.33018663284243099</v>
      </c>
      <c r="P34" s="117">
        <v>0.32945901425054303</v>
      </c>
      <c r="Q34" s="117">
        <v>0.32442321507920202</v>
      </c>
      <c r="R34" s="117">
        <v>0.34791323340401598</v>
      </c>
      <c r="S34" s="117">
        <v>0.33406584756185098</v>
      </c>
      <c r="T34" s="117">
        <v>0.387695988317385</v>
      </c>
      <c r="U34" s="117">
        <v>0.381967854524984</v>
      </c>
      <c r="V34" s="117">
        <v>0.22803609221560101</v>
      </c>
      <c r="W34" s="117">
        <v>0.34089634566339</v>
      </c>
      <c r="X34" s="117">
        <v>0.32477039028375398</v>
      </c>
      <c r="Y34" s="117">
        <v>0.27337177550115999</v>
      </c>
      <c r="Z34" s="117">
        <v>0.27337177431164</v>
      </c>
      <c r="AA34" s="117">
        <v>0.42030356242886002</v>
      </c>
      <c r="AB34" s="117">
        <v>0.40745215536706098</v>
      </c>
      <c r="AC34" s="117">
        <v>0.24951751853594301</v>
      </c>
      <c r="AD34" s="117">
        <v>0.24951751853594301</v>
      </c>
      <c r="AE34" s="117">
        <v>0.85656924821374403</v>
      </c>
      <c r="AF34" s="117">
        <v>0.65693602173981103</v>
      </c>
      <c r="AG34" s="117">
        <v>0.36279233947279599</v>
      </c>
      <c r="AH34" s="117">
        <v>1</v>
      </c>
      <c r="AI34" s="117">
        <v>0.70144673152379899</v>
      </c>
      <c r="AJ34" s="117">
        <v>0.43094948946876399</v>
      </c>
      <c r="AK34" s="117">
        <v>0.29792098213205598</v>
      </c>
      <c r="AL34" s="117">
        <v>0.81443641455439397</v>
      </c>
      <c r="AM34" s="117">
        <v>-0.158634022231532</v>
      </c>
      <c r="AN34" s="117">
        <v>-0.52497002449331598</v>
      </c>
      <c r="AO34" s="117">
        <v>0.162548332518163</v>
      </c>
      <c r="AP34" s="117">
        <v>-0.134682480506404</v>
      </c>
      <c r="AQ34" s="117">
        <v>-0.15360493605196901</v>
      </c>
      <c r="AR34" s="117">
        <v>2.3313676981479101E-2</v>
      </c>
      <c r="AS34" s="117">
        <v>8.4379265177279103E-2</v>
      </c>
      <c r="AT34" s="117">
        <v>6.7897237260531498E-2</v>
      </c>
      <c r="AU34" s="117">
        <v>-0.106456945506965</v>
      </c>
      <c r="AV34" s="117">
        <v>-0.29177945572882602</v>
      </c>
      <c r="AW34" s="117">
        <v>-0.24853260435784999</v>
      </c>
      <c r="AX34" s="117">
        <v>0.22541120624674801</v>
      </c>
      <c r="AY34" s="117">
        <v>-0.189767692502608</v>
      </c>
      <c r="AZ34" s="117">
        <v>0.15472675206957501</v>
      </c>
      <c r="BA34" s="117">
        <v>0.22510670829291099</v>
      </c>
      <c r="BB34" s="117">
        <v>-0.15287690321823899</v>
      </c>
      <c r="BC34" s="117">
        <v>0.15429884018196999</v>
      </c>
      <c r="BD34" s="117">
        <v>0.392952217767851</v>
      </c>
      <c r="BE34" s="117">
        <v>0.38776213264313703</v>
      </c>
      <c r="BF34" s="117">
        <v>0.27284890234147202</v>
      </c>
      <c r="BG34" s="117">
        <v>0.23857969036054699</v>
      </c>
      <c r="BH34" s="117">
        <v>0.29384403141611498</v>
      </c>
      <c r="BI34" s="117">
        <v>-0.673808527298426</v>
      </c>
      <c r="BJ34" s="117">
        <v>0.156393991973446</v>
      </c>
      <c r="BK34" s="117">
        <v>0.51827027637520395</v>
      </c>
      <c r="BL34" s="117">
        <v>-9.9205766195513793E-3</v>
      </c>
      <c r="BM34" s="117">
        <v>8.2693184667937E-2</v>
      </c>
      <c r="BN34" s="117">
        <v>6.8224626818556205E-2</v>
      </c>
    </row>
    <row r="35" spans="1:66" hidden="1" x14ac:dyDescent="0.25">
      <c r="A35" t="s">
        <v>156</v>
      </c>
      <c r="B35" s="117">
        <v>0.28885129786179098</v>
      </c>
      <c r="C35" s="117">
        <v>0.30727706368534802</v>
      </c>
      <c r="D35" s="117">
        <v>5.3553265554473199E-2</v>
      </c>
      <c r="E35" s="117">
        <v>0.22207677757401301</v>
      </c>
      <c r="F35" s="117">
        <v>0.276643843349828</v>
      </c>
      <c r="G35" s="117">
        <v>-0.12584352859141801</v>
      </c>
      <c r="H35" s="117">
        <v>0.26675366795896499</v>
      </c>
      <c r="I35" s="117">
        <v>0.146400107236555</v>
      </c>
      <c r="J35" s="117">
        <v>2.6109343622643E-2</v>
      </c>
      <c r="K35" s="117">
        <v>-4.5120165834780103E-2</v>
      </c>
      <c r="L35" s="117">
        <v>-6.0584566404715198E-2</v>
      </c>
      <c r="M35" s="117">
        <v>-2.1667741561088701E-2</v>
      </c>
      <c r="N35" s="117">
        <v>0.28498170786920102</v>
      </c>
      <c r="O35" s="117">
        <v>0.25747629237217101</v>
      </c>
      <c r="P35" s="117">
        <v>0.29488294127134401</v>
      </c>
      <c r="Q35" s="117">
        <v>0.28474427562586502</v>
      </c>
      <c r="R35" s="117">
        <v>0.28797241841508098</v>
      </c>
      <c r="S35" s="117">
        <v>0.27626628536256997</v>
      </c>
      <c r="T35" s="117">
        <v>0.252884690163376</v>
      </c>
      <c r="U35" s="117">
        <v>0.25786654135366499</v>
      </c>
      <c r="V35" s="117">
        <v>0.37151017617916499</v>
      </c>
      <c r="W35" s="117">
        <v>0.15834300143629501</v>
      </c>
      <c r="X35" s="117">
        <v>0.170666426790124</v>
      </c>
      <c r="Y35" s="117">
        <v>0.23594805961399401</v>
      </c>
      <c r="Z35" s="117">
        <v>0.235948058781008</v>
      </c>
      <c r="AA35" s="117">
        <v>0.23756002645694099</v>
      </c>
      <c r="AB35" s="117">
        <v>0.15267452033819401</v>
      </c>
      <c r="AC35" s="117">
        <v>9.7218144517487295E-2</v>
      </c>
      <c r="AD35" s="117">
        <v>9.7218144517487295E-2</v>
      </c>
      <c r="AE35" s="117">
        <v>0.83072602059627199</v>
      </c>
      <c r="AF35" s="117">
        <v>0.12890375051255001</v>
      </c>
      <c r="AG35" s="117">
        <v>0.22054985495371701</v>
      </c>
      <c r="AH35" s="117">
        <v>0.70144673152379899</v>
      </c>
      <c r="AI35" s="117">
        <v>1</v>
      </c>
      <c r="AJ35" s="117">
        <v>4.6568741766221097E-2</v>
      </c>
      <c r="AK35" s="117">
        <v>0.18804018235950701</v>
      </c>
      <c r="AL35" s="117">
        <v>0.86281706266361902</v>
      </c>
      <c r="AM35" s="117">
        <v>-0.154038008837622</v>
      </c>
      <c r="AN35" s="117">
        <v>-0.44256051459560802</v>
      </c>
      <c r="AO35" s="117">
        <v>0.11754211928408401</v>
      </c>
      <c r="AP35" s="117">
        <v>-0.14878623669305799</v>
      </c>
      <c r="AQ35" s="117">
        <v>-0.30868583961325202</v>
      </c>
      <c r="AR35" s="117">
        <v>-0.15144908024687101</v>
      </c>
      <c r="AS35" s="117">
        <v>0.25170816135614699</v>
      </c>
      <c r="AT35" s="117">
        <v>-7.2548829331496895E-2</v>
      </c>
      <c r="AU35" s="117">
        <v>-0.19790254008865699</v>
      </c>
      <c r="AV35" s="117">
        <v>-0.33871007897890698</v>
      </c>
      <c r="AW35" s="117">
        <v>-0.14520991540591199</v>
      </c>
      <c r="AX35" s="117">
        <v>-1.4066941339149101E-2</v>
      </c>
      <c r="AY35" s="117">
        <v>1.52558807130224E-3</v>
      </c>
      <c r="AZ35" s="117">
        <v>0.24579367596172599</v>
      </c>
      <c r="BA35" s="117">
        <v>0.24544535387109001</v>
      </c>
      <c r="BB35" s="117">
        <v>-0.14242115326280699</v>
      </c>
      <c r="BC35" s="117">
        <v>-9.2382354731049401E-2</v>
      </c>
      <c r="BD35" s="117">
        <v>0.33307763735219398</v>
      </c>
      <c r="BE35" s="117">
        <v>0.140984600359506</v>
      </c>
      <c r="BF35" s="117">
        <v>8.5401549481971706E-2</v>
      </c>
      <c r="BG35" s="117">
        <v>0.174390624663458</v>
      </c>
      <c r="BH35" s="117">
        <v>0.287611961765879</v>
      </c>
      <c r="BI35" s="117">
        <v>-0.471222191151906</v>
      </c>
      <c r="BJ35" s="117">
        <v>0.152589023445831</v>
      </c>
      <c r="BK35" s="117">
        <v>0.43416636147537602</v>
      </c>
      <c r="BL35" s="117">
        <v>-0.122053909461608</v>
      </c>
      <c r="BM35" s="117">
        <v>0.24965975833383799</v>
      </c>
      <c r="BN35" s="117">
        <v>-7.2706258518940595E-2</v>
      </c>
    </row>
    <row r="36" spans="1:66" hidden="1" x14ac:dyDescent="0.25">
      <c r="A36" t="s">
        <v>157</v>
      </c>
      <c r="B36" s="117">
        <v>0.19797581240283499</v>
      </c>
      <c r="C36" s="117">
        <v>0.26972021047817102</v>
      </c>
      <c r="D36" s="117">
        <v>0.32323774712751602</v>
      </c>
      <c r="E36" s="117">
        <v>0.50992519967396599</v>
      </c>
      <c r="F36" s="117">
        <v>0.48964428333334997</v>
      </c>
      <c r="G36" s="117">
        <v>-0.14915610204839599</v>
      </c>
      <c r="H36" s="117">
        <v>0.53985950598181798</v>
      </c>
      <c r="I36" s="117">
        <v>0.46504501672831799</v>
      </c>
      <c r="J36" s="117">
        <v>-0.30580550657500299</v>
      </c>
      <c r="K36" s="117">
        <v>-0.174356932960715</v>
      </c>
      <c r="L36" s="117">
        <v>-0.172739556340053</v>
      </c>
      <c r="M36" s="117">
        <v>-0.14785585868555601</v>
      </c>
      <c r="N36" s="117">
        <v>0.375012975650719</v>
      </c>
      <c r="O36" s="117">
        <v>0.41538985988612098</v>
      </c>
      <c r="P36" s="117">
        <v>0.31451140954124901</v>
      </c>
      <c r="Q36" s="117">
        <v>0.32445654924349898</v>
      </c>
      <c r="R36" s="117">
        <v>0.36627957911050602</v>
      </c>
      <c r="S36" s="117">
        <v>0.37873464019987202</v>
      </c>
      <c r="T36" s="117">
        <v>0.33291927148278</v>
      </c>
      <c r="U36" s="117">
        <v>0.41440558546869899</v>
      </c>
      <c r="V36" s="117">
        <v>0.47051929644910701</v>
      </c>
      <c r="W36" s="117">
        <v>0.33371743916792901</v>
      </c>
      <c r="X36" s="117">
        <v>0.32400507331020401</v>
      </c>
      <c r="Y36" s="117">
        <v>0.13431069085900901</v>
      </c>
      <c r="Z36" s="117">
        <v>0.13431069318091399</v>
      </c>
      <c r="AA36" s="117">
        <v>0.60666996100840298</v>
      </c>
      <c r="AB36" s="117">
        <v>0.59278150315952804</v>
      </c>
      <c r="AC36" s="117">
        <v>0.15259939758604599</v>
      </c>
      <c r="AD36" s="117">
        <v>0.15259939758604599</v>
      </c>
      <c r="AE36" s="117">
        <v>2.0181033617798601E-2</v>
      </c>
      <c r="AF36" s="117">
        <v>0.83461950126642104</v>
      </c>
      <c r="AG36" s="117">
        <v>-3.1671653548725198E-2</v>
      </c>
      <c r="AH36" s="117">
        <v>0.43094948946876399</v>
      </c>
      <c r="AI36" s="117">
        <v>4.6568741766221097E-2</v>
      </c>
      <c r="AJ36" s="117">
        <v>1</v>
      </c>
      <c r="AK36" s="117">
        <v>0.14595080346748099</v>
      </c>
      <c r="AL36" s="117">
        <v>0.53382869092400898</v>
      </c>
      <c r="AM36" s="117">
        <v>-0.33458879012109699</v>
      </c>
      <c r="AN36" s="117">
        <v>-0.30117484765743702</v>
      </c>
      <c r="AO36" s="117">
        <v>0.49849946118164901</v>
      </c>
      <c r="AP36" s="117">
        <v>-0.246653943821213</v>
      </c>
      <c r="AQ36" s="117">
        <v>-7.2225225187326506E-2</v>
      </c>
      <c r="AR36" s="117">
        <v>-0.424525101835315</v>
      </c>
      <c r="AS36" s="117">
        <v>-0.13747327126120701</v>
      </c>
      <c r="AT36" s="117">
        <v>-8.4263409270140796E-2</v>
      </c>
      <c r="AU36" s="117">
        <v>7.4648900272771199E-2</v>
      </c>
      <c r="AV36" s="117">
        <v>-8.4084253386435395E-2</v>
      </c>
      <c r="AW36" s="117">
        <v>-8.65727344099195E-2</v>
      </c>
      <c r="AX36" s="117">
        <v>0.25283376802201102</v>
      </c>
      <c r="AY36" s="117">
        <v>-0.206280779470701</v>
      </c>
      <c r="AZ36" s="117">
        <v>0.48451589302306902</v>
      </c>
      <c r="BA36" s="117">
        <v>0.287330444584879</v>
      </c>
      <c r="BB36" s="117">
        <v>-0.482280828364688</v>
      </c>
      <c r="BC36" s="117">
        <v>-0.18741576730499901</v>
      </c>
      <c r="BD36" s="117">
        <v>0.613695121004732</v>
      </c>
      <c r="BE36" s="117">
        <v>0.50769781551947002</v>
      </c>
      <c r="BF36" s="117">
        <v>0.369230781453604</v>
      </c>
      <c r="BG36" s="117">
        <v>0.38339245429626101</v>
      </c>
      <c r="BH36" s="117">
        <v>0.589483039426831</v>
      </c>
      <c r="BI36" s="117">
        <v>-0.47635983718018499</v>
      </c>
      <c r="BJ36" s="117">
        <v>0.32510566587746598</v>
      </c>
      <c r="BK36" s="117">
        <v>0.27534080121917898</v>
      </c>
      <c r="BL36" s="117">
        <v>-0.43793321119703099</v>
      </c>
      <c r="BM36" s="117">
        <v>-0.137971941321928</v>
      </c>
      <c r="BN36" s="117">
        <v>-8.4009848405554893E-2</v>
      </c>
    </row>
    <row r="37" spans="1:66" hidden="1" x14ac:dyDescent="0.25">
      <c r="A37" t="s">
        <v>158</v>
      </c>
      <c r="B37" s="117">
        <v>0.191478768403571</v>
      </c>
      <c r="C37" s="117">
        <v>0.164113800743872</v>
      </c>
      <c r="D37" s="117">
        <v>-0.11062126355032</v>
      </c>
      <c r="E37" s="117">
        <v>0.113076964210978</v>
      </c>
      <c r="F37" s="117">
        <v>-7.3687044415832001E-2</v>
      </c>
      <c r="G37" s="117">
        <v>-0.18196268223175599</v>
      </c>
      <c r="H37" s="117">
        <v>4.9463073019266002E-2</v>
      </c>
      <c r="I37" s="117">
        <v>-6.8995793251301299E-2</v>
      </c>
      <c r="J37" s="117">
        <v>0.27438036769019403</v>
      </c>
      <c r="K37" s="117">
        <v>0.24474403450670201</v>
      </c>
      <c r="L37" s="117">
        <v>0.25265680943088697</v>
      </c>
      <c r="M37" s="117">
        <v>0.26036282980950798</v>
      </c>
      <c r="N37" s="117">
        <v>0.31592608838303798</v>
      </c>
      <c r="O37" s="117">
        <v>0.210995724445948</v>
      </c>
      <c r="P37" s="117">
        <v>0.28943278711798898</v>
      </c>
      <c r="Q37" s="117">
        <v>0.25040701169706497</v>
      </c>
      <c r="R37" s="117">
        <v>0.31278573759231199</v>
      </c>
      <c r="S37" s="117">
        <v>0.234864208439692</v>
      </c>
      <c r="T37" s="117">
        <v>0.78599786537199601</v>
      </c>
      <c r="U37" s="117">
        <v>0.49640752260878601</v>
      </c>
      <c r="V37" s="117">
        <v>0.31393125714898101</v>
      </c>
      <c r="W37" s="117">
        <v>0.88037908782338403</v>
      </c>
      <c r="X37" s="117">
        <v>0.78106378290643996</v>
      </c>
      <c r="Y37" s="117">
        <v>0.78812386575272597</v>
      </c>
      <c r="Z37" s="117">
        <v>0.788123854940739</v>
      </c>
      <c r="AA37" s="117">
        <v>0.31259044076778097</v>
      </c>
      <c r="AB37" s="117">
        <v>0.58609258200308301</v>
      </c>
      <c r="AC37" s="117">
        <v>0.90459156650899997</v>
      </c>
      <c r="AD37" s="117">
        <v>0.90459156650899997</v>
      </c>
      <c r="AE37" s="117">
        <v>0.178069932456938</v>
      </c>
      <c r="AF37" s="117">
        <v>0.19639982262844299</v>
      </c>
      <c r="AG37" s="117">
        <v>0.67505412231753104</v>
      </c>
      <c r="AH37" s="117">
        <v>0.29792098213205598</v>
      </c>
      <c r="AI37" s="117">
        <v>0.18804018235950701</v>
      </c>
      <c r="AJ37" s="117">
        <v>0.14595080346748099</v>
      </c>
      <c r="AK37" s="117">
        <v>1</v>
      </c>
      <c r="AL37" s="117">
        <v>0.33362607975000502</v>
      </c>
      <c r="AM37" s="117">
        <v>-0.29561836653620799</v>
      </c>
      <c r="AN37" s="117">
        <v>-0.319866805225341</v>
      </c>
      <c r="AO37" s="117">
        <v>0.20674256115916401</v>
      </c>
      <c r="AP37" s="117">
        <v>0.15492104264661999</v>
      </c>
      <c r="AQ37" s="117">
        <v>-9.7782689794222902E-2</v>
      </c>
      <c r="AR37" s="117">
        <v>-0.17855291984619301</v>
      </c>
      <c r="AS37" s="117">
        <v>0.192573800179619</v>
      </c>
      <c r="AT37" s="117">
        <v>-7.78247956011726E-2</v>
      </c>
      <c r="AU37" s="117">
        <v>-6.8027602366311404E-2</v>
      </c>
      <c r="AV37" s="117">
        <v>2.6278906116221499E-2</v>
      </c>
      <c r="AW37" s="117">
        <v>-0.26620972000989102</v>
      </c>
      <c r="AX37" s="117">
        <v>0.50420100033700499</v>
      </c>
      <c r="AY37" s="117">
        <v>-0.49028456109285701</v>
      </c>
      <c r="AZ37" s="117">
        <v>8.6566078249695505E-2</v>
      </c>
      <c r="BA37" s="117">
        <v>-0.2384431217271</v>
      </c>
      <c r="BB37" s="117">
        <v>1.6174754091535001E-2</v>
      </c>
      <c r="BC37" s="117">
        <v>0.219660554370669</v>
      </c>
      <c r="BD37" s="117">
        <v>0.37797557763009998</v>
      </c>
      <c r="BE37" s="117">
        <v>0.64143085422619395</v>
      </c>
      <c r="BF37" s="117">
        <v>0.68376706050070801</v>
      </c>
      <c r="BG37" s="117">
        <v>0.57431627440188104</v>
      </c>
      <c r="BH37" s="117">
        <v>0.17861575339187</v>
      </c>
      <c r="BI37" s="117">
        <v>-0.114086598352327</v>
      </c>
      <c r="BJ37" s="117">
        <v>0.30116793263249803</v>
      </c>
      <c r="BK37" s="117">
        <v>0.30644139342426802</v>
      </c>
      <c r="BL37" s="117">
        <v>-0.18567384937954901</v>
      </c>
      <c r="BM37" s="117">
        <v>0.19041711204481401</v>
      </c>
      <c r="BN37" s="117">
        <v>-7.7840906703711396E-2</v>
      </c>
    </row>
    <row r="38" spans="1:66" hidden="1" x14ac:dyDescent="0.25">
      <c r="A38" t="s">
        <v>64</v>
      </c>
      <c r="B38" s="117">
        <v>0.35274888977928398</v>
      </c>
      <c r="C38" s="117">
        <v>0.39927515379860901</v>
      </c>
      <c r="D38" s="117">
        <v>0.18685018120986099</v>
      </c>
      <c r="E38" s="117">
        <v>0.43905384953121601</v>
      </c>
      <c r="F38" s="117">
        <v>0.45362507680810799</v>
      </c>
      <c r="G38" s="117">
        <v>-0.194639894928514</v>
      </c>
      <c r="H38" s="117">
        <v>0.48308099763735501</v>
      </c>
      <c r="I38" s="117">
        <v>0.33555210390690698</v>
      </c>
      <c r="J38" s="117">
        <v>-9.5250727439296398E-2</v>
      </c>
      <c r="K38" s="117">
        <v>-9.3842846389617998E-2</v>
      </c>
      <c r="L38" s="117">
        <v>-0.104880288279491</v>
      </c>
      <c r="M38" s="117">
        <v>-6.0192975225588502E-2</v>
      </c>
      <c r="N38" s="117">
        <v>0.44811620138529601</v>
      </c>
      <c r="O38" s="117">
        <v>0.43344833068030503</v>
      </c>
      <c r="P38" s="117">
        <v>0.42431369643984701</v>
      </c>
      <c r="Q38" s="117">
        <v>0.41650032259521402</v>
      </c>
      <c r="R38" s="117">
        <v>0.44603541295829202</v>
      </c>
      <c r="S38" s="117">
        <v>0.43388393824291999</v>
      </c>
      <c r="T38" s="117">
        <v>0.453054820069343</v>
      </c>
      <c r="U38" s="117">
        <v>0.46453256413841498</v>
      </c>
      <c r="V38" s="117">
        <v>0.56465439851179999</v>
      </c>
      <c r="W38" s="117">
        <v>0.38625238288013097</v>
      </c>
      <c r="X38" s="117">
        <v>0.38082819617402802</v>
      </c>
      <c r="Y38" s="117">
        <v>0.34413385448790601</v>
      </c>
      <c r="Z38" s="117">
        <v>0.34413385373539901</v>
      </c>
      <c r="AA38" s="117">
        <v>0.51998987891905601</v>
      </c>
      <c r="AB38" s="117">
        <v>0.473663331934492</v>
      </c>
      <c r="AC38" s="117">
        <v>0.25190847850860199</v>
      </c>
      <c r="AD38" s="117">
        <v>0.25190847850860199</v>
      </c>
      <c r="AE38" s="117">
        <v>0.71028074069490399</v>
      </c>
      <c r="AF38" s="117">
        <v>0.52752776083250597</v>
      </c>
      <c r="AG38" s="117">
        <v>0.23951679169946899</v>
      </c>
      <c r="AH38" s="117">
        <v>0.81443641455439397</v>
      </c>
      <c r="AI38" s="117">
        <v>0.86281706266361902</v>
      </c>
      <c r="AJ38" s="117">
        <v>0.53382869092400898</v>
      </c>
      <c r="AK38" s="117">
        <v>0.33362607975000502</v>
      </c>
      <c r="AL38" s="117">
        <v>1</v>
      </c>
      <c r="AM38" s="117">
        <v>-0.31914256306968097</v>
      </c>
      <c r="AN38" s="117">
        <v>-0.54232807042480802</v>
      </c>
      <c r="AO38" s="117">
        <v>0.35811637495853998</v>
      </c>
      <c r="AP38" s="117">
        <v>-0.223348103305958</v>
      </c>
      <c r="AQ38" s="117">
        <v>-0.298437570993353</v>
      </c>
      <c r="AR38" s="117">
        <v>-0.34734795764896198</v>
      </c>
      <c r="AS38" s="117">
        <v>0.161509000703568</v>
      </c>
      <c r="AT38" s="117">
        <v>-0.10841908961027601</v>
      </c>
      <c r="AU38" s="117">
        <v>-0.13389825102295599</v>
      </c>
      <c r="AV38" s="117">
        <v>-0.315165188261889</v>
      </c>
      <c r="AW38" s="117">
        <v>-0.189719063715552</v>
      </c>
      <c r="AX38" s="117">
        <v>0.164925626134973</v>
      </c>
      <c r="AY38" s="117">
        <v>-0.15135497244638199</v>
      </c>
      <c r="AZ38" s="117">
        <v>0.44340971015925201</v>
      </c>
      <c r="BA38" s="117">
        <v>0.31296938557666298</v>
      </c>
      <c r="BB38" s="117">
        <v>-0.34633823338949599</v>
      </c>
      <c r="BC38" s="117">
        <v>-0.141602289886927</v>
      </c>
      <c r="BD38" s="117">
        <v>0.60883047050804295</v>
      </c>
      <c r="BE38" s="117">
        <v>0.42932276858511897</v>
      </c>
      <c r="BF38" s="117">
        <v>0.32196467356959002</v>
      </c>
      <c r="BG38" s="117">
        <v>0.389741104858149</v>
      </c>
      <c r="BH38" s="117">
        <v>0.53812069632474602</v>
      </c>
      <c r="BI38" s="117">
        <v>-0.62733813459523902</v>
      </c>
      <c r="BJ38" s="117">
        <v>0.31401309825867102</v>
      </c>
      <c r="BK38" s="117">
        <v>0.52158447547296105</v>
      </c>
      <c r="BL38" s="117">
        <v>-0.33045772566782</v>
      </c>
      <c r="BM38" s="117">
        <v>0.15935428213594299</v>
      </c>
      <c r="BN38" s="117">
        <v>-0.10842830250883401</v>
      </c>
    </row>
    <row r="39" spans="1:66" hidden="1" x14ac:dyDescent="0.25">
      <c r="A39" t="s">
        <v>67</v>
      </c>
      <c r="B39" s="117">
        <v>-0.151636344165543</v>
      </c>
      <c r="C39" s="117">
        <v>-0.23281025482635001</v>
      </c>
      <c r="D39" s="117">
        <v>-0.38423089371467301</v>
      </c>
      <c r="E39" s="117">
        <v>-0.60240919542558602</v>
      </c>
      <c r="F39" s="117">
        <v>-0.254606850296618</v>
      </c>
      <c r="G39" s="117">
        <v>0.200264306897706</v>
      </c>
      <c r="H39" s="117">
        <v>-0.53203555326589302</v>
      </c>
      <c r="I39" s="117">
        <v>-0.40834509946886699</v>
      </c>
      <c r="J39" s="117">
        <v>0.113296510222337</v>
      </c>
      <c r="K39" s="117">
        <v>0.14809325333016099</v>
      </c>
      <c r="L39" s="117">
        <v>6.5919043444863004E-2</v>
      </c>
      <c r="M39" s="117">
        <v>3.0022669090159899E-2</v>
      </c>
      <c r="N39" s="117">
        <v>-0.329858171803939</v>
      </c>
      <c r="O39" s="117">
        <v>-0.28197827753301502</v>
      </c>
      <c r="P39" s="117">
        <v>-0.37995256011789202</v>
      </c>
      <c r="Q39" s="117">
        <v>-0.36599149316763102</v>
      </c>
      <c r="R39" s="117">
        <v>-0.339976247709041</v>
      </c>
      <c r="S39" s="117">
        <v>-0.32943360698443502</v>
      </c>
      <c r="T39" s="117">
        <v>-0.39868780520464597</v>
      </c>
      <c r="U39" s="117">
        <v>-0.42819254723588301</v>
      </c>
      <c r="V39" s="117">
        <v>-0.489173823074878</v>
      </c>
      <c r="W39" s="117">
        <v>-0.38629338704243898</v>
      </c>
      <c r="X39" s="117">
        <v>-0.41262588209800399</v>
      </c>
      <c r="Y39" s="117">
        <v>-0.39973139869461999</v>
      </c>
      <c r="Z39" s="117">
        <v>-0.39973140004453001</v>
      </c>
      <c r="AA39" s="117">
        <v>-0.38596056508527299</v>
      </c>
      <c r="AB39" s="117">
        <v>-0.43069833018180298</v>
      </c>
      <c r="AC39" s="117">
        <v>-0.160602880370322</v>
      </c>
      <c r="AD39" s="117">
        <v>-0.160602880370322</v>
      </c>
      <c r="AE39" s="117">
        <v>-7.9075304552025702E-2</v>
      </c>
      <c r="AF39" s="117">
        <v>-0.190523852491498</v>
      </c>
      <c r="AG39" s="117">
        <v>-4.4355694741826199E-2</v>
      </c>
      <c r="AH39" s="117">
        <v>-0.158634022231532</v>
      </c>
      <c r="AI39" s="117">
        <v>-0.154038008837622</v>
      </c>
      <c r="AJ39" s="117">
        <v>-0.33458879012109699</v>
      </c>
      <c r="AK39" s="117">
        <v>-0.29561836653620799</v>
      </c>
      <c r="AL39" s="117">
        <v>-0.31914256306968097</v>
      </c>
      <c r="AM39" s="117">
        <v>1</v>
      </c>
      <c r="AN39" s="117">
        <v>8.16961374212406E-2</v>
      </c>
      <c r="AO39" s="117">
        <v>-0.49199122369145698</v>
      </c>
      <c r="AP39" s="117">
        <v>0.20425946056313499</v>
      </c>
      <c r="AQ39" s="117">
        <v>9.9534960980508097E-2</v>
      </c>
      <c r="AR39" s="117">
        <v>0.66443135788691998</v>
      </c>
      <c r="AS39" s="117">
        <v>-0.27597980086986401</v>
      </c>
      <c r="AT39" s="117">
        <v>5.3998212983891798E-2</v>
      </c>
      <c r="AU39" s="117">
        <v>-0.25122076062036702</v>
      </c>
      <c r="AV39" s="117">
        <v>-0.14856158655020499</v>
      </c>
      <c r="AW39" s="117">
        <v>4.6687377668957697E-2</v>
      </c>
      <c r="AX39" s="117">
        <v>-0.40586614075484601</v>
      </c>
      <c r="AY39" s="117">
        <v>0.32258765962839198</v>
      </c>
      <c r="AZ39" s="117">
        <v>-0.55932786411370095</v>
      </c>
      <c r="BA39" s="117">
        <v>2.3294363258769199E-2</v>
      </c>
      <c r="BB39" s="117">
        <v>0.39891357738150901</v>
      </c>
      <c r="BC39" s="117">
        <v>7.9236521160699097E-2</v>
      </c>
      <c r="BD39" s="117">
        <v>-0.50790037947031696</v>
      </c>
      <c r="BE39" s="117">
        <v>-0.35096869412072201</v>
      </c>
      <c r="BF39" s="117">
        <v>-0.36171637084874098</v>
      </c>
      <c r="BG39" s="117">
        <v>-0.37985994913822602</v>
      </c>
      <c r="BH39" s="117">
        <v>-0.53680470008511605</v>
      </c>
      <c r="BI39" s="117">
        <v>0.322430936842382</v>
      </c>
      <c r="BJ39" s="117">
        <v>-0.99921251710917702</v>
      </c>
      <c r="BK39" s="117">
        <v>-3.5174249818130603E-2</v>
      </c>
      <c r="BL39" s="117">
        <v>0.70799409215518105</v>
      </c>
      <c r="BM39" s="117">
        <v>-0.27349724539338699</v>
      </c>
      <c r="BN39" s="117">
        <v>5.4057996045593401E-2</v>
      </c>
    </row>
    <row r="40" spans="1:66" hidden="1" x14ac:dyDescent="0.25">
      <c r="A40" t="s">
        <v>70</v>
      </c>
      <c r="B40" s="117">
        <v>-0.76567223876468404</v>
      </c>
      <c r="C40" s="117">
        <v>-0.76560662969418103</v>
      </c>
      <c r="D40" s="117">
        <v>-9.0457247634388692E-3</v>
      </c>
      <c r="E40" s="117">
        <v>-0.289510392213568</v>
      </c>
      <c r="F40" s="117">
        <v>-0.27964157787747901</v>
      </c>
      <c r="G40" s="117">
        <v>3.5922690532066703E-2</v>
      </c>
      <c r="H40" s="117">
        <v>-0.22224690906185801</v>
      </c>
      <c r="I40" s="117">
        <v>-0.18338702841538199</v>
      </c>
      <c r="J40" s="117">
        <v>1.02769434906497E-2</v>
      </c>
      <c r="K40" s="117">
        <v>2.3489373912520799E-2</v>
      </c>
      <c r="L40" s="117">
        <v>-5.9707648144104297E-3</v>
      </c>
      <c r="M40" s="117">
        <v>3.1947706227875301E-2</v>
      </c>
      <c r="N40" s="117">
        <v>-0.48500927569785202</v>
      </c>
      <c r="O40" s="117">
        <v>-0.46712847976192201</v>
      </c>
      <c r="P40" s="117">
        <v>-0.46868425519784102</v>
      </c>
      <c r="Q40" s="117">
        <v>-0.462274969759086</v>
      </c>
      <c r="R40" s="117">
        <v>-0.48438313998355598</v>
      </c>
      <c r="S40" s="117">
        <v>-0.47425461545815001</v>
      </c>
      <c r="T40" s="117">
        <v>-0.47408468712547203</v>
      </c>
      <c r="U40" s="117">
        <v>-0.49954704041564801</v>
      </c>
      <c r="V40" s="117">
        <v>-0.57106928644092403</v>
      </c>
      <c r="W40" s="117">
        <v>-0.38532313847379701</v>
      </c>
      <c r="X40" s="117">
        <v>-0.38136085130429898</v>
      </c>
      <c r="Y40" s="117">
        <v>-0.33579106241285001</v>
      </c>
      <c r="Z40" s="117">
        <v>-0.33579106197342701</v>
      </c>
      <c r="AA40" s="117">
        <v>-0.57651054666902302</v>
      </c>
      <c r="AB40" s="117">
        <v>-0.52275129572182899</v>
      </c>
      <c r="AC40" s="117">
        <v>-0.241955081791627</v>
      </c>
      <c r="AD40" s="117">
        <v>-0.241955081791627</v>
      </c>
      <c r="AE40" s="117">
        <v>-0.45072387428195199</v>
      </c>
      <c r="AF40" s="117">
        <v>-0.309719807008004</v>
      </c>
      <c r="AG40" s="117">
        <v>-0.35917433852588199</v>
      </c>
      <c r="AH40" s="117">
        <v>-0.52497002449331598</v>
      </c>
      <c r="AI40" s="117">
        <v>-0.44256051459560802</v>
      </c>
      <c r="AJ40" s="117">
        <v>-0.30117484765743702</v>
      </c>
      <c r="AK40" s="117">
        <v>-0.319866805225341</v>
      </c>
      <c r="AL40" s="117">
        <v>-0.54232807042480802</v>
      </c>
      <c r="AM40" s="117">
        <v>8.16961374212406E-2</v>
      </c>
      <c r="AN40" s="117">
        <v>1</v>
      </c>
      <c r="AO40" s="117">
        <v>-0.32666678270535898</v>
      </c>
      <c r="AP40" s="117">
        <v>9.8662003133553403E-2</v>
      </c>
      <c r="AQ40" s="117">
        <v>0.203177663670013</v>
      </c>
      <c r="AR40" s="117">
        <v>2.2770235997552402E-2</v>
      </c>
      <c r="AS40" s="117">
        <v>-0.392217348260123</v>
      </c>
      <c r="AT40" s="117">
        <v>-0.2082263187931</v>
      </c>
      <c r="AU40" s="117">
        <v>0.33598547037336701</v>
      </c>
      <c r="AV40" s="117">
        <v>0.69305187701125903</v>
      </c>
      <c r="AW40" s="117">
        <v>8.1532994663808797E-2</v>
      </c>
      <c r="AX40" s="117">
        <v>-4.1869144094316101E-2</v>
      </c>
      <c r="AY40" s="117">
        <v>2.3042474100792201E-2</v>
      </c>
      <c r="AZ40" s="117">
        <v>-0.29227535336548299</v>
      </c>
      <c r="BA40" s="117">
        <v>-0.22461433051128901</v>
      </c>
      <c r="BB40" s="117">
        <v>0.19181445494292901</v>
      </c>
      <c r="BC40" s="117">
        <v>5.0651686089950097E-2</v>
      </c>
      <c r="BD40" s="117">
        <v>-0.57259755023737102</v>
      </c>
      <c r="BE40" s="117">
        <v>-0.47548385416143901</v>
      </c>
      <c r="BF40" s="117">
        <v>-0.39869846670877102</v>
      </c>
      <c r="BG40" s="117">
        <v>-0.31285870226241902</v>
      </c>
      <c r="BH40" s="117">
        <v>-0.35788441010118299</v>
      </c>
      <c r="BI40" s="117">
        <v>0.20566115522266301</v>
      </c>
      <c r="BJ40" s="117">
        <v>-8.7142368430463593E-2</v>
      </c>
      <c r="BK40" s="117">
        <v>-0.99747820673642296</v>
      </c>
      <c r="BL40" s="117">
        <v>-4.7469116828238898E-3</v>
      </c>
      <c r="BM40" s="117">
        <v>-0.39220560344827499</v>
      </c>
      <c r="BN40" s="117">
        <v>-0.20822220282831599</v>
      </c>
    </row>
    <row r="41" spans="1:66" hidden="1" x14ac:dyDescent="0.25">
      <c r="A41" t="s">
        <v>159</v>
      </c>
      <c r="B41" s="117">
        <v>0.180923146910207</v>
      </c>
      <c r="C41" s="117">
        <v>0.25399493628504399</v>
      </c>
      <c r="D41" s="117">
        <v>0.417631133464126</v>
      </c>
      <c r="E41" s="117">
        <v>0.78993081850326496</v>
      </c>
      <c r="F41" s="117">
        <v>0.27595490367561898</v>
      </c>
      <c r="G41" s="117">
        <v>-0.42684507941984301</v>
      </c>
      <c r="H41" s="117">
        <v>0.722824460232254</v>
      </c>
      <c r="I41" s="117">
        <v>0.54878841465829697</v>
      </c>
      <c r="J41" s="117">
        <v>-0.20993069690594801</v>
      </c>
      <c r="K41" s="117">
        <v>-0.183203159398096</v>
      </c>
      <c r="L41" s="117">
        <v>-0.16047010226247699</v>
      </c>
      <c r="M41" s="117">
        <v>-0.167476996718221</v>
      </c>
      <c r="N41" s="117">
        <v>0.23818191962025401</v>
      </c>
      <c r="O41" s="117">
        <v>0.230981727404867</v>
      </c>
      <c r="P41" s="117">
        <v>0.23128138903179599</v>
      </c>
      <c r="Q41" s="117">
        <v>0.22902196416040099</v>
      </c>
      <c r="R41" s="117">
        <v>0.23806679542645501</v>
      </c>
      <c r="S41" s="117">
        <v>0.23472386921215499</v>
      </c>
      <c r="T41" s="117">
        <v>0.27738051034050298</v>
      </c>
      <c r="U41" s="117">
        <v>0.28722214675283197</v>
      </c>
      <c r="V41" s="117">
        <v>0.53945794732488905</v>
      </c>
      <c r="W41" s="117">
        <v>0.29363664508543103</v>
      </c>
      <c r="X41" s="117">
        <v>0.28487016041170099</v>
      </c>
      <c r="Y41" s="117">
        <v>0.20108032997201</v>
      </c>
      <c r="Z41" s="117">
        <v>0.201080330215715</v>
      </c>
      <c r="AA41" s="117">
        <v>0.37778518313238002</v>
      </c>
      <c r="AB41" s="117">
        <v>0.411129088696089</v>
      </c>
      <c r="AC41" s="117">
        <v>0.177839660290559</v>
      </c>
      <c r="AD41" s="117">
        <v>0.17783966029056</v>
      </c>
      <c r="AE41" s="117">
        <v>1.52040907501964E-2</v>
      </c>
      <c r="AF41" s="117">
        <v>0.29453598050787</v>
      </c>
      <c r="AG41" s="117">
        <v>3.3677723047090803E-2</v>
      </c>
      <c r="AH41" s="117">
        <v>0.162548332518163</v>
      </c>
      <c r="AI41" s="117">
        <v>0.11754211928408401</v>
      </c>
      <c r="AJ41" s="117">
        <v>0.49849946118164901</v>
      </c>
      <c r="AK41" s="117">
        <v>0.20674256115916401</v>
      </c>
      <c r="AL41" s="117">
        <v>0.35811637495853998</v>
      </c>
      <c r="AM41" s="117">
        <v>-0.49199122369145698</v>
      </c>
      <c r="AN41" s="117">
        <v>-0.32666678270535898</v>
      </c>
      <c r="AO41" s="117">
        <v>1</v>
      </c>
      <c r="AP41" s="117">
        <v>-0.29986788561711802</v>
      </c>
      <c r="AQ41" s="117">
        <v>-5.0840093168976398E-2</v>
      </c>
      <c r="AR41" s="117">
        <v>-0.71920930023226903</v>
      </c>
      <c r="AS41" s="117">
        <v>-1.93087916261101E-2</v>
      </c>
      <c r="AT41" s="117">
        <v>0.192278035430479</v>
      </c>
      <c r="AU41" s="117">
        <v>-0.25848645165405898</v>
      </c>
      <c r="AV41" s="117">
        <v>-0.27551576226563002</v>
      </c>
      <c r="AW41" s="117">
        <v>-4.4086577192108699E-2</v>
      </c>
      <c r="AX41" s="117">
        <v>0.43141562594746602</v>
      </c>
      <c r="AY41" s="117">
        <v>-0.30912051498523702</v>
      </c>
      <c r="AZ41" s="117">
        <v>0.74106115647367099</v>
      </c>
      <c r="BA41" s="117">
        <v>-5.9927825364980099E-2</v>
      </c>
      <c r="BB41" s="117">
        <v>-0.52849034388876304</v>
      </c>
      <c r="BC41" s="117">
        <v>-0.212191483038667</v>
      </c>
      <c r="BD41" s="117">
        <v>0.62444308576700702</v>
      </c>
      <c r="BE41" s="117">
        <v>0.36143129388988698</v>
      </c>
      <c r="BF41" s="117">
        <v>0.40420992009800599</v>
      </c>
      <c r="BG41" s="117">
        <v>0.499898887443746</v>
      </c>
      <c r="BH41" s="117">
        <v>0.631659972800662</v>
      </c>
      <c r="BI41" s="117">
        <v>-0.29780954217029398</v>
      </c>
      <c r="BJ41" s="117">
        <v>0.47705547944077598</v>
      </c>
      <c r="BK41" s="117">
        <v>0.266300283476331</v>
      </c>
      <c r="BL41" s="117">
        <v>-0.77038794308918201</v>
      </c>
      <c r="BM41" s="117">
        <v>-2.0692117497136901E-2</v>
      </c>
      <c r="BN41" s="117">
        <v>0.193425195855567</v>
      </c>
    </row>
    <row r="42" spans="1:66" hidden="1" x14ac:dyDescent="0.25">
      <c r="A42" t="s">
        <v>160</v>
      </c>
      <c r="B42" s="117">
        <v>-0.17239458811463901</v>
      </c>
      <c r="C42" s="117">
        <v>-0.26792476710028301</v>
      </c>
      <c r="D42" s="117">
        <v>-0.43715391397116798</v>
      </c>
      <c r="E42" s="117">
        <v>-0.61306488329839504</v>
      </c>
      <c r="F42" s="117">
        <v>-0.69601778913232903</v>
      </c>
      <c r="G42" s="117">
        <v>-0.24211949106376601</v>
      </c>
      <c r="H42" s="117">
        <v>-0.54675279513818897</v>
      </c>
      <c r="I42" s="117">
        <v>-0.601905890089516</v>
      </c>
      <c r="J42" s="117">
        <v>0.329981728435917</v>
      </c>
      <c r="K42" s="117">
        <v>0.48160760791421597</v>
      </c>
      <c r="L42" s="117">
        <v>0.43876035802219499</v>
      </c>
      <c r="M42" s="117">
        <v>0.39754886823822699</v>
      </c>
      <c r="N42" s="117">
        <v>-0.443920139599632</v>
      </c>
      <c r="O42" s="117">
        <v>-0.46880162833984901</v>
      </c>
      <c r="P42" s="117">
        <v>-0.42875292412810501</v>
      </c>
      <c r="Q42" s="117">
        <v>-0.44122082449587402</v>
      </c>
      <c r="R42" s="117">
        <v>-0.44330824453784901</v>
      </c>
      <c r="S42" s="117">
        <v>-0.46468134488722102</v>
      </c>
      <c r="T42" s="117">
        <v>-0.120646198288553</v>
      </c>
      <c r="U42" s="117">
        <v>-0.22342809634449501</v>
      </c>
      <c r="V42" s="117">
        <v>-0.54633325999205995</v>
      </c>
      <c r="W42" s="117">
        <v>0.19711888092413801</v>
      </c>
      <c r="X42" s="117">
        <v>0.19758990829117901</v>
      </c>
      <c r="Y42" s="117">
        <v>0.16924879072059301</v>
      </c>
      <c r="Z42" s="117">
        <v>0.16924879080906799</v>
      </c>
      <c r="AA42" s="117">
        <v>-0.37936742008181901</v>
      </c>
      <c r="AB42" s="117">
        <v>-3.1966726495239503E-2</v>
      </c>
      <c r="AC42" s="117">
        <v>0.113034623357085</v>
      </c>
      <c r="AD42" s="117">
        <v>0.113034623357085</v>
      </c>
      <c r="AE42" s="117">
        <v>-0.22001938704628601</v>
      </c>
      <c r="AF42" s="117">
        <v>4.5349744304321402E-3</v>
      </c>
      <c r="AG42" s="117">
        <v>0.25820469619603498</v>
      </c>
      <c r="AH42" s="117">
        <v>-0.134682480506404</v>
      </c>
      <c r="AI42" s="117">
        <v>-0.14878623669305799</v>
      </c>
      <c r="AJ42" s="117">
        <v>-0.246653943821213</v>
      </c>
      <c r="AK42" s="117">
        <v>0.15492104264661999</v>
      </c>
      <c r="AL42" s="117">
        <v>-0.223348103305958</v>
      </c>
      <c r="AM42" s="117">
        <v>0.20425946056313499</v>
      </c>
      <c r="AN42" s="117">
        <v>9.8662003133553403E-2</v>
      </c>
      <c r="AO42" s="117">
        <v>-0.29986788561711802</v>
      </c>
      <c r="AP42" s="117">
        <v>1</v>
      </c>
      <c r="AQ42" s="117">
        <v>-0.26244813913692799</v>
      </c>
      <c r="AR42" s="117">
        <v>0.387077198660356</v>
      </c>
      <c r="AS42" s="117">
        <v>-6.20148947357472E-2</v>
      </c>
      <c r="AT42" s="117">
        <v>-5.6343770573525501E-3</v>
      </c>
      <c r="AU42" s="117">
        <v>0.16750959510790001</v>
      </c>
      <c r="AV42" s="117">
        <v>6.8351120736281204E-2</v>
      </c>
      <c r="AW42" s="117">
        <v>5.8607955983244898E-2</v>
      </c>
      <c r="AX42" s="117">
        <v>0.33384904714800701</v>
      </c>
      <c r="AY42" s="117">
        <v>-0.49387836032271298</v>
      </c>
      <c r="AZ42" s="117">
        <v>-0.58518045302545596</v>
      </c>
      <c r="BA42" s="117">
        <v>-0.61110965670583195</v>
      </c>
      <c r="BB42" s="117">
        <v>0.51462033150077602</v>
      </c>
      <c r="BC42" s="117">
        <v>0.466726263514674</v>
      </c>
      <c r="BD42" s="117">
        <v>-0.35785381602084398</v>
      </c>
      <c r="BE42" s="117">
        <v>-6.15185400495167E-2</v>
      </c>
      <c r="BF42" s="117">
        <v>0.24299353629692999</v>
      </c>
      <c r="BG42" s="117">
        <v>0.29979157993399902</v>
      </c>
      <c r="BH42" s="117">
        <v>-0.388869480760766</v>
      </c>
      <c r="BI42" s="117">
        <v>0.39675385379598899</v>
      </c>
      <c r="BJ42" s="117">
        <v>-0.1974202657063</v>
      </c>
      <c r="BK42" s="117">
        <v>-7.3487786008613207E-2</v>
      </c>
      <c r="BL42" s="117">
        <v>0.39852498340711401</v>
      </c>
      <c r="BM42" s="117">
        <v>-6.1873909141366E-2</v>
      </c>
      <c r="BN42" s="117">
        <v>-5.3081966155230902E-3</v>
      </c>
    </row>
    <row r="43" spans="1:66" hidden="1" x14ac:dyDescent="0.25">
      <c r="A43" t="s">
        <v>161</v>
      </c>
      <c r="B43" s="117">
        <v>1.7779829776578299E-2</v>
      </c>
      <c r="C43" s="117">
        <v>-3.3784372140305101E-2</v>
      </c>
      <c r="D43" s="117">
        <v>-0.28168065613167298</v>
      </c>
      <c r="E43" s="117">
        <v>-0.217604929108585</v>
      </c>
      <c r="F43" s="117">
        <v>0.24774566463741299</v>
      </c>
      <c r="G43" s="117">
        <v>0.114323753495872</v>
      </c>
      <c r="H43" s="117">
        <v>-8.9329453071848905E-2</v>
      </c>
      <c r="I43" s="117">
        <v>0.216465663396195</v>
      </c>
      <c r="J43" s="117">
        <v>0.13134820219784599</v>
      </c>
      <c r="K43" s="117">
        <v>5.35065967842389E-2</v>
      </c>
      <c r="L43" s="117">
        <v>5.9493051196522997E-2</v>
      </c>
      <c r="M43" s="117">
        <v>7.7901497196521299E-2</v>
      </c>
      <c r="N43" s="117">
        <v>3.2981297303283703E-2</v>
      </c>
      <c r="O43" s="117">
        <v>4.8272530231077901E-2</v>
      </c>
      <c r="P43" s="117">
        <v>2.2554388890142E-2</v>
      </c>
      <c r="Q43" s="117">
        <v>2.7583430049667099E-2</v>
      </c>
      <c r="R43" s="117">
        <v>3.1333491040156099E-2</v>
      </c>
      <c r="S43" s="117">
        <v>3.8988956570698702E-2</v>
      </c>
      <c r="T43" s="117">
        <v>-6.4240778453081598E-2</v>
      </c>
      <c r="U43" s="117">
        <v>-4.9350173657981999E-2</v>
      </c>
      <c r="V43" s="117">
        <v>-0.148134902997275</v>
      </c>
      <c r="W43" s="117">
        <v>-0.127507501179209</v>
      </c>
      <c r="X43" s="117">
        <v>-0.13191849949376799</v>
      </c>
      <c r="Y43" s="117">
        <v>-0.116812263704088</v>
      </c>
      <c r="Z43" s="117">
        <v>-0.116812264029996</v>
      </c>
      <c r="AA43" s="117">
        <v>1.7999844039514601E-2</v>
      </c>
      <c r="AB43" s="117">
        <v>-8.6424234081571502E-2</v>
      </c>
      <c r="AC43" s="117">
        <v>-6.1384095140786701E-2</v>
      </c>
      <c r="AD43" s="117">
        <v>-6.1384095140786701E-2</v>
      </c>
      <c r="AE43" s="117">
        <v>-0.100118113560646</v>
      </c>
      <c r="AF43" s="117">
        <v>-0.126603036483211</v>
      </c>
      <c r="AG43" s="117">
        <v>-0.15937447693673201</v>
      </c>
      <c r="AH43" s="117">
        <v>-0.15360493605196901</v>
      </c>
      <c r="AI43" s="117">
        <v>-0.30868583961325202</v>
      </c>
      <c r="AJ43" s="117">
        <v>-7.2225225187326506E-2</v>
      </c>
      <c r="AK43" s="117">
        <v>-9.7782689794222902E-2</v>
      </c>
      <c r="AL43" s="117">
        <v>-0.298437570993353</v>
      </c>
      <c r="AM43" s="117">
        <v>9.9534960980508097E-2</v>
      </c>
      <c r="AN43" s="117">
        <v>0.203177663670013</v>
      </c>
      <c r="AO43" s="117">
        <v>-5.0840093168976398E-2</v>
      </c>
      <c r="AP43" s="117">
        <v>-0.26244813913692799</v>
      </c>
      <c r="AQ43" s="117">
        <v>1</v>
      </c>
      <c r="AR43" s="117">
        <v>0.31617897127697803</v>
      </c>
      <c r="AS43" s="117">
        <v>-7.14373789458259E-2</v>
      </c>
      <c r="AT43" s="117">
        <v>5.9742930092728297E-2</v>
      </c>
      <c r="AU43" s="117">
        <v>-1.50391916512369E-2</v>
      </c>
      <c r="AV43" s="117">
        <v>6.3051086261799005E-2</v>
      </c>
      <c r="AW43" s="117">
        <v>-1.29476636822897E-2</v>
      </c>
      <c r="AX43" s="117">
        <v>1.6006575158070802E-2</v>
      </c>
      <c r="AY43" s="117">
        <v>0.232344259959676</v>
      </c>
      <c r="AZ43" s="117">
        <v>-0.335743895808361</v>
      </c>
      <c r="BA43" s="117">
        <v>0.18797316038290501</v>
      </c>
      <c r="BB43" s="117">
        <v>-0.23062937802648401</v>
      </c>
      <c r="BC43" s="117">
        <v>6.8519612427219295E-2</v>
      </c>
      <c r="BD43" s="117">
        <v>4.6282273330245899E-2</v>
      </c>
      <c r="BE43" s="117">
        <v>-6.9263912070894898E-2</v>
      </c>
      <c r="BF43" s="117">
        <v>-0.140409251298727</v>
      </c>
      <c r="BG43" s="117">
        <v>-8.6351244549683195E-2</v>
      </c>
      <c r="BH43" s="117">
        <v>0.12595561533412</v>
      </c>
      <c r="BI43" s="117">
        <v>2.1853789089750799E-2</v>
      </c>
      <c r="BJ43" s="117">
        <v>-8.4522432594867802E-2</v>
      </c>
      <c r="BK43" s="117">
        <v>-0.19971293952574101</v>
      </c>
      <c r="BL43" s="117">
        <v>0.20518752487591399</v>
      </c>
      <c r="BM43" s="117">
        <v>-7.1574562047514306E-2</v>
      </c>
      <c r="BN43" s="117">
        <v>6.1690202811462098E-2</v>
      </c>
    </row>
    <row r="44" spans="1:66" hidden="1" x14ac:dyDescent="0.25">
      <c r="A44" t="s">
        <v>71</v>
      </c>
      <c r="B44" s="117">
        <v>8.9352233396485098E-2</v>
      </c>
      <c r="C44" s="117">
        <v>-6.0159651638979302E-2</v>
      </c>
      <c r="D44" s="117">
        <v>-0.719893474727067</v>
      </c>
      <c r="E44" s="117">
        <v>-0.84596243074120503</v>
      </c>
      <c r="F44" s="117">
        <v>-0.29499721051595401</v>
      </c>
      <c r="G44" s="117">
        <v>0.34120043072684197</v>
      </c>
      <c r="H44" s="117">
        <v>-0.78150998849281395</v>
      </c>
      <c r="I44" s="117">
        <v>-0.57235823374035799</v>
      </c>
      <c r="J44" s="117">
        <v>0.41845555723998801</v>
      </c>
      <c r="K44" s="117">
        <v>0.43922455442038599</v>
      </c>
      <c r="L44" s="117">
        <v>0.39021998519836498</v>
      </c>
      <c r="M44" s="117">
        <v>0.37616308256710201</v>
      </c>
      <c r="N44" s="117">
        <v>-0.33032229102223298</v>
      </c>
      <c r="O44" s="117">
        <v>-0.31585965665567101</v>
      </c>
      <c r="P44" s="117">
        <v>-0.338390657563784</v>
      </c>
      <c r="Q44" s="117">
        <v>-0.33456402440008898</v>
      </c>
      <c r="R44" s="117">
        <v>-0.333201618492103</v>
      </c>
      <c r="S44" s="117">
        <v>-0.33159088107726697</v>
      </c>
      <c r="T44" s="117">
        <v>-0.30560680783594601</v>
      </c>
      <c r="U44" s="117">
        <v>-0.33470159527877602</v>
      </c>
      <c r="V44" s="117">
        <v>-0.66679517031687696</v>
      </c>
      <c r="W44" s="117">
        <v>-0.22927739098126801</v>
      </c>
      <c r="X44" s="117">
        <v>-0.22982526303334999</v>
      </c>
      <c r="Y44" s="117">
        <v>-0.19686049850337001</v>
      </c>
      <c r="Z44" s="117">
        <v>-0.19686049860627999</v>
      </c>
      <c r="AA44" s="117">
        <v>-0.36924931266825101</v>
      </c>
      <c r="AB44" s="117">
        <v>-0.33858279534247199</v>
      </c>
      <c r="AC44" s="117">
        <v>-0.131475399070659</v>
      </c>
      <c r="AD44" s="117">
        <v>-0.131475399070659</v>
      </c>
      <c r="AE44" s="117">
        <v>8.3397604495822994E-2</v>
      </c>
      <c r="AF44" s="117">
        <v>-0.113751487949362</v>
      </c>
      <c r="AG44" s="117">
        <v>0.18734123987009299</v>
      </c>
      <c r="AH44" s="117">
        <v>2.3313676981479101E-2</v>
      </c>
      <c r="AI44" s="117">
        <v>-0.15144908024687101</v>
      </c>
      <c r="AJ44" s="117">
        <v>-0.424525101835315</v>
      </c>
      <c r="AK44" s="117">
        <v>-0.17855291984619301</v>
      </c>
      <c r="AL44" s="117">
        <v>-0.34734795764896198</v>
      </c>
      <c r="AM44" s="117">
        <v>0.66443135788691998</v>
      </c>
      <c r="AN44" s="117">
        <v>2.2770235997552402E-2</v>
      </c>
      <c r="AO44" s="117">
        <v>-0.71920930023226903</v>
      </c>
      <c r="AP44" s="117">
        <v>0.387077198660356</v>
      </c>
      <c r="AQ44" s="117">
        <v>0.31617897127697803</v>
      </c>
      <c r="AR44" s="117">
        <v>1</v>
      </c>
      <c r="AS44" s="117">
        <v>-6.1653314622989501E-2</v>
      </c>
      <c r="AT44" s="117">
        <v>0.202639727299084</v>
      </c>
      <c r="AU44" s="117">
        <v>5.6658134380196103E-2</v>
      </c>
      <c r="AV44" s="117">
        <v>-3.9524145632071697E-2</v>
      </c>
      <c r="AW44" s="117">
        <v>4.41748804281605E-2</v>
      </c>
      <c r="AX44" s="117">
        <v>-0.25715598638571902</v>
      </c>
      <c r="AY44" s="117">
        <v>0.228602547253348</v>
      </c>
      <c r="AZ44" s="117">
        <v>-0.84717366385206005</v>
      </c>
      <c r="BA44" s="117">
        <v>-1.6941465309069301E-2</v>
      </c>
      <c r="BB44" s="117">
        <v>0.53065192802091798</v>
      </c>
      <c r="BC44" s="117">
        <v>0.42000984804293201</v>
      </c>
      <c r="BD44" s="117">
        <v>-0.53909581697497699</v>
      </c>
      <c r="BE44" s="117">
        <v>-0.30915979355929102</v>
      </c>
      <c r="BF44" s="117">
        <v>-0.28263617247156098</v>
      </c>
      <c r="BG44" s="117">
        <v>-0.35405444405264802</v>
      </c>
      <c r="BH44" s="117">
        <v>-0.57262804720447902</v>
      </c>
      <c r="BI44" s="117">
        <v>0.272684687965845</v>
      </c>
      <c r="BJ44" s="117">
        <v>-0.6451806701924</v>
      </c>
      <c r="BK44" s="117">
        <v>3.5565076243231797E-2</v>
      </c>
      <c r="BL44" s="117">
        <v>0.98196238262635904</v>
      </c>
      <c r="BM44" s="117">
        <v>-5.9970441967936501E-2</v>
      </c>
      <c r="BN44" s="117">
        <v>0.20245033861355199</v>
      </c>
    </row>
    <row r="45" spans="1:66" hidden="1" x14ac:dyDescent="0.25">
      <c r="A45" t="s">
        <v>72</v>
      </c>
      <c r="B45" s="117">
        <v>0.47385924193576301</v>
      </c>
      <c r="C45" s="117">
        <v>0.49931987975537401</v>
      </c>
      <c r="D45" s="117">
        <v>0.10259158161224</v>
      </c>
      <c r="E45" s="117">
        <v>7.0144951279739007E-2</v>
      </c>
      <c r="F45" s="117">
        <v>8.2951872222861101E-2</v>
      </c>
      <c r="G45" s="117">
        <v>-3.2003443840092197E-2</v>
      </c>
      <c r="H45" s="117">
        <v>0.11251512687703499</v>
      </c>
      <c r="I45" s="117">
        <v>0.138033895433406</v>
      </c>
      <c r="J45" s="117">
        <v>-4.6254185381561702E-2</v>
      </c>
      <c r="K45" s="117">
        <v>-0.111556923740707</v>
      </c>
      <c r="L45" s="117">
        <v>-9.6202060407682893E-2</v>
      </c>
      <c r="M45" s="117">
        <v>-7.72991820186993E-2</v>
      </c>
      <c r="N45" s="117">
        <v>0.35854167771593798</v>
      </c>
      <c r="O45" s="117">
        <v>0.33504626294349898</v>
      </c>
      <c r="P45" s="117">
        <v>0.41115419874515202</v>
      </c>
      <c r="Q45" s="117">
        <v>0.39055695325412199</v>
      </c>
      <c r="R45" s="117">
        <v>0.36922292741359802</v>
      </c>
      <c r="S45" s="117">
        <v>0.36943775265246698</v>
      </c>
      <c r="T45" s="117">
        <v>0.273859598692544</v>
      </c>
      <c r="U45" s="117">
        <v>0.36289403355644101</v>
      </c>
      <c r="V45" s="117">
        <v>0.235675272526472</v>
      </c>
      <c r="W45" s="117">
        <v>0.27380014340182302</v>
      </c>
      <c r="X45" s="117">
        <v>0.36073035772847101</v>
      </c>
      <c r="Y45" s="117">
        <v>0.46675549564838498</v>
      </c>
      <c r="Z45" s="117">
        <v>0.46675549975341701</v>
      </c>
      <c r="AA45" s="117">
        <v>0.37376636951459402</v>
      </c>
      <c r="AB45" s="117">
        <v>0.29409705186032198</v>
      </c>
      <c r="AC45" s="117">
        <v>-4.9507377148833701E-2</v>
      </c>
      <c r="AD45" s="117">
        <v>-4.9507377148833701E-2</v>
      </c>
      <c r="AE45" s="117">
        <v>0.17952760071552301</v>
      </c>
      <c r="AF45" s="117">
        <v>-0.113024635692919</v>
      </c>
      <c r="AG45" s="117">
        <v>8.3128963413488993E-2</v>
      </c>
      <c r="AH45" s="117">
        <v>8.4379265177279103E-2</v>
      </c>
      <c r="AI45" s="117">
        <v>0.25170816135614699</v>
      </c>
      <c r="AJ45" s="117">
        <v>-0.13747327126120701</v>
      </c>
      <c r="AK45" s="117">
        <v>0.192573800179619</v>
      </c>
      <c r="AL45" s="117">
        <v>0.161509000703568</v>
      </c>
      <c r="AM45" s="117">
        <v>-0.27597980086986401</v>
      </c>
      <c r="AN45" s="117">
        <v>-0.392217348260123</v>
      </c>
      <c r="AO45" s="117">
        <v>-1.93087916261101E-2</v>
      </c>
      <c r="AP45" s="117">
        <v>-6.20148947357472E-2</v>
      </c>
      <c r="AQ45" s="117">
        <v>-7.14373789458259E-2</v>
      </c>
      <c r="AR45" s="117">
        <v>-6.1653314622989501E-2</v>
      </c>
      <c r="AS45" s="117">
        <v>1</v>
      </c>
      <c r="AT45" s="117">
        <v>-0.103417537999003</v>
      </c>
      <c r="AU45" s="117">
        <v>-8.8235294117646995E-2</v>
      </c>
      <c r="AV45" s="117">
        <v>-0.23710916324029099</v>
      </c>
      <c r="AW45" s="117">
        <v>-4.88737701596474E-3</v>
      </c>
      <c r="AX45" s="117">
        <v>-5.18407785734354E-2</v>
      </c>
      <c r="AY45" s="117">
        <v>4.1929041983123798E-2</v>
      </c>
      <c r="AZ45" s="117">
        <v>8.4327117150093694E-2</v>
      </c>
      <c r="BA45" s="117">
        <v>8.3901763198714396E-2</v>
      </c>
      <c r="BB45" s="117">
        <v>-0.14015503853095301</v>
      </c>
      <c r="BC45" s="117">
        <v>-0.114043798690767</v>
      </c>
      <c r="BD45" s="117">
        <v>0.24816891142191499</v>
      </c>
      <c r="BE45" s="117">
        <v>0.14979394080154801</v>
      </c>
      <c r="BF45" s="117">
        <v>0.21888046330007199</v>
      </c>
      <c r="BG45" s="117">
        <v>0.16694553547155599</v>
      </c>
      <c r="BH45" s="117">
        <v>0.180128398441602</v>
      </c>
      <c r="BI45" s="117">
        <v>2.7418858041407999E-2</v>
      </c>
      <c r="BJ45" s="117">
        <v>0.290058424553647</v>
      </c>
      <c r="BK45" s="117">
        <v>0.39226682649857503</v>
      </c>
      <c r="BL45" s="117">
        <v>-3.0746867184694601E-2</v>
      </c>
      <c r="BM45" s="117">
        <v>0.99997005534839301</v>
      </c>
      <c r="BN45" s="117">
        <v>-0.103415493766809</v>
      </c>
    </row>
    <row r="46" spans="1:66" hidden="1" x14ac:dyDescent="0.25">
      <c r="A46" t="s">
        <v>73</v>
      </c>
      <c r="B46" s="117">
        <v>0.44363979114442897</v>
      </c>
      <c r="C46" s="117">
        <v>0.38014842799918003</v>
      </c>
      <c r="D46" s="117">
        <v>-0.25073945159430999</v>
      </c>
      <c r="E46" s="117">
        <v>0.11653839382451101</v>
      </c>
      <c r="F46" s="117">
        <v>7.0787591147494803E-3</v>
      </c>
      <c r="G46" s="117">
        <v>-5.1840847120885901E-2</v>
      </c>
      <c r="H46" s="117">
        <v>-8.1469480387172305E-2</v>
      </c>
      <c r="I46" s="117">
        <v>-0.134645807495617</v>
      </c>
      <c r="J46" s="117">
        <v>0.218701660536846</v>
      </c>
      <c r="K46" s="117">
        <v>0.22839493037866401</v>
      </c>
      <c r="L46" s="117">
        <v>0.26291985939075602</v>
      </c>
      <c r="M46" s="117">
        <v>0.187420944844127</v>
      </c>
      <c r="N46" s="117">
        <v>-0.14578577827111899</v>
      </c>
      <c r="O46" s="117">
        <v>-0.13940278062220099</v>
      </c>
      <c r="P46" s="117">
        <v>-0.14934670385078999</v>
      </c>
      <c r="Q46" s="117">
        <v>-0.147657842066134</v>
      </c>
      <c r="R46" s="117">
        <v>-0.14705655232270801</v>
      </c>
      <c r="S46" s="117">
        <v>-0.14634566294589399</v>
      </c>
      <c r="T46" s="117">
        <v>-0.13487774678311601</v>
      </c>
      <c r="U46" s="117">
        <v>-0.147718558155124</v>
      </c>
      <c r="V46" s="117">
        <v>-9.9598173739759696E-2</v>
      </c>
      <c r="W46" s="117">
        <v>-0.101190212688147</v>
      </c>
      <c r="X46" s="117">
        <v>-0.1014320127594</v>
      </c>
      <c r="Y46" s="117">
        <v>-8.6883210019945797E-2</v>
      </c>
      <c r="Z46" s="117">
        <v>-8.6883210065364397E-2</v>
      </c>
      <c r="AA46" s="117">
        <v>-0.128062672589035</v>
      </c>
      <c r="AB46" s="117">
        <v>-9.2528099780752299E-2</v>
      </c>
      <c r="AC46" s="117">
        <v>-5.8025885318565902E-2</v>
      </c>
      <c r="AD46" s="117">
        <v>-5.8025885318565902E-2</v>
      </c>
      <c r="AE46" s="117">
        <v>3.4396696307442798E-2</v>
      </c>
      <c r="AF46" s="117">
        <v>3.0181002454381999E-2</v>
      </c>
      <c r="AG46" s="117">
        <v>0.27280091191938699</v>
      </c>
      <c r="AH46" s="117">
        <v>6.7897237260531498E-2</v>
      </c>
      <c r="AI46" s="117">
        <v>-7.2548829331496895E-2</v>
      </c>
      <c r="AJ46" s="117">
        <v>-8.4263409270140796E-2</v>
      </c>
      <c r="AK46" s="117">
        <v>-7.78247956011726E-2</v>
      </c>
      <c r="AL46" s="117">
        <v>-0.10841908961027601</v>
      </c>
      <c r="AM46" s="117">
        <v>5.3998212983891798E-2</v>
      </c>
      <c r="AN46" s="117">
        <v>-0.2082263187931</v>
      </c>
      <c r="AO46" s="117">
        <v>0.192278035430479</v>
      </c>
      <c r="AP46" s="117">
        <v>-5.6343770573525501E-3</v>
      </c>
      <c r="AQ46" s="117">
        <v>5.9742930092728297E-2</v>
      </c>
      <c r="AR46" s="117">
        <v>0.202639727299084</v>
      </c>
      <c r="AS46" s="117">
        <v>-0.103417537999003</v>
      </c>
      <c r="AT46" s="117">
        <v>1</v>
      </c>
      <c r="AU46" s="117">
        <v>-0.103417537999003</v>
      </c>
      <c r="AV46" s="117">
        <v>-0.323754903849308</v>
      </c>
      <c r="AW46" s="117">
        <v>1.1749622403602399E-2</v>
      </c>
      <c r="AX46" s="117">
        <v>0.13132565794637299</v>
      </c>
      <c r="AY46" s="117">
        <v>-5.6962335467362402E-2</v>
      </c>
      <c r="AZ46" s="117">
        <v>7.9741118928464E-2</v>
      </c>
      <c r="BA46" s="117">
        <v>-3.9668569376336602E-2</v>
      </c>
      <c r="BB46" s="117">
        <v>0.13771211136727901</v>
      </c>
      <c r="BC46" s="117">
        <v>0.23312132369442401</v>
      </c>
      <c r="BD46" s="117">
        <v>0.15872290504859701</v>
      </c>
      <c r="BE46" s="117">
        <v>-8.2011619278500494E-2</v>
      </c>
      <c r="BF46" s="117">
        <v>0.117223647775116</v>
      </c>
      <c r="BG46" s="117">
        <v>9.4754653452109996E-2</v>
      </c>
      <c r="BH46" s="117">
        <v>0.118969449850805</v>
      </c>
      <c r="BI46" s="117">
        <v>-0.19623247858222501</v>
      </c>
      <c r="BJ46" s="117">
        <v>-5.8342635764998603E-2</v>
      </c>
      <c r="BK46" s="117">
        <v>0.20576532500678499</v>
      </c>
      <c r="BL46" s="117">
        <v>0.14185673610382199</v>
      </c>
      <c r="BM46" s="117">
        <v>-0.103414441196858</v>
      </c>
      <c r="BN46" s="117">
        <v>0.99998023321543394</v>
      </c>
    </row>
    <row r="47" spans="1:66" hidden="1" x14ac:dyDescent="0.25">
      <c r="A47" t="s">
        <v>162</v>
      </c>
      <c r="B47" s="117">
        <v>-2.32154068154878E-2</v>
      </c>
      <c r="C47" s="117">
        <v>8.1962205773729105E-3</v>
      </c>
      <c r="D47" s="117">
        <v>0.155640814361519</v>
      </c>
      <c r="E47" s="117">
        <v>-6.7871987549006502E-2</v>
      </c>
      <c r="F47" s="117">
        <v>-0.10030007244967799</v>
      </c>
      <c r="G47" s="117">
        <v>0.11125105018380101</v>
      </c>
      <c r="H47" s="117">
        <v>-2.8358574524855198E-2</v>
      </c>
      <c r="I47" s="117">
        <v>2.7626370024667401E-2</v>
      </c>
      <c r="J47" s="117">
        <v>-0.222112019704991</v>
      </c>
      <c r="K47" s="117">
        <v>-0.16718686204962799</v>
      </c>
      <c r="L47" s="117">
        <v>-0.15180976247800601</v>
      </c>
      <c r="M47" s="117">
        <v>-0.13173838186082401</v>
      </c>
      <c r="N47" s="117">
        <v>-0.124383651678559</v>
      </c>
      <c r="O47" s="117">
        <v>-0.118937711987847</v>
      </c>
      <c r="P47" s="117">
        <v>-0.127421814469249</v>
      </c>
      <c r="Q47" s="117">
        <v>-0.12598088656498399</v>
      </c>
      <c r="R47" s="117">
        <v>-0.12546786934964799</v>
      </c>
      <c r="S47" s="117">
        <v>-0.124861342309246</v>
      </c>
      <c r="T47" s="117">
        <v>-0.115076977151094</v>
      </c>
      <c r="U47" s="117">
        <v>-0.12603268920961599</v>
      </c>
      <c r="V47" s="117">
        <v>-0.13238819858905801</v>
      </c>
      <c r="W47" s="117">
        <v>-8.6334951992881104E-2</v>
      </c>
      <c r="X47" s="117">
        <v>-8.6541254529351297E-2</v>
      </c>
      <c r="Y47" s="117">
        <v>-7.4128293308133697E-2</v>
      </c>
      <c r="Z47" s="117">
        <v>-7.4128293346884602E-2</v>
      </c>
      <c r="AA47" s="117">
        <v>-0.13904171513022001</v>
      </c>
      <c r="AB47" s="117">
        <v>-0.127494164411073</v>
      </c>
      <c r="AC47" s="117">
        <v>-4.9507377148833701E-2</v>
      </c>
      <c r="AD47" s="117">
        <v>-4.9507377148833701E-2</v>
      </c>
      <c r="AE47" s="117">
        <v>-0.22128845325465199</v>
      </c>
      <c r="AF47" s="117">
        <v>0.13510636811695001</v>
      </c>
      <c r="AG47" s="117">
        <v>-0.105820464045443</v>
      </c>
      <c r="AH47" s="117">
        <v>-0.106456945506965</v>
      </c>
      <c r="AI47" s="117">
        <v>-0.19790254008865699</v>
      </c>
      <c r="AJ47" s="117">
        <v>7.4648900272771199E-2</v>
      </c>
      <c r="AK47" s="117">
        <v>-6.8027602366311404E-2</v>
      </c>
      <c r="AL47" s="117">
        <v>-0.13389825102295599</v>
      </c>
      <c r="AM47" s="117">
        <v>-0.25122076062036702</v>
      </c>
      <c r="AN47" s="117">
        <v>0.33598547037336701</v>
      </c>
      <c r="AO47" s="117">
        <v>-0.25848645165405898</v>
      </c>
      <c r="AP47" s="117">
        <v>0.16750959510790001</v>
      </c>
      <c r="AQ47" s="117">
        <v>-1.50391916512369E-2</v>
      </c>
      <c r="AR47" s="117">
        <v>5.6658134380196103E-2</v>
      </c>
      <c r="AS47" s="117">
        <v>-8.8235294117646995E-2</v>
      </c>
      <c r="AT47" s="117">
        <v>-0.103417537999003</v>
      </c>
      <c r="AU47" s="117">
        <v>1</v>
      </c>
      <c r="AV47" s="117">
        <v>0.46417556914902303</v>
      </c>
      <c r="AW47" s="117">
        <v>0.59756987670239103</v>
      </c>
      <c r="AX47" s="117">
        <v>-0.16461069346292601</v>
      </c>
      <c r="AY47" s="117">
        <v>0.13530286519849599</v>
      </c>
      <c r="AZ47" s="117">
        <v>-5.0101155182074697E-2</v>
      </c>
      <c r="BA47" s="117">
        <v>-3.8452884448576197E-2</v>
      </c>
      <c r="BB47" s="117">
        <v>-1.7615035591077299E-2</v>
      </c>
      <c r="BC47" s="117">
        <v>-0.112826521214402</v>
      </c>
      <c r="BD47" s="117">
        <v>-0.18140470931736799</v>
      </c>
      <c r="BE47" s="117">
        <v>-0.116414845159485</v>
      </c>
      <c r="BF47" s="117">
        <v>-0.106426331168209</v>
      </c>
      <c r="BG47" s="117">
        <v>-8.2654191357449502E-2</v>
      </c>
      <c r="BH47" s="117">
        <v>8.7963111352898898E-3</v>
      </c>
      <c r="BI47" s="117">
        <v>-0.17084367257317801</v>
      </c>
      <c r="BJ47" s="117">
        <v>0.26176001191276099</v>
      </c>
      <c r="BK47" s="117">
        <v>-0.32535790209855397</v>
      </c>
      <c r="BL47" s="117">
        <v>7.3854772366458002E-2</v>
      </c>
      <c r="BM47" s="117">
        <v>-8.8232651942505305E-2</v>
      </c>
      <c r="BN47" s="117">
        <v>-0.103415493766809</v>
      </c>
    </row>
    <row r="48" spans="1:66" x14ac:dyDescent="0.25">
      <c r="A48" t="s">
        <v>6</v>
      </c>
      <c r="B48" s="117">
        <v>-0.57996255718838197</v>
      </c>
      <c r="C48" s="117">
        <v>-0.56324908761774695</v>
      </c>
      <c r="D48" s="117">
        <v>7.3376728813975001E-2</v>
      </c>
      <c r="E48" s="117">
        <v>-0.223626786990101</v>
      </c>
      <c r="F48" s="117">
        <v>-0.20930836295646399</v>
      </c>
      <c r="G48" s="117">
        <v>3.1833811805840898E-2</v>
      </c>
      <c r="H48" s="117">
        <v>-0.17441523960043101</v>
      </c>
      <c r="I48" s="117">
        <v>-0.17194494909259</v>
      </c>
      <c r="J48" s="117">
        <v>-2.5106952765940101E-2</v>
      </c>
      <c r="K48" s="117">
        <v>-2.2574726707212701E-2</v>
      </c>
      <c r="L48" s="117">
        <v>-3.4519544013914598E-2</v>
      </c>
      <c r="M48" s="117">
        <v>2.8365408099215499E-2</v>
      </c>
      <c r="N48" s="117">
        <v>-0.23667987030044799</v>
      </c>
      <c r="O48" s="117">
        <v>-0.232245044123257</v>
      </c>
      <c r="P48" s="117">
        <v>-0.25863317369968902</v>
      </c>
      <c r="Q48" s="117">
        <v>-0.25889606040756002</v>
      </c>
      <c r="R48" s="117">
        <v>-0.24152932335515001</v>
      </c>
      <c r="S48" s="117">
        <v>-0.25021378193604699</v>
      </c>
      <c r="T48" s="117">
        <v>-0.125336554885315</v>
      </c>
      <c r="U48" s="117">
        <v>-0.200625153431918</v>
      </c>
      <c r="V48" s="117">
        <v>-0.30655591329308901</v>
      </c>
      <c r="W48" s="117">
        <v>-9.6246261761459301E-4</v>
      </c>
      <c r="X48" s="117">
        <v>-2.7437193796040499E-2</v>
      </c>
      <c r="Y48" s="117">
        <v>-4.9412854671161903E-2</v>
      </c>
      <c r="Z48" s="117">
        <v>-4.94128563755315E-2</v>
      </c>
      <c r="AA48" s="117">
        <v>-0.24680356883103199</v>
      </c>
      <c r="AB48" s="117">
        <v>-0.13293783748239699</v>
      </c>
      <c r="AC48" s="117">
        <v>7.4410566502829803E-2</v>
      </c>
      <c r="AD48" s="117">
        <v>7.44105665028299E-2</v>
      </c>
      <c r="AE48" s="117">
        <v>-0.30416802136676901</v>
      </c>
      <c r="AF48" s="117">
        <v>-9.8891259428702694E-2</v>
      </c>
      <c r="AG48" s="117">
        <v>-0.17056077285923599</v>
      </c>
      <c r="AH48" s="117">
        <v>-0.29177945572882602</v>
      </c>
      <c r="AI48" s="117">
        <v>-0.33871007897890698</v>
      </c>
      <c r="AJ48" s="117">
        <v>-8.4084253386435395E-2</v>
      </c>
      <c r="AK48" s="117">
        <v>2.6278906116221499E-2</v>
      </c>
      <c r="AL48" s="117">
        <v>-0.315165188261889</v>
      </c>
      <c r="AM48" s="117">
        <v>-0.14856158655020499</v>
      </c>
      <c r="AN48" s="117">
        <v>0.69305187701125903</v>
      </c>
      <c r="AO48" s="117">
        <v>-0.27551576226563002</v>
      </c>
      <c r="AP48" s="117">
        <v>6.8351120736281204E-2</v>
      </c>
      <c r="AQ48" s="117">
        <v>6.3051086261799005E-2</v>
      </c>
      <c r="AR48" s="117">
        <v>-3.9524145632071697E-2</v>
      </c>
      <c r="AS48" s="117">
        <v>-0.23710916324029099</v>
      </c>
      <c r="AT48" s="117">
        <v>-0.323754903849308</v>
      </c>
      <c r="AU48" s="117">
        <v>0.46417556914902303</v>
      </c>
      <c r="AV48" s="117">
        <v>1</v>
      </c>
      <c r="AW48" s="117">
        <v>7.2426993572775905E-2</v>
      </c>
      <c r="AX48" s="117">
        <v>7.6644503377678294E-2</v>
      </c>
      <c r="AY48" s="117">
        <v>-0.12504300193578899</v>
      </c>
      <c r="AZ48" s="117">
        <v>-0.22185879848885501</v>
      </c>
      <c r="BA48" s="117">
        <v>-0.193307959064875</v>
      </c>
      <c r="BB48" s="117">
        <v>0.164531203241818</v>
      </c>
      <c r="BC48" s="117">
        <v>1.48006981956417E-2</v>
      </c>
      <c r="BD48" s="117">
        <v>-0.42538796717022598</v>
      </c>
      <c r="BE48" s="117">
        <v>-9.3118225099792798E-2</v>
      </c>
      <c r="BF48" s="117">
        <v>-9.8615479440418902E-2</v>
      </c>
      <c r="BG48" s="117">
        <v>-0.19422446324853701</v>
      </c>
      <c r="BH48" s="117">
        <v>-0.32201575187807802</v>
      </c>
      <c r="BI48" s="117">
        <v>0.208818545879811</v>
      </c>
      <c r="BJ48" s="117">
        <v>0.14951458677594601</v>
      </c>
      <c r="BK48" s="117">
        <v>-0.69154893850766097</v>
      </c>
      <c r="BL48" s="117">
        <v>-4.63194612832327E-2</v>
      </c>
      <c r="BM48" s="117">
        <v>-0.23721850954294099</v>
      </c>
      <c r="BN48" s="117">
        <v>-0.32370103340013401</v>
      </c>
    </row>
    <row r="49" spans="1:66" x14ac:dyDescent="0.25">
      <c r="A49" t="s">
        <v>259</v>
      </c>
      <c r="B49" s="117">
        <v>0.27804579547552299</v>
      </c>
      <c r="C49" s="117">
        <v>0.30925526098193301</v>
      </c>
      <c r="D49" s="117">
        <v>0.16025234786335499</v>
      </c>
      <c r="E49" s="117">
        <v>2.3302052195263101E-2</v>
      </c>
      <c r="F49" s="117">
        <v>-4.6859156838726497E-2</v>
      </c>
      <c r="G49" s="117">
        <v>0.21176508057809501</v>
      </c>
      <c r="H49" s="117">
        <v>-1.4905100222565E-2</v>
      </c>
      <c r="I49" s="117">
        <v>7.3588010094393294E-2</v>
      </c>
      <c r="J49" s="117">
        <v>-0.220290003959735</v>
      </c>
      <c r="K49" s="117">
        <v>-0.226602927613057</v>
      </c>
      <c r="L49" s="117">
        <v>-0.22640916366532601</v>
      </c>
      <c r="M49" s="117">
        <v>-0.21867814157608101</v>
      </c>
      <c r="N49" s="117">
        <v>-0.18414191434532101</v>
      </c>
      <c r="O49" s="117">
        <v>-0.176045158221564</v>
      </c>
      <c r="P49" s="117">
        <v>-0.16825885221480599</v>
      </c>
      <c r="Q49" s="117">
        <v>-0.16091860456738799</v>
      </c>
      <c r="R49" s="117">
        <v>-0.18223552287639799</v>
      </c>
      <c r="S49" s="117">
        <v>-0.17213065362826499</v>
      </c>
      <c r="T49" s="117">
        <v>-0.26358868340776698</v>
      </c>
      <c r="U49" s="117">
        <v>-0.22678169462231701</v>
      </c>
      <c r="V49" s="117">
        <v>4.0671348120514504E-3</v>
      </c>
      <c r="W49" s="117">
        <v>-0.30176919617968501</v>
      </c>
      <c r="X49" s="117">
        <v>-0.282301726896452</v>
      </c>
      <c r="Y49" s="117">
        <v>-0.23078333427678099</v>
      </c>
      <c r="Z49" s="117">
        <v>-0.23078333292560901</v>
      </c>
      <c r="AA49" s="117">
        <v>-0.21745972069951</v>
      </c>
      <c r="AB49" s="117">
        <v>-0.29944492084312502</v>
      </c>
      <c r="AC49" s="117">
        <v>-0.23471514880876601</v>
      </c>
      <c r="AD49" s="117">
        <v>-0.23471514880876601</v>
      </c>
      <c r="AE49" s="117">
        <v>-0.235675143039868</v>
      </c>
      <c r="AF49" s="117">
        <v>-0.105156012571401</v>
      </c>
      <c r="AG49" s="117">
        <v>-0.213382608111681</v>
      </c>
      <c r="AH49" s="117">
        <v>-0.24853260435784999</v>
      </c>
      <c r="AI49" s="117">
        <v>-0.14520991540591199</v>
      </c>
      <c r="AJ49" s="117">
        <v>-8.65727344099195E-2</v>
      </c>
      <c r="AK49" s="117">
        <v>-0.26620972000989102</v>
      </c>
      <c r="AL49" s="117">
        <v>-0.189719063715552</v>
      </c>
      <c r="AM49" s="117">
        <v>4.6687377668957697E-2</v>
      </c>
      <c r="AN49" s="117">
        <v>8.1532994663808797E-2</v>
      </c>
      <c r="AO49" s="117">
        <v>-4.4086577192108699E-2</v>
      </c>
      <c r="AP49" s="117">
        <v>5.8607955983244898E-2</v>
      </c>
      <c r="AQ49" s="117">
        <v>-1.29476636822897E-2</v>
      </c>
      <c r="AR49" s="117">
        <v>4.41748804281605E-2</v>
      </c>
      <c r="AS49" s="117">
        <v>-4.88737701596474E-3</v>
      </c>
      <c r="AT49" s="117">
        <v>1.1749622403602399E-2</v>
      </c>
      <c r="AU49" s="117">
        <v>0.59756987670239103</v>
      </c>
      <c r="AV49" s="117">
        <v>7.2426993572775905E-2</v>
      </c>
      <c r="AW49" s="117">
        <v>1</v>
      </c>
      <c r="AX49" s="117">
        <v>-0.46375218118883599</v>
      </c>
      <c r="AY49" s="117">
        <v>0.45159149681350502</v>
      </c>
      <c r="AZ49" s="117">
        <v>6.5922717696983602E-2</v>
      </c>
      <c r="BA49" s="117">
        <v>8.0718668339485197E-2</v>
      </c>
      <c r="BB49" s="117">
        <v>-8.5286439394723999E-3</v>
      </c>
      <c r="BC49" s="117">
        <v>-0.20845076140340499</v>
      </c>
      <c r="BD49" s="117">
        <v>-0.19720395096472601</v>
      </c>
      <c r="BE49" s="117">
        <v>-0.28837719987916899</v>
      </c>
      <c r="BF49" s="117">
        <v>-0.28651642068368</v>
      </c>
      <c r="BG49" s="117">
        <v>-0.22119198842881899</v>
      </c>
      <c r="BH49" s="117">
        <v>-4.1788018195868901E-2</v>
      </c>
      <c r="BI49" s="117">
        <v>5.1282283952806498E-2</v>
      </c>
      <c r="BJ49" s="117">
        <v>-3.4867848831310701E-2</v>
      </c>
      <c r="BK49" s="117">
        <v>-6.6899239259415905E-2</v>
      </c>
      <c r="BL49" s="117">
        <v>9.4068888368130696E-2</v>
      </c>
      <c r="BM49" s="117">
        <v>-3.9601970100652199E-3</v>
      </c>
      <c r="BN49" s="117">
        <v>1.13898085508584E-2</v>
      </c>
    </row>
    <row r="50" spans="1:66" x14ac:dyDescent="0.25">
      <c r="A50" t="s">
        <v>260</v>
      </c>
      <c r="B50" s="117">
        <v>-0.156446360804394</v>
      </c>
      <c r="C50" s="117">
        <v>-0.19952200016351199</v>
      </c>
      <c r="D50" s="117">
        <v>-0.169841248808414</v>
      </c>
      <c r="E50" s="117">
        <v>0.120848360125676</v>
      </c>
      <c r="F50" s="117">
        <v>-0.25409757567422903</v>
      </c>
      <c r="G50" s="117">
        <v>-0.601752071969054</v>
      </c>
      <c r="H50" s="117">
        <v>0.14334631175927001</v>
      </c>
      <c r="I50" s="117">
        <v>-3.93312550767278E-2</v>
      </c>
      <c r="J50" s="117">
        <v>0.37078672363144799</v>
      </c>
      <c r="K50" s="117">
        <v>0.44661872542330699</v>
      </c>
      <c r="L50" s="117">
        <v>0.466419417750911</v>
      </c>
      <c r="M50" s="117">
        <v>0.45493478624393402</v>
      </c>
      <c r="N50" s="117">
        <v>0.103015290294654</v>
      </c>
      <c r="O50" s="117">
        <v>4.4640454880745098E-2</v>
      </c>
      <c r="P50" s="117">
        <v>0.12808005861037</v>
      </c>
      <c r="Q50" s="117">
        <v>0.11051912031015899</v>
      </c>
      <c r="R50" s="117">
        <v>0.10779822973440201</v>
      </c>
      <c r="S50" s="117">
        <v>7.8250194203291296E-2</v>
      </c>
      <c r="T50" s="117">
        <v>0.42908339348117203</v>
      </c>
      <c r="U50" s="117">
        <v>0.35157658930935298</v>
      </c>
      <c r="V50" s="117">
        <v>-5.9935319214164E-2</v>
      </c>
      <c r="W50" s="117">
        <v>0.63152250070220795</v>
      </c>
      <c r="X50" s="117">
        <v>0.61551525078031399</v>
      </c>
      <c r="Y50" s="117">
        <v>0.501411958538028</v>
      </c>
      <c r="Z50" s="117">
        <v>0.50141195787986104</v>
      </c>
      <c r="AA50" s="117">
        <v>0.22866554418565199</v>
      </c>
      <c r="AB50" s="117">
        <v>0.56704156257884797</v>
      </c>
      <c r="AC50" s="117">
        <v>0.40726696084934699</v>
      </c>
      <c r="AD50" s="117">
        <v>0.40726696084934699</v>
      </c>
      <c r="AE50" s="117">
        <v>-9.8221543512726894E-3</v>
      </c>
      <c r="AF50" s="117">
        <v>0.38129169324247503</v>
      </c>
      <c r="AG50" s="117">
        <v>0.41161642752234701</v>
      </c>
      <c r="AH50" s="117">
        <v>0.22541120624674801</v>
      </c>
      <c r="AI50" s="117">
        <v>-1.4066941339149101E-2</v>
      </c>
      <c r="AJ50" s="117">
        <v>0.25283376802201102</v>
      </c>
      <c r="AK50" s="117">
        <v>0.50420100033700499</v>
      </c>
      <c r="AL50" s="117">
        <v>0.164925626134973</v>
      </c>
      <c r="AM50" s="117">
        <v>-0.40586614075484601</v>
      </c>
      <c r="AN50" s="117">
        <v>-4.1869144094316101E-2</v>
      </c>
      <c r="AO50" s="117">
        <v>0.43141562594746602</v>
      </c>
      <c r="AP50" s="117">
        <v>0.33384904714800701</v>
      </c>
      <c r="AQ50" s="117">
        <v>1.6006575158070802E-2</v>
      </c>
      <c r="AR50" s="117">
        <v>-0.25715598638571902</v>
      </c>
      <c r="AS50" s="117">
        <v>-5.18407785734354E-2</v>
      </c>
      <c r="AT50" s="117">
        <v>0.13132565794637299</v>
      </c>
      <c r="AU50" s="117">
        <v>-0.16461069346292601</v>
      </c>
      <c r="AV50" s="117">
        <v>7.6644503377678294E-2</v>
      </c>
      <c r="AW50" s="117">
        <v>-0.46375218118883599</v>
      </c>
      <c r="AX50" s="117">
        <v>1</v>
      </c>
      <c r="AY50" s="117">
        <v>-0.95008780531373305</v>
      </c>
      <c r="AZ50" s="117">
        <v>3.2485579736530802E-2</v>
      </c>
      <c r="BA50" s="117">
        <v>-0.58193167172364701</v>
      </c>
      <c r="BB50" s="117">
        <v>-6.0988143289089899E-2</v>
      </c>
      <c r="BC50" s="117">
        <v>0.45828399853065699</v>
      </c>
      <c r="BD50" s="117">
        <v>0.35371730085174102</v>
      </c>
      <c r="BE50" s="117">
        <v>0.51796234572043398</v>
      </c>
      <c r="BF50" s="117">
        <v>0.72857440025426701</v>
      </c>
      <c r="BG50" s="117">
        <v>0.72400611597873898</v>
      </c>
      <c r="BH50" s="117">
        <v>0.191476591644856</v>
      </c>
      <c r="BI50" s="117">
        <v>-0.17025665528384701</v>
      </c>
      <c r="BJ50" s="117">
        <v>0.39633059369361101</v>
      </c>
      <c r="BK50" s="117">
        <v>5.41513036765668E-3</v>
      </c>
      <c r="BL50" s="117">
        <v>-0.36430345862832197</v>
      </c>
      <c r="BM50" s="117">
        <v>-5.47944107852582E-2</v>
      </c>
      <c r="BN50" s="117">
        <v>0.132879093522593</v>
      </c>
    </row>
    <row r="51" spans="1:66" x14ac:dyDescent="0.25">
      <c r="A51" t="s">
        <v>261</v>
      </c>
      <c r="B51" s="117">
        <v>0.238698374176564</v>
      </c>
      <c r="C51" s="117">
        <v>0.27347803020360401</v>
      </c>
      <c r="D51" s="117">
        <v>0.122816179524735</v>
      </c>
      <c r="E51" s="117">
        <v>-2.4948457587145201E-2</v>
      </c>
      <c r="F51" s="117">
        <v>0.39999977128583297</v>
      </c>
      <c r="G51" s="117">
        <v>0.59319454660773496</v>
      </c>
      <c r="H51" s="117">
        <v>-2.96435158201965E-2</v>
      </c>
      <c r="I51" s="117">
        <v>0.20931063855975099</v>
      </c>
      <c r="J51" s="117">
        <v>-0.32405818772589901</v>
      </c>
      <c r="K51" s="117">
        <v>-0.427025976467174</v>
      </c>
      <c r="L51" s="117">
        <v>-0.43324873138386399</v>
      </c>
      <c r="M51" s="117">
        <v>-0.415947600334099</v>
      </c>
      <c r="N51" s="117">
        <v>-2.0745332021189101E-2</v>
      </c>
      <c r="O51" s="117">
        <v>3.8026173640041197E-2</v>
      </c>
      <c r="P51" s="117">
        <v>-5.0011970759766003E-2</v>
      </c>
      <c r="Q51" s="117">
        <v>-3.1951631307845597E-2</v>
      </c>
      <c r="R51" s="117">
        <v>-2.5881331183748999E-2</v>
      </c>
      <c r="S51" s="117">
        <v>4.0692611470901398E-3</v>
      </c>
      <c r="T51" s="117">
        <v>-0.379573276908857</v>
      </c>
      <c r="U51" s="117">
        <v>-0.29585708539302902</v>
      </c>
      <c r="V51" s="117">
        <v>0.13459977548719401</v>
      </c>
      <c r="W51" s="117">
        <v>-0.62610133333239604</v>
      </c>
      <c r="X51" s="117">
        <v>-0.61328250343609603</v>
      </c>
      <c r="Y51" s="117">
        <v>-0.49531337301612699</v>
      </c>
      <c r="Z51" s="117">
        <v>-0.49531337271843701</v>
      </c>
      <c r="AA51" s="117">
        <v>-0.147032968044643</v>
      </c>
      <c r="AB51" s="117">
        <v>-0.53059757337917401</v>
      </c>
      <c r="AC51" s="117">
        <v>-0.39131971563297502</v>
      </c>
      <c r="AD51" s="117">
        <v>-0.39131971563297502</v>
      </c>
      <c r="AE51" s="117">
        <v>5.4274227207402097E-2</v>
      </c>
      <c r="AF51" s="117">
        <v>-0.375466510475432</v>
      </c>
      <c r="AG51" s="117">
        <v>-0.41333231611243598</v>
      </c>
      <c r="AH51" s="117">
        <v>-0.189767692502608</v>
      </c>
      <c r="AI51" s="117">
        <v>1.52558807130224E-3</v>
      </c>
      <c r="AJ51" s="117">
        <v>-0.206280779470701</v>
      </c>
      <c r="AK51" s="117">
        <v>-0.49028456109285701</v>
      </c>
      <c r="AL51" s="117">
        <v>-0.15135497244638199</v>
      </c>
      <c r="AM51" s="117">
        <v>0.32258765962839198</v>
      </c>
      <c r="AN51" s="117">
        <v>2.3042474100792201E-2</v>
      </c>
      <c r="AO51" s="117">
        <v>-0.30912051498523702</v>
      </c>
      <c r="AP51" s="117">
        <v>-0.49387836032271298</v>
      </c>
      <c r="AQ51" s="117">
        <v>0.232344259959676</v>
      </c>
      <c r="AR51" s="117">
        <v>0.228602547253348</v>
      </c>
      <c r="AS51" s="117">
        <v>4.1929041983123798E-2</v>
      </c>
      <c r="AT51" s="117">
        <v>-5.6962335467362402E-2</v>
      </c>
      <c r="AU51" s="117">
        <v>0.13530286519849599</v>
      </c>
      <c r="AV51" s="117">
        <v>-0.12504300193578899</v>
      </c>
      <c r="AW51" s="117">
        <v>0.45159149681350502</v>
      </c>
      <c r="AX51" s="117">
        <v>-0.95008780531373305</v>
      </c>
      <c r="AY51" s="117">
        <v>1</v>
      </c>
      <c r="AZ51" s="117">
        <v>2.31328082899027E-2</v>
      </c>
      <c r="BA51" s="117">
        <v>0.66016580180232698</v>
      </c>
      <c r="BB51" s="117">
        <v>-0.10639178933280601</v>
      </c>
      <c r="BC51" s="117">
        <v>-0.43683597265463497</v>
      </c>
      <c r="BD51" s="117">
        <v>-0.229399025508601</v>
      </c>
      <c r="BE51" s="117">
        <v>-0.47846792794201398</v>
      </c>
      <c r="BF51" s="117">
        <v>-0.72109995556681095</v>
      </c>
      <c r="BG51" s="117">
        <v>-0.69295601766744297</v>
      </c>
      <c r="BH51" s="117">
        <v>-2.8678574552347499E-2</v>
      </c>
      <c r="BI51" s="117">
        <v>5.5136437378956897E-2</v>
      </c>
      <c r="BJ51" s="117">
        <v>-0.31135549059324003</v>
      </c>
      <c r="BK51" s="117">
        <v>4.4165023002575698E-3</v>
      </c>
      <c r="BL51" s="117">
        <v>0.29697176528937802</v>
      </c>
      <c r="BM51" s="117">
        <v>4.4473418829983E-2</v>
      </c>
      <c r="BN51" s="117">
        <v>-5.8089773924961598E-2</v>
      </c>
    </row>
    <row r="52" spans="1:66" x14ac:dyDescent="0.25">
      <c r="A52" t="s">
        <v>262</v>
      </c>
      <c r="B52" s="117">
        <v>0.23685307470495301</v>
      </c>
      <c r="C52" s="117">
        <v>0.37305017846793398</v>
      </c>
      <c r="D52" s="117">
        <v>0.68082034070072195</v>
      </c>
      <c r="E52" s="117">
        <v>0.98807548067473805</v>
      </c>
      <c r="F52" s="117">
        <v>0.43129777937323199</v>
      </c>
      <c r="G52" s="117">
        <v>-0.214154402206505</v>
      </c>
      <c r="H52" s="117">
        <v>0.84822030024073902</v>
      </c>
      <c r="I52" s="117">
        <v>0.64887732400033205</v>
      </c>
      <c r="J52" s="117">
        <v>-0.42980449118978098</v>
      </c>
      <c r="K52" s="117">
        <v>-0.45539823946500502</v>
      </c>
      <c r="L52" s="117">
        <v>-0.400809395397623</v>
      </c>
      <c r="M52" s="117">
        <v>-0.39543459040705498</v>
      </c>
      <c r="N52" s="117">
        <v>0.42936800048437102</v>
      </c>
      <c r="O52" s="117">
        <v>0.42748106512450701</v>
      </c>
      <c r="P52" s="117">
        <v>0.42851453653302601</v>
      </c>
      <c r="Q52" s="117">
        <v>0.430351289397783</v>
      </c>
      <c r="R52" s="117">
        <v>0.43115667661933599</v>
      </c>
      <c r="S52" s="117">
        <v>0.43763154193217302</v>
      </c>
      <c r="T52" s="117">
        <v>0.293831156133816</v>
      </c>
      <c r="U52" s="117">
        <v>0.35403829647313001</v>
      </c>
      <c r="V52" s="117">
        <v>0.75431855487127697</v>
      </c>
      <c r="W52" s="117">
        <v>0.10897359491750599</v>
      </c>
      <c r="X52" s="117">
        <v>0.107095639725708</v>
      </c>
      <c r="Y52" s="117">
        <v>8.8747361041595002E-2</v>
      </c>
      <c r="Z52" s="117">
        <v>8.8747360972028302E-2</v>
      </c>
      <c r="AA52" s="117">
        <v>0.42940192608237099</v>
      </c>
      <c r="AB52" s="117">
        <v>0.28501869930468299</v>
      </c>
      <c r="AC52" s="117">
        <v>6.8083452216005605E-2</v>
      </c>
      <c r="AD52" s="117">
        <v>6.8083452216005702E-2</v>
      </c>
      <c r="AE52" s="117">
        <v>7.4568204806979094E-2</v>
      </c>
      <c r="AF52" s="117">
        <v>0.214167136851069</v>
      </c>
      <c r="AG52" s="117">
        <v>-8.0075781813757504E-2</v>
      </c>
      <c r="AH52" s="117">
        <v>0.15472675206957501</v>
      </c>
      <c r="AI52" s="117">
        <v>0.24579367596172599</v>
      </c>
      <c r="AJ52" s="117">
        <v>0.48451589302306902</v>
      </c>
      <c r="AK52" s="117">
        <v>8.6566078249695505E-2</v>
      </c>
      <c r="AL52" s="117">
        <v>0.44340971015925201</v>
      </c>
      <c r="AM52" s="117">
        <v>-0.55932786411370095</v>
      </c>
      <c r="AN52" s="117">
        <v>-0.29227535336548299</v>
      </c>
      <c r="AO52" s="117">
        <v>0.74106115647367099</v>
      </c>
      <c r="AP52" s="117">
        <v>-0.58518045302545596</v>
      </c>
      <c r="AQ52" s="117">
        <v>-0.335743895808361</v>
      </c>
      <c r="AR52" s="117">
        <v>-0.84717366385206005</v>
      </c>
      <c r="AS52" s="117">
        <v>8.4327117150093694E-2</v>
      </c>
      <c r="AT52" s="117">
        <v>7.9741118928464E-2</v>
      </c>
      <c r="AU52" s="117">
        <v>-5.0101155182074697E-2</v>
      </c>
      <c r="AV52" s="117">
        <v>-0.22185879848885501</v>
      </c>
      <c r="AW52" s="117">
        <v>6.5922717696983602E-2</v>
      </c>
      <c r="AX52" s="117">
        <v>3.2485579736530802E-2</v>
      </c>
      <c r="AY52" s="117">
        <v>2.31328082899027E-2</v>
      </c>
      <c r="AZ52" s="117">
        <v>1</v>
      </c>
      <c r="BA52" s="117">
        <v>0.207993401940821</v>
      </c>
      <c r="BB52" s="117">
        <v>-0.57992358132076205</v>
      </c>
      <c r="BC52" s="117">
        <v>-0.45292854861194498</v>
      </c>
      <c r="BD52" s="117">
        <v>0.591045933013844</v>
      </c>
      <c r="BE52" s="117">
        <v>0.277515244850359</v>
      </c>
      <c r="BF52" s="117">
        <v>0.15712797992876101</v>
      </c>
      <c r="BG52" s="117">
        <v>0.20259279740532299</v>
      </c>
      <c r="BH52" s="117">
        <v>0.63562046662208804</v>
      </c>
      <c r="BI52" s="117">
        <v>-0.44956461821298899</v>
      </c>
      <c r="BJ52" s="117">
        <v>0.54112880138146802</v>
      </c>
      <c r="BK52" s="117">
        <v>0.23945802587007101</v>
      </c>
      <c r="BL52" s="117">
        <v>-0.82551222181957995</v>
      </c>
      <c r="BM52" s="117">
        <v>8.3336671541562601E-2</v>
      </c>
      <c r="BN52" s="117">
        <v>7.9108047864528505E-2</v>
      </c>
    </row>
    <row r="53" spans="1:66" x14ac:dyDescent="0.25">
      <c r="A53" t="s">
        <v>263</v>
      </c>
      <c r="B53" s="117">
        <v>0.41777845254074403</v>
      </c>
      <c r="C53" s="117">
        <v>0.47133766705409802</v>
      </c>
      <c r="D53" s="117">
        <v>0.170616299017362</v>
      </c>
      <c r="E53" s="117">
        <v>0.199103283700023</v>
      </c>
      <c r="F53" s="117">
        <v>0.91193371123206801</v>
      </c>
      <c r="G53" s="117">
        <v>0.63859349993410697</v>
      </c>
      <c r="H53" s="117">
        <v>0.12929576661353001</v>
      </c>
      <c r="I53" s="117">
        <v>0.281528829472938</v>
      </c>
      <c r="J53" s="117">
        <v>-0.24851916237388999</v>
      </c>
      <c r="K53" s="117">
        <v>-0.33756076804834301</v>
      </c>
      <c r="L53" s="117">
        <v>-0.33601258548451302</v>
      </c>
      <c r="M53" s="117">
        <v>-0.31410493344212298</v>
      </c>
      <c r="N53" s="117">
        <v>0.31623385617497801</v>
      </c>
      <c r="O53" s="117">
        <v>0.39920131785260698</v>
      </c>
      <c r="P53" s="117">
        <v>0.21438072743853101</v>
      </c>
      <c r="Q53" s="117">
        <v>0.22972830156713001</v>
      </c>
      <c r="R53" s="117">
        <v>0.300110829868238</v>
      </c>
      <c r="S53" s="117">
        <v>0.32323288655216198</v>
      </c>
      <c r="T53" s="117">
        <v>-8.3841545911294293E-2</v>
      </c>
      <c r="U53" s="117">
        <v>-7.5245471663447404E-3</v>
      </c>
      <c r="V53" s="117">
        <v>0.434578639717347</v>
      </c>
      <c r="W53" s="117">
        <v>-0.34629392052922803</v>
      </c>
      <c r="X53" s="117">
        <v>-0.35117077357540799</v>
      </c>
      <c r="Y53" s="117">
        <v>-0.27528284776692702</v>
      </c>
      <c r="Z53" s="117">
        <v>-0.27528284881475301</v>
      </c>
      <c r="AA53" s="117">
        <v>0.33165230847975902</v>
      </c>
      <c r="AB53" s="117">
        <v>-0.14266541921013601</v>
      </c>
      <c r="AC53" s="117">
        <v>-0.171912496714934</v>
      </c>
      <c r="AD53" s="117">
        <v>-0.171912496714934</v>
      </c>
      <c r="AE53" s="117">
        <v>0.290897467341663</v>
      </c>
      <c r="AF53" s="117">
        <v>6.58603120270283E-2</v>
      </c>
      <c r="AG53" s="117">
        <v>-0.231947315786911</v>
      </c>
      <c r="AH53" s="117">
        <v>0.22510670829291099</v>
      </c>
      <c r="AI53" s="117">
        <v>0.24544535387109001</v>
      </c>
      <c r="AJ53" s="117">
        <v>0.287330444584879</v>
      </c>
      <c r="AK53" s="117">
        <v>-0.2384431217271</v>
      </c>
      <c r="AL53" s="117">
        <v>0.31296938557666298</v>
      </c>
      <c r="AM53" s="117">
        <v>2.3294363258769199E-2</v>
      </c>
      <c r="AN53" s="117">
        <v>-0.22461433051128901</v>
      </c>
      <c r="AO53" s="117">
        <v>-5.9927825364980099E-2</v>
      </c>
      <c r="AP53" s="117">
        <v>-0.61110965670583195</v>
      </c>
      <c r="AQ53" s="117">
        <v>0.18797316038290501</v>
      </c>
      <c r="AR53" s="117">
        <v>-1.6941465309069301E-2</v>
      </c>
      <c r="AS53" s="117">
        <v>8.3901763198714396E-2</v>
      </c>
      <c r="AT53" s="117">
        <v>-3.9668569376336602E-2</v>
      </c>
      <c r="AU53" s="117">
        <v>-3.8452884448576197E-2</v>
      </c>
      <c r="AV53" s="117">
        <v>-0.193307959064875</v>
      </c>
      <c r="AW53" s="117">
        <v>8.0718668339485197E-2</v>
      </c>
      <c r="AX53" s="117">
        <v>-0.58193167172364701</v>
      </c>
      <c r="AY53" s="117">
        <v>0.66016580180232698</v>
      </c>
      <c r="AZ53" s="117">
        <v>0.207993401940821</v>
      </c>
      <c r="BA53" s="117">
        <v>1</v>
      </c>
      <c r="BB53" s="117">
        <v>-0.20281977253684899</v>
      </c>
      <c r="BC53" s="117">
        <v>-0.335099732532188</v>
      </c>
      <c r="BD53" s="117">
        <v>0.25375647386704298</v>
      </c>
      <c r="BE53" s="117">
        <v>-0.136017401107312</v>
      </c>
      <c r="BF53" s="117">
        <v>-0.43120494542642601</v>
      </c>
      <c r="BG53" s="117">
        <v>-0.43364296934018498</v>
      </c>
      <c r="BH53" s="117">
        <v>0.335941245603609</v>
      </c>
      <c r="BI53" s="117">
        <v>-0.25746423316522998</v>
      </c>
      <c r="BJ53" s="117">
        <v>-1.9935111441210102E-2</v>
      </c>
      <c r="BK53" s="117">
        <v>0.238754964939628</v>
      </c>
      <c r="BL53" s="117">
        <v>7.9262509625703508E-3</v>
      </c>
      <c r="BM53" s="117">
        <v>8.4851840974649304E-2</v>
      </c>
      <c r="BN53" s="117">
        <v>-4.0539355321333799E-2</v>
      </c>
    </row>
    <row r="54" spans="1:66" x14ac:dyDescent="0.25">
      <c r="A54" t="s">
        <v>264</v>
      </c>
      <c r="B54" s="117">
        <v>-0.150025487263172</v>
      </c>
      <c r="C54" s="117">
        <v>-0.24531944533989899</v>
      </c>
      <c r="D54" s="117">
        <v>-0.44017579643218102</v>
      </c>
      <c r="E54" s="117">
        <v>-0.626953573785895</v>
      </c>
      <c r="F54" s="117">
        <v>-0.42106661894087899</v>
      </c>
      <c r="G54" s="117">
        <v>0.39117082876076797</v>
      </c>
      <c r="H54" s="117">
        <v>-0.88501212801516704</v>
      </c>
      <c r="I54" s="117">
        <v>-0.98787331444285398</v>
      </c>
      <c r="J54" s="117">
        <v>0.43906346126687401</v>
      </c>
      <c r="K54" s="117">
        <v>0.43118002947684098</v>
      </c>
      <c r="L54" s="117">
        <v>0.40418617530303402</v>
      </c>
      <c r="M54" s="117">
        <v>0.38631905159072799</v>
      </c>
      <c r="N54" s="117">
        <v>-0.49222372938832498</v>
      </c>
      <c r="O54" s="117">
        <v>-0.50236818887686296</v>
      </c>
      <c r="P54" s="117">
        <v>-0.48595842425592201</v>
      </c>
      <c r="Q54" s="117">
        <v>-0.49958741016195202</v>
      </c>
      <c r="R54" s="117">
        <v>-0.49336334950816801</v>
      </c>
      <c r="S54" s="117">
        <v>-0.51124243599984598</v>
      </c>
      <c r="T54" s="117">
        <v>-0.28484875991165998</v>
      </c>
      <c r="U54" s="117">
        <v>-0.40684269850266602</v>
      </c>
      <c r="V54" s="117">
        <v>-0.59212986721499195</v>
      </c>
      <c r="W54" s="117">
        <v>-8.6603340156813494E-2</v>
      </c>
      <c r="X54" s="117">
        <v>-8.8025086044778197E-2</v>
      </c>
      <c r="Y54" s="117">
        <v>8.4957443645666403E-3</v>
      </c>
      <c r="Z54" s="117">
        <v>8.4957424242659806E-3</v>
      </c>
      <c r="AA54" s="117">
        <v>-0.52162353384083404</v>
      </c>
      <c r="AB54" s="117">
        <v>-0.36740666277308898</v>
      </c>
      <c r="AC54" s="117">
        <v>-2.3612668032433198E-3</v>
      </c>
      <c r="AD54" s="117">
        <v>-2.3612668032433398E-3</v>
      </c>
      <c r="AE54" s="117">
        <v>-6.93096157501608E-2</v>
      </c>
      <c r="AF54" s="117">
        <v>-0.248306547922753</v>
      </c>
      <c r="AG54" s="117">
        <v>0.23108055719555401</v>
      </c>
      <c r="AH54" s="117">
        <v>-0.15287690321823899</v>
      </c>
      <c r="AI54" s="117">
        <v>-0.14242115326280699</v>
      </c>
      <c r="AJ54" s="117">
        <v>-0.482280828364688</v>
      </c>
      <c r="AK54" s="117">
        <v>1.6174754091535001E-2</v>
      </c>
      <c r="AL54" s="117">
        <v>-0.34633823338949599</v>
      </c>
      <c r="AM54" s="117">
        <v>0.39891357738150901</v>
      </c>
      <c r="AN54" s="117">
        <v>0.19181445494292901</v>
      </c>
      <c r="AO54" s="117">
        <v>-0.52849034388876304</v>
      </c>
      <c r="AP54" s="117">
        <v>0.51462033150077602</v>
      </c>
      <c r="AQ54" s="117">
        <v>-0.23062937802648401</v>
      </c>
      <c r="AR54" s="117">
        <v>0.53065192802091798</v>
      </c>
      <c r="AS54" s="117">
        <v>-0.14015503853095301</v>
      </c>
      <c r="AT54" s="117">
        <v>0.13771211136727901</v>
      </c>
      <c r="AU54" s="117">
        <v>-1.7615035591077299E-2</v>
      </c>
      <c r="AV54" s="117">
        <v>0.164531203241818</v>
      </c>
      <c r="AW54" s="117">
        <v>-8.5286439394723999E-3</v>
      </c>
      <c r="AX54" s="117">
        <v>-6.0988143289089899E-2</v>
      </c>
      <c r="AY54" s="117">
        <v>-0.10639178933280601</v>
      </c>
      <c r="AZ54" s="117">
        <v>-0.57992358132076205</v>
      </c>
      <c r="BA54" s="117">
        <v>-0.20281977253684899</v>
      </c>
      <c r="BB54" s="117">
        <v>1</v>
      </c>
      <c r="BC54" s="117">
        <v>0.42955751406885001</v>
      </c>
      <c r="BD54" s="117">
        <v>-0.607969803488424</v>
      </c>
      <c r="BE54" s="117">
        <v>-0.37519813938282398</v>
      </c>
      <c r="BF54" s="117">
        <v>-0.18226593312240699</v>
      </c>
      <c r="BG54" s="117">
        <v>-0.35504178101254202</v>
      </c>
      <c r="BH54" s="117">
        <v>-0.71899968675396297</v>
      </c>
      <c r="BI54" s="117">
        <v>0.52041552025087601</v>
      </c>
      <c r="BJ54" s="117">
        <v>-0.39189338509222399</v>
      </c>
      <c r="BK54" s="117">
        <v>-0.148437562602975</v>
      </c>
      <c r="BL54" s="117">
        <v>0.53712575636433402</v>
      </c>
      <c r="BM54" s="117">
        <v>-0.14022971243247201</v>
      </c>
      <c r="BN54" s="117">
        <v>0.137080648162303</v>
      </c>
    </row>
    <row r="55" spans="1:66" x14ac:dyDescent="0.25">
      <c r="A55" t="s">
        <v>265</v>
      </c>
      <c r="B55" s="117">
        <v>4.7033387727237197E-2</v>
      </c>
      <c r="C55" s="117">
        <v>-0.129868451617212</v>
      </c>
      <c r="D55" s="117">
        <v>-0.849516585189111</v>
      </c>
      <c r="E55" s="117">
        <v>-0.40926211627756898</v>
      </c>
      <c r="F55" s="117">
        <v>-0.31915905951232798</v>
      </c>
      <c r="G55" s="117">
        <v>3.28188131925635E-3</v>
      </c>
      <c r="H55" s="117">
        <v>-0.44661925233711203</v>
      </c>
      <c r="I55" s="117">
        <v>-0.50042230219387596</v>
      </c>
      <c r="J55" s="117">
        <v>0.90426566639209105</v>
      </c>
      <c r="K55" s="117">
        <v>0.95287459973978395</v>
      </c>
      <c r="L55" s="117">
        <v>0.99014905707837497</v>
      </c>
      <c r="M55" s="117">
        <v>0.96273431882566496</v>
      </c>
      <c r="N55" s="117">
        <v>-0.21236557789897501</v>
      </c>
      <c r="O55" s="117">
        <v>-0.23940010496561301</v>
      </c>
      <c r="P55" s="117">
        <v>-0.20225379495214199</v>
      </c>
      <c r="Q55" s="117">
        <v>-0.21537275706071099</v>
      </c>
      <c r="R55" s="117">
        <v>-0.21158078545954301</v>
      </c>
      <c r="S55" s="117">
        <v>-0.232360956173223</v>
      </c>
      <c r="T55" s="117">
        <v>3.1021014804270899E-2</v>
      </c>
      <c r="U55" s="117">
        <v>-6.1571850812123997E-2</v>
      </c>
      <c r="V55" s="117">
        <v>-0.49623208093596899</v>
      </c>
      <c r="W55" s="117">
        <v>0.230932165837505</v>
      </c>
      <c r="X55" s="117">
        <v>0.22232951397825801</v>
      </c>
      <c r="Y55" s="117">
        <v>0.209521801389493</v>
      </c>
      <c r="Z55" s="117">
        <v>0.209521800302995</v>
      </c>
      <c r="AA55" s="117">
        <v>-0.18284091512571299</v>
      </c>
      <c r="AB55" s="117">
        <v>5.5427568325821797E-2</v>
      </c>
      <c r="AC55" s="117">
        <v>0.17280273016706699</v>
      </c>
      <c r="AD55" s="117">
        <v>0.17280273016706699</v>
      </c>
      <c r="AE55" s="117">
        <v>7.2653504800832797E-2</v>
      </c>
      <c r="AF55" s="117">
        <v>8.0042883415470806E-2</v>
      </c>
      <c r="AG55" s="117">
        <v>0.60321887075014002</v>
      </c>
      <c r="AH55" s="117">
        <v>0.15429884018196999</v>
      </c>
      <c r="AI55" s="117">
        <v>-9.2382354731049401E-2</v>
      </c>
      <c r="AJ55" s="117">
        <v>-0.18741576730499901</v>
      </c>
      <c r="AK55" s="117">
        <v>0.219660554370669</v>
      </c>
      <c r="AL55" s="117">
        <v>-0.141602289886927</v>
      </c>
      <c r="AM55" s="117">
        <v>7.9236521160699097E-2</v>
      </c>
      <c r="AN55" s="117">
        <v>5.0651686089950097E-2</v>
      </c>
      <c r="AO55" s="117">
        <v>-0.212191483038667</v>
      </c>
      <c r="AP55" s="117">
        <v>0.466726263514674</v>
      </c>
      <c r="AQ55" s="117">
        <v>6.8519612427219295E-2</v>
      </c>
      <c r="AR55" s="117">
        <v>0.42000984804293201</v>
      </c>
      <c r="AS55" s="117">
        <v>-0.114043798690767</v>
      </c>
      <c r="AT55" s="117">
        <v>0.23312132369442401</v>
      </c>
      <c r="AU55" s="117">
        <v>-0.112826521214402</v>
      </c>
      <c r="AV55" s="117">
        <v>1.48006981956417E-2</v>
      </c>
      <c r="AW55" s="117">
        <v>-0.20845076140340499</v>
      </c>
      <c r="AX55" s="117">
        <v>0.45828399853065699</v>
      </c>
      <c r="AY55" s="117">
        <v>-0.43683597265463497</v>
      </c>
      <c r="AZ55" s="117">
        <v>-0.45292854861194498</v>
      </c>
      <c r="BA55" s="117">
        <v>-0.335099732532188</v>
      </c>
      <c r="BB55" s="117">
        <v>0.42955751406885001</v>
      </c>
      <c r="BC55" s="117">
        <v>1</v>
      </c>
      <c r="BD55" s="117">
        <v>-0.27897953597589598</v>
      </c>
      <c r="BE55" s="117">
        <v>3.8638282083068597E-2</v>
      </c>
      <c r="BF55" s="117">
        <v>0.20234272008475501</v>
      </c>
      <c r="BG55" s="117">
        <v>8.4830098677683999E-2</v>
      </c>
      <c r="BH55" s="117">
        <v>-0.374186748518124</v>
      </c>
      <c r="BI55" s="117">
        <v>2.5248087484976402E-2</v>
      </c>
      <c r="BJ55" s="117">
        <v>-7.6064195229831502E-2</v>
      </c>
      <c r="BK55" s="117">
        <v>-3.7607940853296801E-2</v>
      </c>
      <c r="BL55" s="117">
        <v>0.33741390871766802</v>
      </c>
      <c r="BM55" s="117">
        <v>-0.115395740953826</v>
      </c>
      <c r="BN55" s="117">
        <v>0.23224594363744699</v>
      </c>
    </row>
    <row r="56" spans="1:66" x14ac:dyDescent="0.25">
      <c r="A56" t="s">
        <v>266</v>
      </c>
      <c r="B56" s="117">
        <v>0.51489321705054303</v>
      </c>
      <c r="C56" s="117">
        <v>0.59496960025687096</v>
      </c>
      <c r="D56" s="117">
        <v>0.348784558672808</v>
      </c>
      <c r="E56" s="117">
        <v>0.64870134174279603</v>
      </c>
      <c r="F56" s="117">
        <v>0.53414390774557596</v>
      </c>
      <c r="G56" s="117">
        <v>-0.28070554050951102</v>
      </c>
      <c r="H56" s="117">
        <v>0.62869777849763797</v>
      </c>
      <c r="I56" s="117">
        <v>0.58880130112955598</v>
      </c>
      <c r="J56" s="117">
        <v>-0.26793318148768902</v>
      </c>
      <c r="K56" s="117">
        <v>-0.26272919304901998</v>
      </c>
      <c r="L56" s="117">
        <v>-0.233175788951585</v>
      </c>
      <c r="M56" s="117">
        <v>-0.25402120395606598</v>
      </c>
      <c r="N56" s="117">
        <v>0.64655473107443895</v>
      </c>
      <c r="O56" s="117">
        <v>0.612966553909852</v>
      </c>
      <c r="P56" s="117">
        <v>0.65423437413097296</v>
      </c>
      <c r="Q56" s="117">
        <v>0.64696259041847204</v>
      </c>
      <c r="R56" s="117">
        <v>0.65079275686403104</v>
      </c>
      <c r="S56" s="117">
        <v>0.64235234142466502</v>
      </c>
      <c r="T56" s="117">
        <v>0.62866349558083401</v>
      </c>
      <c r="U56" s="117">
        <v>0.68313503967786904</v>
      </c>
      <c r="V56" s="117">
        <v>0.75227712767041999</v>
      </c>
      <c r="W56" s="117">
        <v>0.483788266487441</v>
      </c>
      <c r="X56" s="117">
        <v>0.48370751024515801</v>
      </c>
      <c r="Y56" s="117">
        <v>0.41271443136334302</v>
      </c>
      <c r="Z56" s="117">
        <v>0.41271443150950199</v>
      </c>
      <c r="AA56" s="117">
        <v>0.74806971744089501</v>
      </c>
      <c r="AB56" s="117">
        <v>0.69984637081618795</v>
      </c>
      <c r="AC56" s="117">
        <v>0.28071536475636699</v>
      </c>
      <c r="AD56" s="117">
        <v>0.28071536475636699</v>
      </c>
      <c r="AE56" s="117">
        <v>0.22647965619212099</v>
      </c>
      <c r="AF56" s="117">
        <v>0.42658773456277799</v>
      </c>
      <c r="AG56" s="117">
        <v>0.111264465064674</v>
      </c>
      <c r="AH56" s="117">
        <v>0.392952217767851</v>
      </c>
      <c r="AI56" s="117">
        <v>0.33307763735219398</v>
      </c>
      <c r="AJ56" s="117">
        <v>0.613695121004732</v>
      </c>
      <c r="AK56" s="117">
        <v>0.37797557763009998</v>
      </c>
      <c r="AL56" s="117">
        <v>0.60883047050804295</v>
      </c>
      <c r="AM56" s="117">
        <v>-0.50790037947031696</v>
      </c>
      <c r="AN56" s="117">
        <v>-0.57259755023737102</v>
      </c>
      <c r="AO56" s="117">
        <v>0.62444308576700702</v>
      </c>
      <c r="AP56" s="117">
        <v>-0.35785381602084398</v>
      </c>
      <c r="AQ56" s="117">
        <v>4.6282273330245899E-2</v>
      </c>
      <c r="AR56" s="117">
        <v>-0.53909581697497699</v>
      </c>
      <c r="AS56" s="117">
        <v>0.24816891142191499</v>
      </c>
      <c r="AT56" s="117">
        <v>0.15872290504859701</v>
      </c>
      <c r="AU56" s="117">
        <v>-0.18140470931736799</v>
      </c>
      <c r="AV56" s="117">
        <v>-0.42538796717022598</v>
      </c>
      <c r="AW56" s="117">
        <v>-0.19720395096472601</v>
      </c>
      <c r="AX56" s="117">
        <v>0.35371730085174102</v>
      </c>
      <c r="AY56" s="117">
        <v>-0.229399025508601</v>
      </c>
      <c r="AZ56" s="117">
        <v>0.591045933013844</v>
      </c>
      <c r="BA56" s="117">
        <v>0.25375647386704298</v>
      </c>
      <c r="BB56" s="117">
        <v>-0.607969803488424</v>
      </c>
      <c r="BC56" s="117">
        <v>-0.27897953597589598</v>
      </c>
      <c r="BD56" s="117">
        <v>1</v>
      </c>
      <c r="BE56" s="117">
        <v>0.63970407501252602</v>
      </c>
      <c r="BF56" s="117">
        <v>0.59096189792475096</v>
      </c>
      <c r="BG56" s="117">
        <v>0.638486328360518</v>
      </c>
      <c r="BH56" s="117">
        <v>0.83814004402835995</v>
      </c>
      <c r="BI56" s="117">
        <v>-0.51049232426850499</v>
      </c>
      <c r="BJ56" s="117">
        <v>0.50455091697588195</v>
      </c>
      <c r="BK56" s="117">
        <v>0.53724120157488198</v>
      </c>
      <c r="BL56" s="117">
        <v>-0.560717747279326</v>
      </c>
      <c r="BM56" s="117">
        <v>0.245938762216731</v>
      </c>
      <c r="BN56" s="117">
        <v>0.15984502378138399</v>
      </c>
    </row>
    <row r="57" spans="1:66" x14ac:dyDescent="0.25">
      <c r="A57" t="s">
        <v>267</v>
      </c>
      <c r="B57" s="117">
        <v>0.25467627972055901</v>
      </c>
      <c r="C57" s="117">
        <v>0.27955535888373401</v>
      </c>
      <c r="D57" s="117">
        <v>0.10249471115563601</v>
      </c>
      <c r="E57" s="117">
        <v>0.32061606154175498</v>
      </c>
      <c r="F57" s="117">
        <v>8.4834918898648096E-2</v>
      </c>
      <c r="G57" s="117">
        <v>-0.31945606711566199</v>
      </c>
      <c r="H57" s="117">
        <v>0.37332379184292402</v>
      </c>
      <c r="I57" s="117">
        <v>0.30530583890796298</v>
      </c>
      <c r="J57" s="117">
        <v>-1.44222940173019E-2</v>
      </c>
      <c r="K57" s="117">
        <v>3.7372229715032998E-2</v>
      </c>
      <c r="L57" s="117">
        <v>7.2217797656361299E-2</v>
      </c>
      <c r="M57" s="117">
        <v>7.5543716502885494E-2</v>
      </c>
      <c r="N57" s="117">
        <v>0.65138137230724502</v>
      </c>
      <c r="O57" s="117">
        <v>0.550889290936038</v>
      </c>
      <c r="P57" s="117">
        <v>0.649383561066744</v>
      </c>
      <c r="Q57" s="117">
        <v>0.65013656113825002</v>
      </c>
      <c r="R57" s="117">
        <v>0.65397378859783395</v>
      </c>
      <c r="S57" s="117">
        <v>0.61139504516517396</v>
      </c>
      <c r="T57" s="117">
        <v>0.87318628554102495</v>
      </c>
      <c r="U57" s="117">
        <v>0.82033078034608997</v>
      </c>
      <c r="V57" s="117">
        <v>0.49876159122929398</v>
      </c>
      <c r="W57" s="117">
        <v>0.75672279813274801</v>
      </c>
      <c r="X57" s="117">
        <v>0.67102826329937104</v>
      </c>
      <c r="Y57" s="117">
        <v>0.445688853375377</v>
      </c>
      <c r="Z57" s="117">
        <v>0.44568884901372202</v>
      </c>
      <c r="AA57" s="117">
        <v>0.74620992105291295</v>
      </c>
      <c r="AB57" s="117">
        <v>0.90105012300015297</v>
      </c>
      <c r="AC57" s="117">
        <v>0.65931874164395698</v>
      </c>
      <c r="AD57" s="117">
        <v>0.65931874164395698</v>
      </c>
      <c r="AE57" s="117">
        <v>0.14114205442153599</v>
      </c>
      <c r="AF57" s="117">
        <v>0.48839088755537702</v>
      </c>
      <c r="AG57" s="117">
        <v>0.380269274516574</v>
      </c>
      <c r="AH57" s="117">
        <v>0.38776213264313703</v>
      </c>
      <c r="AI57" s="117">
        <v>0.140984600359506</v>
      </c>
      <c r="AJ57" s="117">
        <v>0.50769781551947002</v>
      </c>
      <c r="AK57" s="117">
        <v>0.64143085422619395</v>
      </c>
      <c r="AL57" s="117">
        <v>0.42932276858511897</v>
      </c>
      <c r="AM57" s="117">
        <v>-0.35096869412072201</v>
      </c>
      <c r="AN57" s="117">
        <v>-0.47548385416143901</v>
      </c>
      <c r="AO57" s="117">
        <v>0.36143129388988698</v>
      </c>
      <c r="AP57" s="117">
        <v>-6.15185400495167E-2</v>
      </c>
      <c r="AQ57" s="117">
        <v>-6.9263912070894898E-2</v>
      </c>
      <c r="AR57" s="117">
        <v>-0.30915979355929102</v>
      </c>
      <c r="AS57" s="117">
        <v>0.14979394080154801</v>
      </c>
      <c r="AT57" s="117">
        <v>-8.2011619278500494E-2</v>
      </c>
      <c r="AU57" s="117">
        <v>-0.116414845159485</v>
      </c>
      <c r="AV57" s="117">
        <v>-9.3118225099792798E-2</v>
      </c>
      <c r="AW57" s="117">
        <v>-0.28837719987916899</v>
      </c>
      <c r="AX57" s="117">
        <v>0.51796234572043398</v>
      </c>
      <c r="AY57" s="117">
        <v>-0.47846792794201398</v>
      </c>
      <c r="AZ57" s="117">
        <v>0.277515244850359</v>
      </c>
      <c r="BA57" s="117">
        <v>-0.136017401107312</v>
      </c>
      <c r="BB57" s="117">
        <v>-0.37519813938282398</v>
      </c>
      <c r="BC57" s="117">
        <v>3.8638282083068597E-2</v>
      </c>
      <c r="BD57" s="117">
        <v>0.63970407501252602</v>
      </c>
      <c r="BE57" s="117">
        <v>1</v>
      </c>
      <c r="BF57" s="117">
        <v>0.721114301079815</v>
      </c>
      <c r="BG57" s="117">
        <v>0.58187772818876404</v>
      </c>
      <c r="BH57" s="117">
        <v>0.42166529400875702</v>
      </c>
      <c r="BI57" s="117">
        <v>-0.254708112651581</v>
      </c>
      <c r="BJ57" s="117">
        <v>0.350749341525108</v>
      </c>
      <c r="BK57" s="117">
        <v>0.454084065738943</v>
      </c>
      <c r="BL57" s="117">
        <v>-0.32155950303563202</v>
      </c>
      <c r="BM57" s="117">
        <v>0.14888384055235501</v>
      </c>
      <c r="BN57" s="117">
        <v>-8.1661268919374697E-2</v>
      </c>
    </row>
    <row r="58" spans="1:66" x14ac:dyDescent="0.25">
      <c r="A58" t="s">
        <v>268</v>
      </c>
      <c r="B58" s="117">
        <v>0.24546199137431299</v>
      </c>
      <c r="C58" s="117">
        <v>0.236027531061414</v>
      </c>
      <c r="D58" s="117">
        <v>-2.8103886996685899E-2</v>
      </c>
      <c r="E58" s="117">
        <v>0.20039075430464301</v>
      </c>
      <c r="F58" s="117">
        <v>-0.18477018890240099</v>
      </c>
      <c r="G58" s="117">
        <v>-0.56044879639356104</v>
      </c>
      <c r="H58" s="117">
        <v>0.22344019216528399</v>
      </c>
      <c r="I58" s="117">
        <v>8.7690706930635104E-2</v>
      </c>
      <c r="J58" s="117">
        <v>7.9567210513212402E-2</v>
      </c>
      <c r="K58" s="117">
        <v>0.18974602164163001</v>
      </c>
      <c r="L58" s="117">
        <v>0.22270217738665701</v>
      </c>
      <c r="M58" s="117">
        <v>0.16090151897792701</v>
      </c>
      <c r="N58" s="117">
        <v>0.25234758761815601</v>
      </c>
      <c r="O58" s="117">
        <v>0.17916133678308099</v>
      </c>
      <c r="P58" s="117">
        <v>0.29318500848438001</v>
      </c>
      <c r="Q58" s="117">
        <v>0.26649213257272403</v>
      </c>
      <c r="R58" s="117">
        <v>0.260521299935975</v>
      </c>
      <c r="S58" s="117">
        <v>0.226164603069932</v>
      </c>
      <c r="T58" s="117">
        <v>0.636272848502065</v>
      </c>
      <c r="U58" s="117">
        <v>0.56769765851065401</v>
      </c>
      <c r="V58" s="117">
        <v>0.27701017869593703</v>
      </c>
      <c r="W58" s="117">
        <v>0.87270585854545801</v>
      </c>
      <c r="X58" s="117">
        <v>0.871746912420164</v>
      </c>
      <c r="Y58" s="117">
        <v>0.742521557633954</v>
      </c>
      <c r="Z58" s="117">
        <v>0.74252155785558205</v>
      </c>
      <c r="AA58" s="117">
        <v>0.43788179499030799</v>
      </c>
      <c r="AB58" s="117">
        <v>0.83352312593047495</v>
      </c>
      <c r="AC58" s="117">
        <v>0.50843728963018497</v>
      </c>
      <c r="AD58" s="117">
        <v>0.50843728963018597</v>
      </c>
      <c r="AE58" s="117">
        <v>2.87453263149943E-2</v>
      </c>
      <c r="AF58" s="117">
        <v>0.41271461436618601</v>
      </c>
      <c r="AG58" s="117">
        <v>0.44280644933609697</v>
      </c>
      <c r="AH58" s="117">
        <v>0.27284890234147202</v>
      </c>
      <c r="AI58" s="117">
        <v>8.5401549481971706E-2</v>
      </c>
      <c r="AJ58" s="117">
        <v>0.369230781453604</v>
      </c>
      <c r="AK58" s="117">
        <v>0.68376706050070801</v>
      </c>
      <c r="AL58" s="117">
        <v>0.32196467356959002</v>
      </c>
      <c r="AM58" s="117">
        <v>-0.36171637084874098</v>
      </c>
      <c r="AN58" s="117">
        <v>-0.39869846670877102</v>
      </c>
      <c r="AO58" s="117">
        <v>0.40420992009800599</v>
      </c>
      <c r="AP58" s="117">
        <v>0.24299353629692999</v>
      </c>
      <c r="AQ58" s="117">
        <v>-0.140409251298727</v>
      </c>
      <c r="AR58" s="117">
        <v>-0.28263617247156098</v>
      </c>
      <c r="AS58" s="117">
        <v>0.21888046330007199</v>
      </c>
      <c r="AT58" s="117">
        <v>0.117223647775116</v>
      </c>
      <c r="AU58" s="117">
        <v>-0.106426331168209</v>
      </c>
      <c r="AV58" s="117">
        <v>-9.8615479440418902E-2</v>
      </c>
      <c r="AW58" s="117">
        <v>-0.28651642068368</v>
      </c>
      <c r="AX58" s="117">
        <v>0.72857440025426701</v>
      </c>
      <c r="AY58" s="117">
        <v>-0.72109995556681095</v>
      </c>
      <c r="AZ58" s="117">
        <v>0.15712797992876101</v>
      </c>
      <c r="BA58" s="117">
        <v>-0.43120494542642601</v>
      </c>
      <c r="BB58" s="117">
        <v>-0.18226593312240699</v>
      </c>
      <c r="BC58" s="117">
        <v>0.20234272008475501</v>
      </c>
      <c r="BD58" s="117">
        <v>0.59096189792475096</v>
      </c>
      <c r="BE58" s="117">
        <v>0.721114301079815</v>
      </c>
      <c r="BF58" s="117">
        <v>1</v>
      </c>
      <c r="BG58" s="117">
        <v>0.89243063642018206</v>
      </c>
      <c r="BH58" s="117">
        <v>0.33324026486077402</v>
      </c>
      <c r="BI58" s="117">
        <v>-0.18935754266207999</v>
      </c>
      <c r="BJ58" s="117">
        <v>0.36275434873760298</v>
      </c>
      <c r="BK58" s="117">
        <v>0.37409620916904202</v>
      </c>
      <c r="BL58" s="117">
        <v>-0.29397207868785002</v>
      </c>
      <c r="BM58" s="117">
        <v>0.216188921337132</v>
      </c>
      <c r="BN58" s="117">
        <v>0.118771649914831</v>
      </c>
    </row>
    <row r="59" spans="1:66" x14ac:dyDescent="0.25">
      <c r="A59" t="s">
        <v>269</v>
      </c>
      <c r="B59" s="117">
        <v>0.17138614371295</v>
      </c>
      <c r="C59" s="117">
        <v>0.17573030479643101</v>
      </c>
      <c r="D59" s="117">
        <v>4.1917414711332597E-2</v>
      </c>
      <c r="E59" s="117">
        <v>0.24933442874960801</v>
      </c>
      <c r="F59" s="117">
        <v>-0.15873761863556701</v>
      </c>
      <c r="G59" s="117">
        <v>-0.72511925727030802</v>
      </c>
      <c r="H59" s="117">
        <v>0.374719456422132</v>
      </c>
      <c r="I59" s="117">
        <v>0.25575484846403801</v>
      </c>
      <c r="J59" s="117">
        <v>-2.54679088288998E-2</v>
      </c>
      <c r="K59" s="117">
        <v>0.10880188669433399</v>
      </c>
      <c r="L59" s="117">
        <v>0.103247371403873</v>
      </c>
      <c r="M59" s="117">
        <v>4.6203653067824903E-2</v>
      </c>
      <c r="N59" s="117">
        <v>0.16848488908322601</v>
      </c>
      <c r="O59" s="117">
        <v>0.10749862526897699</v>
      </c>
      <c r="P59" s="117">
        <v>0.204721240373853</v>
      </c>
      <c r="Q59" s="117">
        <v>0.18066989775978601</v>
      </c>
      <c r="R59" s="117">
        <v>0.17548778484093699</v>
      </c>
      <c r="S59" s="117">
        <v>0.14601108901815299</v>
      </c>
      <c r="T59" s="117">
        <v>0.50907680049442805</v>
      </c>
      <c r="U59" s="117">
        <v>0.44626957123225403</v>
      </c>
      <c r="V59" s="117">
        <v>0.27759576240975498</v>
      </c>
      <c r="W59" s="117">
        <v>0.73367438895488202</v>
      </c>
      <c r="X59" s="117">
        <v>0.73703332221566098</v>
      </c>
      <c r="Y59" s="117">
        <v>0.63621300960302796</v>
      </c>
      <c r="Z59" s="117">
        <v>0.63621300996447006</v>
      </c>
      <c r="AA59" s="117">
        <v>0.32773355762357498</v>
      </c>
      <c r="AB59" s="117">
        <v>0.68417754956261001</v>
      </c>
      <c r="AC59" s="117">
        <v>0.41787986835095298</v>
      </c>
      <c r="AD59" s="117">
        <v>0.41787986835095298</v>
      </c>
      <c r="AE59" s="117">
        <v>1.1775709641909499E-3</v>
      </c>
      <c r="AF59" s="117">
        <v>0.40712867998503599</v>
      </c>
      <c r="AG59" s="117">
        <v>0.33217671337068</v>
      </c>
      <c r="AH59" s="117">
        <v>0.23857969036054699</v>
      </c>
      <c r="AI59" s="117">
        <v>0.174390624663458</v>
      </c>
      <c r="AJ59" s="117">
        <v>0.38339245429626101</v>
      </c>
      <c r="AK59" s="117">
        <v>0.57431627440188104</v>
      </c>
      <c r="AL59" s="117">
        <v>0.389741104858149</v>
      </c>
      <c r="AM59" s="117">
        <v>-0.37985994913822602</v>
      </c>
      <c r="AN59" s="117">
        <v>-0.31285870226241902</v>
      </c>
      <c r="AO59" s="117">
        <v>0.499898887443746</v>
      </c>
      <c r="AP59" s="117">
        <v>0.29979157993399902</v>
      </c>
      <c r="AQ59" s="117">
        <v>-8.6351244549683195E-2</v>
      </c>
      <c r="AR59" s="117">
        <v>-0.35405444405264802</v>
      </c>
      <c r="AS59" s="117">
        <v>0.16694553547155599</v>
      </c>
      <c r="AT59" s="117">
        <v>9.4754653452109996E-2</v>
      </c>
      <c r="AU59" s="117">
        <v>-8.2654191357449502E-2</v>
      </c>
      <c r="AV59" s="117">
        <v>-0.19422446324853701</v>
      </c>
      <c r="AW59" s="117">
        <v>-0.22119198842881899</v>
      </c>
      <c r="AX59" s="117">
        <v>0.72400611597873898</v>
      </c>
      <c r="AY59" s="117">
        <v>-0.69295601766744297</v>
      </c>
      <c r="AZ59" s="117">
        <v>0.20259279740532299</v>
      </c>
      <c r="BA59" s="117">
        <v>-0.43364296934018498</v>
      </c>
      <c r="BB59" s="117">
        <v>-0.35504178101254202</v>
      </c>
      <c r="BC59" s="117">
        <v>8.4830098677683999E-2</v>
      </c>
      <c r="BD59" s="117">
        <v>0.638486328360518</v>
      </c>
      <c r="BE59" s="117">
        <v>0.58187772818876404</v>
      </c>
      <c r="BF59" s="117">
        <v>0.89243063642018206</v>
      </c>
      <c r="BG59" s="117">
        <v>1</v>
      </c>
      <c r="BH59" s="117">
        <v>0.49320936554099498</v>
      </c>
      <c r="BI59" s="117">
        <v>-0.26175791946590898</v>
      </c>
      <c r="BJ59" s="117">
        <v>0.37737701420814801</v>
      </c>
      <c r="BK59" s="117">
        <v>0.27984191492187599</v>
      </c>
      <c r="BL59" s="117">
        <v>-0.36825477777835097</v>
      </c>
      <c r="BM59" s="117">
        <v>0.16446223921653699</v>
      </c>
      <c r="BN59" s="117">
        <v>9.6361091937148105E-2</v>
      </c>
    </row>
    <row r="60" spans="1:66" x14ac:dyDescent="0.25">
      <c r="A60" t="s">
        <v>270</v>
      </c>
      <c r="B60" s="117">
        <v>0.41747000818657998</v>
      </c>
      <c r="C60" s="117">
        <v>0.50451881843876401</v>
      </c>
      <c r="D60" s="117">
        <v>0.38181561781440898</v>
      </c>
      <c r="E60" s="117">
        <v>0.68942206792832195</v>
      </c>
      <c r="F60" s="117">
        <v>0.59940766182792005</v>
      </c>
      <c r="G60" s="117">
        <v>-0.27934506262376102</v>
      </c>
      <c r="H60" s="117">
        <v>0.73066319527152301</v>
      </c>
      <c r="I60" s="117">
        <v>0.72299756556978401</v>
      </c>
      <c r="J60" s="117">
        <v>-0.38418579653637203</v>
      </c>
      <c r="K60" s="117">
        <v>-0.32495517076029501</v>
      </c>
      <c r="L60" s="117">
        <v>-0.32550656034638598</v>
      </c>
      <c r="M60" s="117">
        <v>-0.33077763168985802</v>
      </c>
      <c r="N60" s="117">
        <v>0.50064122865757898</v>
      </c>
      <c r="O60" s="117">
        <v>0.49921110057349299</v>
      </c>
      <c r="P60" s="117">
        <v>0.46629874447446701</v>
      </c>
      <c r="Q60" s="117">
        <v>0.46848724084372301</v>
      </c>
      <c r="R60" s="117">
        <v>0.49698126166491002</v>
      </c>
      <c r="S60" s="117">
        <v>0.49415150414634301</v>
      </c>
      <c r="T60" s="117">
        <v>0.39306783093879399</v>
      </c>
      <c r="U60" s="117">
        <v>0.45969655829812001</v>
      </c>
      <c r="V60" s="117">
        <v>0.68622104760633795</v>
      </c>
      <c r="W60" s="117">
        <v>0.239798360803647</v>
      </c>
      <c r="X60" s="117">
        <v>0.24079089014337601</v>
      </c>
      <c r="Y60" s="117">
        <v>0.19907294542750401</v>
      </c>
      <c r="Z60" s="117">
        <v>0.199072945724803</v>
      </c>
      <c r="AA60" s="117">
        <v>0.63427973229641899</v>
      </c>
      <c r="AB60" s="117">
        <v>0.46873012163452998</v>
      </c>
      <c r="AC60" s="117">
        <v>0.132407458617091</v>
      </c>
      <c r="AD60" s="117">
        <v>0.132407458617091</v>
      </c>
      <c r="AE60" s="117">
        <v>0.16875615192111601</v>
      </c>
      <c r="AF60" s="117">
        <v>0.347792984932422</v>
      </c>
      <c r="AG60" s="117">
        <v>-5.6927607738037497E-2</v>
      </c>
      <c r="AH60" s="117">
        <v>0.29384403141611498</v>
      </c>
      <c r="AI60" s="117">
        <v>0.287611961765879</v>
      </c>
      <c r="AJ60" s="117">
        <v>0.589483039426831</v>
      </c>
      <c r="AK60" s="117">
        <v>0.17861575339187</v>
      </c>
      <c r="AL60" s="117">
        <v>0.53812069632474602</v>
      </c>
      <c r="AM60" s="117">
        <v>-0.53680470008511605</v>
      </c>
      <c r="AN60" s="117">
        <v>-0.35788441010118299</v>
      </c>
      <c r="AO60" s="117">
        <v>0.631659972800662</v>
      </c>
      <c r="AP60" s="117">
        <v>-0.388869480760766</v>
      </c>
      <c r="AQ60" s="117">
        <v>0.12595561533412</v>
      </c>
      <c r="AR60" s="117">
        <v>-0.57262804720447902</v>
      </c>
      <c r="AS60" s="117">
        <v>0.180128398441602</v>
      </c>
      <c r="AT60" s="117">
        <v>0.118969449850805</v>
      </c>
      <c r="AU60" s="117">
        <v>8.7963111352898898E-3</v>
      </c>
      <c r="AV60" s="117">
        <v>-0.32201575187807802</v>
      </c>
      <c r="AW60" s="117">
        <v>-4.1788018195868901E-2</v>
      </c>
      <c r="AX60" s="117">
        <v>0.191476591644856</v>
      </c>
      <c r="AY60" s="117">
        <v>-2.8678574552347499E-2</v>
      </c>
      <c r="AZ60" s="117">
        <v>0.63562046662208804</v>
      </c>
      <c r="BA60" s="117">
        <v>0.335941245603609</v>
      </c>
      <c r="BB60" s="117">
        <v>-0.71899968675396297</v>
      </c>
      <c r="BC60" s="117">
        <v>-0.374186748518124</v>
      </c>
      <c r="BD60" s="117">
        <v>0.83814004402835995</v>
      </c>
      <c r="BE60" s="117">
        <v>0.42166529400875702</v>
      </c>
      <c r="BF60" s="117">
        <v>0.33324026486077402</v>
      </c>
      <c r="BG60" s="117">
        <v>0.49320936554099498</v>
      </c>
      <c r="BH60" s="117">
        <v>1</v>
      </c>
      <c r="BI60" s="117">
        <v>-0.54554381149867004</v>
      </c>
      <c r="BJ60" s="117">
        <v>0.53273135124990401</v>
      </c>
      <c r="BK60" s="117">
        <v>0.31689453675189699</v>
      </c>
      <c r="BL60" s="117">
        <v>-0.59559488043806097</v>
      </c>
      <c r="BM60" s="117">
        <v>0.178527658364974</v>
      </c>
      <c r="BN60" s="117">
        <v>0.119859259464714</v>
      </c>
    </row>
    <row r="61" spans="1:66" x14ac:dyDescent="0.25">
      <c r="A61" t="s">
        <v>271</v>
      </c>
      <c r="B61" s="117">
        <v>-0.269791584725669</v>
      </c>
      <c r="C61" s="117">
        <v>-0.29562877032048601</v>
      </c>
      <c r="D61" s="117">
        <v>-0.12271063962095601</v>
      </c>
      <c r="E61" s="117">
        <v>-0.489248461452301</v>
      </c>
      <c r="F61" s="117">
        <v>-0.43414658981089699</v>
      </c>
      <c r="G61" s="117">
        <v>0.139885355076422</v>
      </c>
      <c r="H61" s="117">
        <v>-0.56134453610151003</v>
      </c>
      <c r="I61" s="117">
        <v>-0.50995059181167801</v>
      </c>
      <c r="J61" s="117">
        <v>3.0127976044744299E-2</v>
      </c>
      <c r="K61" s="117">
        <v>3.7927159645605099E-2</v>
      </c>
      <c r="L61" s="117">
        <v>7.8943045032694396E-3</v>
      </c>
      <c r="M61" s="117">
        <v>-2.6362801664509501E-2</v>
      </c>
      <c r="N61" s="117">
        <v>-0.33086409838950798</v>
      </c>
      <c r="O61" s="117">
        <v>-0.32385096430539301</v>
      </c>
      <c r="P61" s="117">
        <v>-0.330586209282762</v>
      </c>
      <c r="Q61" s="117">
        <v>-0.330097503299013</v>
      </c>
      <c r="R61" s="117">
        <v>-0.33230785684980202</v>
      </c>
      <c r="S61" s="117">
        <v>-0.333561932101134</v>
      </c>
      <c r="T61" s="117">
        <v>-0.25981172063818497</v>
      </c>
      <c r="U61" s="117">
        <v>-0.30177854463113002</v>
      </c>
      <c r="V61" s="117">
        <v>-0.29985437858338898</v>
      </c>
      <c r="W61" s="117">
        <v>-0.14626871047950199</v>
      </c>
      <c r="X61" s="117">
        <v>-0.14750100636233801</v>
      </c>
      <c r="Y61" s="117">
        <v>-0.12683652596238201</v>
      </c>
      <c r="Z61" s="117">
        <v>-0.126836526092824</v>
      </c>
      <c r="AA61" s="117">
        <v>-0.36275999338880399</v>
      </c>
      <c r="AB61" s="117">
        <v>-0.275771812617149</v>
      </c>
      <c r="AC61" s="117">
        <v>-8.1183941341664803E-2</v>
      </c>
      <c r="AD61" s="117">
        <v>-8.1183941341664803E-2</v>
      </c>
      <c r="AE61" s="117">
        <v>-0.50375291116350995</v>
      </c>
      <c r="AF61" s="117">
        <v>-0.55793874163789303</v>
      </c>
      <c r="AG61" s="117">
        <v>-0.20858054903443601</v>
      </c>
      <c r="AH61" s="117">
        <v>-0.673808527298426</v>
      </c>
      <c r="AI61" s="117">
        <v>-0.471222191151906</v>
      </c>
      <c r="AJ61" s="117">
        <v>-0.47635983718018499</v>
      </c>
      <c r="AK61" s="117">
        <v>-0.114086598352327</v>
      </c>
      <c r="AL61" s="117">
        <v>-0.62733813459523902</v>
      </c>
      <c r="AM61" s="117">
        <v>0.322430936842382</v>
      </c>
      <c r="AN61" s="117">
        <v>0.20566115522266301</v>
      </c>
      <c r="AO61" s="117">
        <v>-0.29780954217029398</v>
      </c>
      <c r="AP61" s="117">
        <v>0.39675385379598899</v>
      </c>
      <c r="AQ61" s="117">
        <v>2.1853789089750799E-2</v>
      </c>
      <c r="AR61" s="117">
        <v>0.272684687965845</v>
      </c>
      <c r="AS61" s="117">
        <v>2.7418858041407999E-2</v>
      </c>
      <c r="AT61" s="117">
        <v>-0.19623247858222501</v>
      </c>
      <c r="AU61" s="117">
        <v>-0.17084367257317801</v>
      </c>
      <c r="AV61" s="117">
        <v>0.208818545879811</v>
      </c>
      <c r="AW61" s="117">
        <v>5.1282283952806498E-2</v>
      </c>
      <c r="AX61" s="117">
        <v>-0.17025665528384701</v>
      </c>
      <c r="AY61" s="117">
        <v>5.5136437378956897E-2</v>
      </c>
      <c r="AZ61" s="117">
        <v>-0.44956461821298899</v>
      </c>
      <c r="BA61" s="117">
        <v>-0.25746423316522998</v>
      </c>
      <c r="BB61" s="117">
        <v>0.52041552025087601</v>
      </c>
      <c r="BC61" s="117">
        <v>2.5248087484976402E-2</v>
      </c>
      <c r="BD61" s="117">
        <v>-0.51049232426850499</v>
      </c>
      <c r="BE61" s="117">
        <v>-0.254708112651581</v>
      </c>
      <c r="BF61" s="117">
        <v>-0.18935754266207999</v>
      </c>
      <c r="BG61" s="117">
        <v>-0.26175791946590898</v>
      </c>
      <c r="BH61" s="117">
        <v>-0.54554381149867004</v>
      </c>
      <c r="BI61" s="117">
        <v>1</v>
      </c>
      <c r="BJ61" s="117">
        <v>-0.31227915868719403</v>
      </c>
      <c r="BK61" s="117">
        <v>-0.17845236035090201</v>
      </c>
      <c r="BL61" s="117">
        <v>0.31351995239372299</v>
      </c>
      <c r="BM61" s="117">
        <v>2.9662632680700199E-2</v>
      </c>
      <c r="BN61" s="117">
        <v>-0.196012994235569</v>
      </c>
    </row>
    <row r="62" spans="1:66" x14ac:dyDescent="0.25">
      <c r="A62" t="s">
        <v>272</v>
      </c>
      <c r="B62" s="117">
        <v>0.16630191772723399</v>
      </c>
      <c r="C62" s="117">
        <v>0.244921798545394</v>
      </c>
      <c r="D62" s="117">
        <v>0.37125680780086301</v>
      </c>
      <c r="E62" s="117">
        <v>0.58480510230112404</v>
      </c>
      <c r="F62" s="117">
        <v>0.25229158132051899</v>
      </c>
      <c r="G62" s="117">
        <v>-0.188377422964221</v>
      </c>
      <c r="H62" s="117">
        <v>0.51546630804454696</v>
      </c>
      <c r="I62" s="117">
        <v>0.401006658237331</v>
      </c>
      <c r="J62" s="117">
        <v>-0.109719243272918</v>
      </c>
      <c r="K62" s="117">
        <v>-0.144032476412361</v>
      </c>
      <c r="L62" s="117">
        <v>-6.3392613367550199E-2</v>
      </c>
      <c r="M62" s="117">
        <v>-2.65589252071756E-2</v>
      </c>
      <c r="N62" s="117">
        <v>0.33105514056900998</v>
      </c>
      <c r="O62" s="117">
        <v>0.282016061114923</v>
      </c>
      <c r="P62" s="117">
        <v>0.38329993196131101</v>
      </c>
      <c r="Q62" s="117">
        <v>0.368655547565296</v>
      </c>
      <c r="R62" s="117">
        <v>0.34154911480817302</v>
      </c>
      <c r="S62" s="117">
        <v>0.330775697421336</v>
      </c>
      <c r="T62" s="117">
        <v>0.40324449656865102</v>
      </c>
      <c r="U62" s="117">
        <v>0.43355250992052702</v>
      </c>
      <c r="V62" s="117">
        <v>0.48485601371865999</v>
      </c>
      <c r="W62" s="117">
        <v>0.394149569259445</v>
      </c>
      <c r="X62" s="117">
        <v>0.42257412402629801</v>
      </c>
      <c r="Y62" s="117">
        <v>0.41199916392577501</v>
      </c>
      <c r="Z62" s="117">
        <v>0.41199916537586601</v>
      </c>
      <c r="AA62" s="117">
        <v>0.38717878494282298</v>
      </c>
      <c r="AB62" s="117">
        <v>0.43459660298228198</v>
      </c>
      <c r="AC62" s="117">
        <v>0.16012207288209601</v>
      </c>
      <c r="AD62" s="117">
        <v>0.16012207288209601</v>
      </c>
      <c r="AE62" s="117">
        <v>8.09723440491079E-2</v>
      </c>
      <c r="AF62" s="117">
        <v>0.18237321238616</v>
      </c>
      <c r="AG62" s="117">
        <v>4.8854383952981903E-2</v>
      </c>
      <c r="AH62" s="117">
        <v>0.156393991973446</v>
      </c>
      <c r="AI62" s="117">
        <v>0.152589023445831</v>
      </c>
      <c r="AJ62" s="117">
        <v>0.32510566587746598</v>
      </c>
      <c r="AK62" s="117">
        <v>0.30116793263249803</v>
      </c>
      <c r="AL62" s="117">
        <v>0.31401309825867102</v>
      </c>
      <c r="AM62" s="117">
        <v>-0.99921251710917702</v>
      </c>
      <c r="AN62" s="117">
        <v>-8.7142368430463593E-2</v>
      </c>
      <c r="AO62" s="117">
        <v>0.47705547944077598</v>
      </c>
      <c r="AP62" s="117">
        <v>-0.1974202657063</v>
      </c>
      <c r="AQ62" s="117">
        <v>-8.4522432594867802E-2</v>
      </c>
      <c r="AR62" s="117">
        <v>-0.6451806701924</v>
      </c>
      <c r="AS62" s="117">
        <v>0.290058424553647</v>
      </c>
      <c r="AT62" s="117">
        <v>-5.8342635764998603E-2</v>
      </c>
      <c r="AU62" s="117">
        <v>0.26176001191276099</v>
      </c>
      <c r="AV62" s="117">
        <v>0.14951458677594601</v>
      </c>
      <c r="AW62" s="117">
        <v>-3.4867848831310701E-2</v>
      </c>
      <c r="AX62" s="117">
        <v>0.39633059369361101</v>
      </c>
      <c r="AY62" s="117">
        <v>-0.31135549059324003</v>
      </c>
      <c r="AZ62" s="117">
        <v>0.54112880138146802</v>
      </c>
      <c r="BA62" s="117">
        <v>-1.9935111441210102E-2</v>
      </c>
      <c r="BB62" s="117">
        <v>-0.39189338509222399</v>
      </c>
      <c r="BC62" s="117">
        <v>-7.6064195229831502E-2</v>
      </c>
      <c r="BD62" s="117">
        <v>0.50455091697588195</v>
      </c>
      <c r="BE62" s="117">
        <v>0.350749341525108</v>
      </c>
      <c r="BF62" s="117">
        <v>0.36275434873760298</v>
      </c>
      <c r="BG62" s="117">
        <v>0.37737701420814801</v>
      </c>
      <c r="BH62" s="117">
        <v>0.53273135124990401</v>
      </c>
      <c r="BI62" s="117">
        <v>-0.31227915868719403</v>
      </c>
      <c r="BJ62" s="117">
        <v>1</v>
      </c>
      <c r="BK62" s="117">
        <v>4.2047460740465899E-2</v>
      </c>
      <c r="BL62" s="117">
        <v>-0.68848997749684604</v>
      </c>
      <c r="BM62" s="117">
        <v>0.28753271425124899</v>
      </c>
      <c r="BN62" s="117">
        <v>-5.8407906564408203E-2</v>
      </c>
    </row>
    <row r="63" spans="1:66" x14ac:dyDescent="0.25">
      <c r="A63" t="s">
        <v>273</v>
      </c>
      <c r="B63" s="117">
        <v>0.77407235993594203</v>
      </c>
      <c r="C63" s="117">
        <v>0.76789942625395402</v>
      </c>
      <c r="D63" s="117">
        <v>-2.4086103174781898E-2</v>
      </c>
      <c r="E63" s="117">
        <v>0.23276906103050399</v>
      </c>
      <c r="F63" s="117">
        <v>0.26791772420361598</v>
      </c>
      <c r="G63" s="117">
        <v>3.7422533592761202E-3</v>
      </c>
      <c r="H63" s="117">
        <v>0.16458172396201101</v>
      </c>
      <c r="I63" s="117">
        <v>0.13944150621013701</v>
      </c>
      <c r="J63" s="117">
        <v>3.2379507502610099E-3</v>
      </c>
      <c r="K63" s="117">
        <v>-9.5792166577385995E-3</v>
      </c>
      <c r="L63" s="117">
        <v>1.6018303611826101E-2</v>
      </c>
      <c r="M63" s="117">
        <v>-2.2549448000853001E-2</v>
      </c>
      <c r="N63" s="117">
        <v>0.46857280866432299</v>
      </c>
      <c r="O63" s="117">
        <v>0.45222939828407699</v>
      </c>
      <c r="P63" s="117">
        <v>0.45083539774967402</v>
      </c>
      <c r="Q63" s="117">
        <v>0.44478041680769498</v>
      </c>
      <c r="R63" s="117">
        <v>0.46762922558874198</v>
      </c>
      <c r="S63" s="117">
        <v>0.45776316148523799</v>
      </c>
      <c r="T63" s="117">
        <v>0.45488405035610302</v>
      </c>
      <c r="U63" s="117">
        <v>0.47948453315471901</v>
      </c>
      <c r="V63" s="117">
        <v>0.53861449735488498</v>
      </c>
      <c r="W63" s="117">
        <v>0.36721094440879398</v>
      </c>
      <c r="X63" s="117">
        <v>0.36332862601232602</v>
      </c>
      <c r="Y63" s="117">
        <v>0.321319260878558</v>
      </c>
      <c r="Z63" s="117">
        <v>0.32131926042065201</v>
      </c>
      <c r="AA63" s="117">
        <v>0.55708354649500003</v>
      </c>
      <c r="AB63" s="117">
        <v>0.49947816574534898</v>
      </c>
      <c r="AC63" s="117">
        <v>0.23165982732902299</v>
      </c>
      <c r="AD63" s="117">
        <v>0.23165982732902299</v>
      </c>
      <c r="AE63" s="117">
        <v>0.45053792973866902</v>
      </c>
      <c r="AF63" s="117">
        <v>0.29609098071672602</v>
      </c>
      <c r="AG63" s="117">
        <v>0.36200220592114901</v>
      </c>
      <c r="AH63" s="117">
        <v>0.51827027637520395</v>
      </c>
      <c r="AI63" s="117">
        <v>0.43416636147537602</v>
      </c>
      <c r="AJ63" s="117">
        <v>0.27534080121917898</v>
      </c>
      <c r="AK63" s="117">
        <v>0.30644139342426802</v>
      </c>
      <c r="AL63" s="117">
        <v>0.52158447547296105</v>
      </c>
      <c r="AM63" s="117">
        <v>-3.5174249818130603E-2</v>
      </c>
      <c r="AN63" s="117">
        <v>-0.99747820673642296</v>
      </c>
      <c r="AO63" s="117">
        <v>0.266300283476331</v>
      </c>
      <c r="AP63" s="117">
        <v>-7.3487786008613207E-2</v>
      </c>
      <c r="AQ63" s="117">
        <v>-0.19971293952574101</v>
      </c>
      <c r="AR63" s="117">
        <v>3.5565076243231797E-2</v>
      </c>
      <c r="AS63" s="117">
        <v>0.39226682649857503</v>
      </c>
      <c r="AT63" s="117">
        <v>0.20576532500678499</v>
      </c>
      <c r="AU63" s="117">
        <v>-0.32535790209855397</v>
      </c>
      <c r="AV63" s="117">
        <v>-0.69154893850766097</v>
      </c>
      <c r="AW63" s="117">
        <v>-6.6899239259415905E-2</v>
      </c>
      <c r="AX63" s="117">
        <v>5.41513036765668E-3</v>
      </c>
      <c r="AY63" s="117">
        <v>4.4165023002575698E-3</v>
      </c>
      <c r="AZ63" s="117">
        <v>0.23945802587007101</v>
      </c>
      <c r="BA63" s="117">
        <v>0.238754964939628</v>
      </c>
      <c r="BB63" s="117">
        <v>-0.148437562602975</v>
      </c>
      <c r="BC63" s="117">
        <v>-3.7607940853296801E-2</v>
      </c>
      <c r="BD63" s="117">
        <v>0.53724120157488198</v>
      </c>
      <c r="BE63" s="117">
        <v>0.454084065738943</v>
      </c>
      <c r="BF63" s="117">
        <v>0.37409620916904202</v>
      </c>
      <c r="BG63" s="117">
        <v>0.27984191492187599</v>
      </c>
      <c r="BH63" s="117">
        <v>0.31689453675189699</v>
      </c>
      <c r="BI63" s="117">
        <v>-0.17845236035090201</v>
      </c>
      <c r="BJ63" s="117">
        <v>4.2047460740465899E-2</v>
      </c>
      <c r="BK63" s="117">
        <v>1</v>
      </c>
      <c r="BL63" s="117">
        <v>6.7315847758797495E-2</v>
      </c>
      <c r="BM63" s="117">
        <v>0.39237788099662002</v>
      </c>
      <c r="BN63" s="117">
        <v>0.205690099866739</v>
      </c>
    </row>
    <row r="64" spans="1:66" x14ac:dyDescent="0.25">
      <c r="A64" t="s">
        <v>274</v>
      </c>
      <c r="B64" s="117">
        <v>0.10279947246335699</v>
      </c>
      <c r="C64" s="117">
        <v>-3.2826963244199397E-2</v>
      </c>
      <c r="D64" s="117">
        <v>-0.65730517319496495</v>
      </c>
      <c r="E64" s="117">
        <v>-0.84949287006341401</v>
      </c>
      <c r="F64" s="117">
        <v>-0.31412861500885098</v>
      </c>
      <c r="G64" s="117">
        <v>0.35731481793228298</v>
      </c>
      <c r="H64" s="117">
        <v>-0.77830320249025897</v>
      </c>
      <c r="I64" s="117">
        <v>-0.57365796380015099</v>
      </c>
      <c r="J64" s="117">
        <v>0.329792230744127</v>
      </c>
      <c r="K64" s="117">
        <v>0.35951948244167298</v>
      </c>
      <c r="L64" s="117">
        <v>0.30490217972738198</v>
      </c>
      <c r="M64" s="117">
        <v>0.28393124271429498</v>
      </c>
      <c r="N64" s="117">
        <v>-0.34357078104783301</v>
      </c>
      <c r="O64" s="117">
        <v>-0.32852808268814299</v>
      </c>
      <c r="P64" s="117">
        <v>-0.351962751767951</v>
      </c>
      <c r="Q64" s="117">
        <v>-0.34798264088664899</v>
      </c>
      <c r="R64" s="117">
        <v>-0.34656559191770903</v>
      </c>
      <c r="S64" s="117">
        <v>-0.34489025141929502</v>
      </c>
      <c r="T64" s="117">
        <v>-0.31786401498003602</v>
      </c>
      <c r="U64" s="117">
        <v>-0.34812572942630998</v>
      </c>
      <c r="V64" s="117">
        <v>-0.61736788512986496</v>
      </c>
      <c r="W64" s="117">
        <v>-0.23847319553357499</v>
      </c>
      <c r="X64" s="117">
        <v>-0.23904304151116801</v>
      </c>
      <c r="Y64" s="117">
        <v>-0.20475613383208299</v>
      </c>
      <c r="Z64" s="117">
        <v>-0.20475613393912001</v>
      </c>
      <c r="AA64" s="117">
        <v>-0.38405907867194899</v>
      </c>
      <c r="AB64" s="117">
        <v>-0.35216259576421299</v>
      </c>
      <c r="AC64" s="117">
        <v>-0.13674858395869299</v>
      </c>
      <c r="AD64" s="117">
        <v>-0.13674858395869299</v>
      </c>
      <c r="AE64" s="117">
        <v>6.4571069648991494E-2</v>
      </c>
      <c r="AF64" s="117">
        <v>-0.147457576739391</v>
      </c>
      <c r="AG64" s="117">
        <v>0.16358978741690899</v>
      </c>
      <c r="AH64" s="117">
        <v>-9.9205766195513793E-3</v>
      </c>
      <c r="AI64" s="117">
        <v>-0.122053909461608</v>
      </c>
      <c r="AJ64" s="117">
        <v>-0.43793321119703099</v>
      </c>
      <c r="AK64" s="117">
        <v>-0.18567384937954901</v>
      </c>
      <c r="AL64" s="117">
        <v>-0.33045772566782</v>
      </c>
      <c r="AM64" s="117">
        <v>0.70799409215518105</v>
      </c>
      <c r="AN64" s="117">
        <v>-4.7469116828238898E-3</v>
      </c>
      <c r="AO64" s="117">
        <v>-0.77038794308918201</v>
      </c>
      <c r="AP64" s="117">
        <v>0.39852498340711401</v>
      </c>
      <c r="AQ64" s="117">
        <v>0.20518752487591399</v>
      </c>
      <c r="AR64" s="117">
        <v>0.98196238262635904</v>
      </c>
      <c r="AS64" s="117">
        <v>-3.0746867184694601E-2</v>
      </c>
      <c r="AT64" s="117">
        <v>0.14185673610382199</v>
      </c>
      <c r="AU64" s="117">
        <v>7.3854772366458002E-2</v>
      </c>
      <c r="AV64" s="117">
        <v>-4.63194612832327E-2</v>
      </c>
      <c r="AW64" s="117">
        <v>9.4068888368130696E-2</v>
      </c>
      <c r="AX64" s="117">
        <v>-0.36430345862832197</v>
      </c>
      <c r="AY64" s="117">
        <v>0.29697176528937802</v>
      </c>
      <c r="AZ64" s="117">
        <v>-0.82551222181957995</v>
      </c>
      <c r="BA64" s="117">
        <v>7.9262509625703508E-3</v>
      </c>
      <c r="BB64" s="117">
        <v>0.53712575636433402</v>
      </c>
      <c r="BC64" s="117">
        <v>0.33741390871766802</v>
      </c>
      <c r="BD64" s="117">
        <v>-0.560717747279326</v>
      </c>
      <c r="BE64" s="117">
        <v>-0.32155950303563202</v>
      </c>
      <c r="BF64" s="117">
        <v>-0.29397207868785002</v>
      </c>
      <c r="BG64" s="117">
        <v>-0.36825477777835097</v>
      </c>
      <c r="BH64" s="117">
        <v>-0.59559488043806097</v>
      </c>
      <c r="BI64" s="117">
        <v>0.31351995239372299</v>
      </c>
      <c r="BJ64" s="117">
        <v>-0.68848997749684604</v>
      </c>
      <c r="BK64" s="117">
        <v>6.7315847758797495E-2</v>
      </c>
      <c r="BL64" s="117">
        <v>1</v>
      </c>
      <c r="BM64" s="117">
        <v>-2.8672536238064102E-2</v>
      </c>
      <c r="BN64" s="117">
        <v>0.14130593860066801</v>
      </c>
    </row>
    <row r="65" spans="1:66" x14ac:dyDescent="0.25">
      <c r="A65" t="s">
        <v>275</v>
      </c>
      <c r="B65" s="117">
        <v>0.473622972533699</v>
      </c>
      <c r="C65" s="117">
        <v>0.499192298638507</v>
      </c>
      <c r="D65" s="117">
        <v>0.10298794219070299</v>
      </c>
      <c r="E65" s="117">
        <v>6.8807036379754299E-2</v>
      </c>
      <c r="F65" s="117">
        <v>8.2662297392132503E-2</v>
      </c>
      <c r="G65" s="117">
        <v>-3.03961673272382E-2</v>
      </c>
      <c r="H65" s="117">
        <v>0.111946965098101</v>
      </c>
      <c r="I65" s="117">
        <v>0.138185073761112</v>
      </c>
      <c r="J65" s="117">
        <v>-4.7704275277727401E-2</v>
      </c>
      <c r="K65" s="117">
        <v>-0.113084378134442</v>
      </c>
      <c r="L65" s="117">
        <v>-9.7709548629995202E-2</v>
      </c>
      <c r="M65" s="117">
        <v>-7.8775498420555701E-2</v>
      </c>
      <c r="N65" s="117">
        <v>0.35675578336609498</v>
      </c>
      <c r="O65" s="117">
        <v>0.33331858378557</v>
      </c>
      <c r="P65" s="117">
        <v>0.40896105402039301</v>
      </c>
      <c r="Q65" s="117">
        <v>0.38860427794229402</v>
      </c>
      <c r="R65" s="117">
        <v>0.36735881481508398</v>
      </c>
      <c r="S65" s="117">
        <v>0.36756313200305601</v>
      </c>
      <c r="T65" s="117">
        <v>0.27173015832988701</v>
      </c>
      <c r="U65" s="117">
        <v>0.36032339220700199</v>
      </c>
      <c r="V65" s="117">
        <v>0.23506375376111199</v>
      </c>
      <c r="W65" s="117">
        <v>0.27081950334233901</v>
      </c>
      <c r="X65" s="117">
        <v>0.35702791731471201</v>
      </c>
      <c r="Y65" s="117">
        <v>0.462277235040712</v>
      </c>
      <c r="Z65" s="117">
        <v>0.46227723911142099</v>
      </c>
      <c r="AA65" s="117">
        <v>0.371838015044403</v>
      </c>
      <c r="AB65" s="117">
        <v>0.29157677836859103</v>
      </c>
      <c r="AC65" s="117">
        <v>-4.9505894667673002E-2</v>
      </c>
      <c r="AD65" s="117">
        <v>-4.9505894667673002E-2</v>
      </c>
      <c r="AE65" s="117">
        <v>0.17769626310155801</v>
      </c>
      <c r="AF65" s="117">
        <v>-0.11332309806838101</v>
      </c>
      <c r="AG65" s="117">
        <v>8.13176012962918E-2</v>
      </c>
      <c r="AH65" s="117">
        <v>8.2693184667937E-2</v>
      </c>
      <c r="AI65" s="117">
        <v>0.24965975833383799</v>
      </c>
      <c r="AJ65" s="117">
        <v>-0.137971941321928</v>
      </c>
      <c r="AK65" s="117">
        <v>0.19041711204481401</v>
      </c>
      <c r="AL65" s="117">
        <v>0.15935428213594299</v>
      </c>
      <c r="AM65" s="117">
        <v>-0.27349724539338699</v>
      </c>
      <c r="AN65" s="117">
        <v>-0.39220560344827499</v>
      </c>
      <c r="AO65" s="117">
        <v>-2.0692117497136901E-2</v>
      </c>
      <c r="AP65" s="117">
        <v>-6.1873909141366E-2</v>
      </c>
      <c r="AQ65" s="117">
        <v>-7.1574562047514306E-2</v>
      </c>
      <c r="AR65" s="117">
        <v>-5.9970441967936501E-2</v>
      </c>
      <c r="AS65" s="117">
        <v>0.99997005534839301</v>
      </c>
      <c r="AT65" s="117">
        <v>-0.103414441196858</v>
      </c>
      <c r="AU65" s="117">
        <v>-8.8232651942505305E-2</v>
      </c>
      <c r="AV65" s="117">
        <v>-0.23721850954294099</v>
      </c>
      <c r="AW65" s="117">
        <v>-3.9601970100652199E-3</v>
      </c>
      <c r="AX65" s="117">
        <v>-5.47944107852582E-2</v>
      </c>
      <c r="AY65" s="117">
        <v>4.4473418829983E-2</v>
      </c>
      <c r="AZ65" s="117">
        <v>8.3336671541562601E-2</v>
      </c>
      <c r="BA65" s="117">
        <v>8.4851840974649304E-2</v>
      </c>
      <c r="BB65" s="117">
        <v>-0.14022971243247201</v>
      </c>
      <c r="BC65" s="117">
        <v>-0.115395740953826</v>
      </c>
      <c r="BD65" s="117">
        <v>0.245938762216731</v>
      </c>
      <c r="BE65" s="117">
        <v>0.14888384055235501</v>
      </c>
      <c r="BF65" s="117">
        <v>0.216188921337132</v>
      </c>
      <c r="BG65" s="117">
        <v>0.16446223921653699</v>
      </c>
      <c r="BH65" s="117">
        <v>0.178527658364974</v>
      </c>
      <c r="BI65" s="117">
        <v>2.9662632680700199E-2</v>
      </c>
      <c r="BJ65" s="117">
        <v>0.28753271425124899</v>
      </c>
      <c r="BK65" s="117">
        <v>0.39237788099662002</v>
      </c>
      <c r="BL65" s="117">
        <v>-2.8672536238064102E-2</v>
      </c>
      <c r="BM65" s="117">
        <v>1</v>
      </c>
      <c r="BN65" s="117">
        <v>-0.103412397025878</v>
      </c>
    </row>
    <row r="66" spans="1:66" x14ac:dyDescent="0.25">
      <c r="A66" t="s">
        <v>276</v>
      </c>
      <c r="B66" s="117">
        <v>0.44310569030762798</v>
      </c>
      <c r="C66" s="117">
        <v>0.379757136005624</v>
      </c>
      <c r="D66" s="117">
        <v>-0.250304990445961</v>
      </c>
      <c r="E66" s="117">
        <v>0.116246439276554</v>
      </c>
      <c r="F66" s="117">
        <v>6.9009760794329598E-3</v>
      </c>
      <c r="G66" s="117">
        <v>-5.3671691789476901E-2</v>
      </c>
      <c r="H66" s="117">
        <v>-8.1184332513863894E-2</v>
      </c>
      <c r="I66" s="117">
        <v>-0.13416493474721999</v>
      </c>
      <c r="J66" s="117">
        <v>0.217348794543994</v>
      </c>
      <c r="K66" s="117">
        <v>0.227423166377382</v>
      </c>
      <c r="L66" s="117">
        <v>0.26209886166413898</v>
      </c>
      <c r="M66" s="117">
        <v>0.18604346682279099</v>
      </c>
      <c r="N66" s="117">
        <v>-0.145782896555047</v>
      </c>
      <c r="O66" s="117">
        <v>-0.13940002507746899</v>
      </c>
      <c r="P66" s="117">
        <v>-0.149343751746669</v>
      </c>
      <c r="Q66" s="117">
        <v>-0.147654923345381</v>
      </c>
      <c r="R66" s="117">
        <v>-0.14705364548751901</v>
      </c>
      <c r="S66" s="117">
        <v>-0.146342770162703</v>
      </c>
      <c r="T66" s="117">
        <v>-0.13487508068375301</v>
      </c>
      <c r="U66" s="117">
        <v>-0.147715638234208</v>
      </c>
      <c r="V66" s="117">
        <v>-9.9508568462318397E-2</v>
      </c>
      <c r="W66" s="117">
        <v>-0.101188212483013</v>
      </c>
      <c r="X66" s="117">
        <v>-0.10143000777465599</v>
      </c>
      <c r="Y66" s="117">
        <v>-8.6881492618251094E-2</v>
      </c>
      <c r="Z66" s="117">
        <v>-8.6881492663668694E-2</v>
      </c>
      <c r="AA66" s="117">
        <v>-0.12783650707795499</v>
      </c>
      <c r="AB66" s="117">
        <v>-9.21616767009001E-2</v>
      </c>
      <c r="AC66" s="117">
        <v>-5.8024738333391598E-2</v>
      </c>
      <c r="AD66" s="117">
        <v>-5.8024738333391598E-2</v>
      </c>
      <c r="AE66" s="117">
        <v>3.4864737014575001E-2</v>
      </c>
      <c r="AF66" s="117">
        <v>3.0658584968816401E-2</v>
      </c>
      <c r="AG66" s="117">
        <v>0.27021405825980899</v>
      </c>
      <c r="AH66" s="117">
        <v>6.8224626818556205E-2</v>
      </c>
      <c r="AI66" s="117">
        <v>-7.2706258518940595E-2</v>
      </c>
      <c r="AJ66" s="117">
        <v>-8.4009848405554893E-2</v>
      </c>
      <c r="AK66" s="117">
        <v>-7.7840906703711396E-2</v>
      </c>
      <c r="AL66" s="117">
        <v>-0.10842830250883401</v>
      </c>
      <c r="AM66" s="117">
        <v>5.4057996045593401E-2</v>
      </c>
      <c r="AN66" s="117">
        <v>-0.20822220282831599</v>
      </c>
      <c r="AO66" s="117">
        <v>0.193425195855567</v>
      </c>
      <c r="AP66" s="117">
        <v>-5.3081966155230902E-3</v>
      </c>
      <c r="AQ66" s="117">
        <v>6.1690202811462098E-2</v>
      </c>
      <c r="AR66" s="117">
        <v>0.20245033861355199</v>
      </c>
      <c r="AS66" s="117">
        <v>-0.103415493766809</v>
      </c>
      <c r="AT66" s="117">
        <v>0.99998023321543394</v>
      </c>
      <c r="AU66" s="117">
        <v>-0.103415493766809</v>
      </c>
      <c r="AV66" s="117">
        <v>-0.32370103340013401</v>
      </c>
      <c r="AW66" s="117">
        <v>1.13898085508584E-2</v>
      </c>
      <c r="AX66" s="117">
        <v>0.132879093522593</v>
      </c>
      <c r="AY66" s="117">
        <v>-5.8089773924961598E-2</v>
      </c>
      <c r="AZ66" s="117">
        <v>7.9108047864528505E-2</v>
      </c>
      <c r="BA66" s="117">
        <v>-4.0539355321333799E-2</v>
      </c>
      <c r="BB66" s="117">
        <v>0.137080648162303</v>
      </c>
      <c r="BC66" s="117">
        <v>0.23224594363744699</v>
      </c>
      <c r="BD66" s="117">
        <v>0.15984502378138399</v>
      </c>
      <c r="BE66" s="117">
        <v>-8.1661268919374697E-2</v>
      </c>
      <c r="BF66" s="117">
        <v>0.118771649914831</v>
      </c>
      <c r="BG66" s="117">
        <v>9.6361091937148105E-2</v>
      </c>
      <c r="BH66" s="117">
        <v>0.119859259464714</v>
      </c>
      <c r="BI66" s="117">
        <v>-0.196012994235569</v>
      </c>
      <c r="BJ66" s="117">
        <v>-5.8407906564408203E-2</v>
      </c>
      <c r="BK66" s="117">
        <v>0.205690099866739</v>
      </c>
      <c r="BL66" s="117">
        <v>0.14130593860066801</v>
      </c>
      <c r="BM66" s="117">
        <v>-0.103412397025878</v>
      </c>
      <c r="BN66" s="117">
        <v>1</v>
      </c>
    </row>
  </sheetData>
  <conditionalFormatting sqref="B2:BN66">
    <cfRule type="cellIs" dxfId="1" priority="1" operator="lessThan">
      <formula>-0.99</formula>
    </cfRule>
    <cfRule type="cellIs" dxfId="0" priority="2" operator="greaterThan">
      <formula>0.99</formula>
    </cfRule>
    <cfRule type="colorScale" priority="3">
      <colorScale>
        <cfvo type="num" val="-1"/>
        <cfvo type="num" val="0"/>
        <cfvo type="num" val="1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21E2-5F7C-49EC-A766-E8B947FD8FE0}">
  <sheetPr codeName="Sheet12"/>
  <dimension ref="A3:AB80"/>
  <sheetViews>
    <sheetView topLeftCell="A35" workbookViewId="0">
      <selection activeCell="I80" sqref="I80"/>
    </sheetView>
  </sheetViews>
  <sheetFormatPr defaultColWidth="8.85546875" defaultRowHeight="12.75" x14ac:dyDescent="0.2"/>
  <cols>
    <col min="1" max="1" width="16.28515625" style="178" bestFit="1" customWidth="1"/>
    <col min="2" max="2" width="8.85546875" style="178"/>
    <col min="3" max="3" width="23.42578125" style="178" bestFit="1" customWidth="1"/>
    <col min="4" max="5" width="14.42578125" style="178" bestFit="1" customWidth="1"/>
    <col min="6" max="7" width="15" style="178" bestFit="1" customWidth="1"/>
    <col min="8" max="8" width="14.140625" style="178" bestFit="1" customWidth="1"/>
    <col min="9" max="9" width="15.140625" style="178" bestFit="1" customWidth="1"/>
    <col min="10" max="10" width="14" style="178" bestFit="1" customWidth="1"/>
    <col min="11" max="13" width="8.85546875" style="178"/>
    <col min="14" max="14" width="30" style="178" bestFit="1" customWidth="1"/>
    <col min="15" max="16384" width="8.85546875" style="178"/>
  </cols>
  <sheetData>
    <row r="3" spans="1:28" x14ac:dyDescent="0.2">
      <c r="C3" s="178" t="s">
        <v>50</v>
      </c>
      <c r="D3" s="178" t="s">
        <v>54</v>
      </c>
      <c r="E3" s="178" t="s">
        <v>56</v>
      </c>
      <c r="F3" s="178" t="s">
        <v>58</v>
      </c>
      <c r="G3" s="178" t="s">
        <v>61</v>
      </c>
    </row>
    <row r="4" spans="1:28" x14ac:dyDescent="0.2">
      <c r="A4" s="178" t="s">
        <v>282</v>
      </c>
      <c r="B4" s="179" t="s">
        <v>79</v>
      </c>
      <c r="C4" s="180">
        <v>1916.2727714045502</v>
      </c>
      <c r="D4" s="180">
        <v>383.07585279650857</v>
      </c>
      <c r="E4" s="180">
        <v>1054.0061630068683</v>
      </c>
      <c r="F4" s="180">
        <v>1063.141301968463</v>
      </c>
      <c r="G4" s="180">
        <v>431.17940896175645</v>
      </c>
    </row>
    <row r="5" spans="1:28" x14ac:dyDescent="0.2">
      <c r="A5" s="178" t="s">
        <v>282</v>
      </c>
      <c r="B5" s="179" t="s">
        <v>80</v>
      </c>
      <c r="C5" s="180">
        <v>2089.3581228355083</v>
      </c>
      <c r="D5" s="180">
        <v>200.01989265412621</v>
      </c>
      <c r="E5" s="180">
        <v>2.2246476825009509E-7</v>
      </c>
      <c r="F5" s="180">
        <v>9.8488837003671845E-4</v>
      </c>
      <c r="G5" s="180">
        <v>571.8266818371585</v>
      </c>
    </row>
    <row r="6" spans="1:28" x14ac:dyDescent="0.2">
      <c r="A6" s="178" t="s">
        <v>283</v>
      </c>
      <c r="B6" s="179" t="s">
        <v>79</v>
      </c>
      <c r="C6" s="180">
        <v>176575569.53789949</v>
      </c>
      <c r="D6" s="180">
        <v>35050078.183130033</v>
      </c>
      <c r="E6" s="180">
        <v>96742583.320447847</v>
      </c>
      <c r="F6" s="180">
        <v>97947537.852975309</v>
      </c>
      <c r="G6" s="180">
        <v>39830417.42093952</v>
      </c>
    </row>
    <row r="7" spans="1:28" x14ac:dyDescent="0.2">
      <c r="A7" s="178" t="s">
        <v>283</v>
      </c>
      <c r="B7" s="179" t="s">
        <v>80</v>
      </c>
      <c r="C7" s="180">
        <v>201744898.30950987</v>
      </c>
      <c r="D7" s="180">
        <v>19393112.779859077</v>
      </c>
      <c r="E7" s="180">
        <v>2.1583283145890038E-2</v>
      </c>
      <c r="F7" s="180">
        <v>96.860930672845072</v>
      </c>
      <c r="G7" s="180">
        <v>55025906.137700558</v>
      </c>
    </row>
    <row r="8" spans="1:28" x14ac:dyDescent="0.2">
      <c r="A8" s="178" t="s">
        <v>284</v>
      </c>
      <c r="B8" s="179" t="s">
        <v>79</v>
      </c>
      <c r="C8" s="180">
        <v>50075894</v>
      </c>
      <c r="D8" s="180">
        <v>7012253</v>
      </c>
      <c r="E8" s="180">
        <v>18374818</v>
      </c>
      <c r="F8" s="180">
        <v>45574922.761904821</v>
      </c>
      <c r="G8" s="180">
        <v>19699999.571428571</v>
      </c>
      <c r="N8" s="181"/>
      <c r="O8" s="181"/>
    </row>
    <row r="9" spans="1:28" x14ac:dyDescent="0.2">
      <c r="A9" s="178" t="s">
        <v>284</v>
      </c>
      <c r="B9" s="179" t="s">
        <v>80</v>
      </c>
      <c r="C9" s="180">
        <v>137198308.16699219</v>
      </c>
      <c r="D9" s="180">
        <v>6869130.9873046903</v>
      </c>
      <c r="E9" s="180">
        <v>0</v>
      </c>
      <c r="F9" s="180">
        <v>0</v>
      </c>
      <c r="G9" s="180">
        <v>30999999.999999948</v>
      </c>
      <c r="N9" s="181"/>
      <c r="O9" s="181"/>
    </row>
    <row r="10" spans="1:28" x14ac:dyDescent="0.2">
      <c r="A10" s="178" t="s">
        <v>25</v>
      </c>
      <c r="B10" s="179" t="s">
        <v>79</v>
      </c>
      <c r="C10" s="182">
        <f>IFERROR(C6/C8,"")</f>
        <v>3.5261591043766387</v>
      </c>
      <c r="D10" s="182">
        <f t="shared" ref="D10:G11" si="0">IFERROR(D6/D8,"")</f>
        <v>4.9984046758053413</v>
      </c>
      <c r="E10" s="182">
        <f t="shared" si="0"/>
        <v>5.2649546417519808</v>
      </c>
      <c r="F10" s="182">
        <f t="shared" si="0"/>
        <v>2.1491542259913103</v>
      </c>
      <c r="G10" s="182">
        <f t="shared" si="0"/>
        <v>2.0218486440327963</v>
      </c>
      <c r="N10" s="181"/>
      <c r="O10" s="181"/>
    </row>
    <row r="11" spans="1:28" x14ac:dyDescent="0.2">
      <c r="A11" s="178" t="s">
        <v>25</v>
      </c>
      <c r="B11" s="179" t="s">
        <v>80</v>
      </c>
      <c r="C11" s="182">
        <f>IFERROR(C7/C9,"")</f>
        <v>1.4704619977088509</v>
      </c>
      <c r="D11" s="182">
        <f t="shared" si="0"/>
        <v>2.8232265210404068</v>
      </c>
      <c r="E11" s="182" t="str">
        <f t="shared" si="0"/>
        <v/>
      </c>
      <c r="F11" s="182" t="str">
        <f t="shared" si="0"/>
        <v/>
      </c>
      <c r="G11" s="182">
        <f t="shared" si="0"/>
        <v>1.7750292302484081</v>
      </c>
      <c r="N11" s="181"/>
      <c r="O11" s="181"/>
    </row>
    <row r="13" spans="1:28" x14ac:dyDescent="0.2">
      <c r="N13" s="178" t="s">
        <v>146</v>
      </c>
      <c r="O13" s="178" t="s">
        <v>147</v>
      </c>
      <c r="P13" s="178" t="s">
        <v>148</v>
      </c>
      <c r="Q13" s="178" t="s">
        <v>149</v>
      </c>
      <c r="R13" s="178" t="s">
        <v>50</v>
      </c>
      <c r="S13" s="178" t="s">
        <v>51</v>
      </c>
      <c r="T13" s="178" t="s">
        <v>54</v>
      </c>
      <c r="U13" s="178" t="s">
        <v>55</v>
      </c>
      <c r="V13" s="178" t="s">
        <v>150</v>
      </c>
      <c r="W13" s="178" t="s">
        <v>56</v>
      </c>
      <c r="X13" s="178" t="s">
        <v>57</v>
      </c>
      <c r="Y13" s="178" t="s">
        <v>59</v>
      </c>
      <c r="Z13" s="178" t="s">
        <v>58</v>
      </c>
      <c r="AA13" s="178" t="s">
        <v>62</v>
      </c>
      <c r="AB13" s="178" t="s">
        <v>61</v>
      </c>
    </row>
    <row r="14" spans="1:28" x14ac:dyDescent="0.2">
      <c r="C14" s="178" t="s">
        <v>136</v>
      </c>
      <c r="D14" s="178" t="s">
        <v>113</v>
      </c>
      <c r="E14" s="178" t="s">
        <v>114</v>
      </c>
      <c r="F14" s="178" t="s">
        <v>115</v>
      </c>
      <c r="G14" s="178" t="s">
        <v>197</v>
      </c>
      <c r="I14" s="178" t="s">
        <v>198</v>
      </c>
      <c r="J14" s="178" t="s">
        <v>285</v>
      </c>
      <c r="N14" s="178">
        <v>63627469</v>
      </c>
      <c r="O14" s="178">
        <v>22488896</v>
      </c>
      <c r="P14" s="178">
        <v>14669657</v>
      </c>
      <c r="Q14" s="178">
        <v>27586998</v>
      </c>
      <c r="R14" s="178">
        <v>78297126</v>
      </c>
      <c r="S14" s="178">
        <v>50075894</v>
      </c>
      <c r="T14" s="178">
        <v>60335</v>
      </c>
      <c r="U14" s="178">
        <v>7012253</v>
      </c>
      <c r="V14" s="178">
        <v>1182</v>
      </c>
      <c r="W14" s="178">
        <v>3532942</v>
      </c>
      <c r="X14" s="178">
        <v>18374818</v>
      </c>
      <c r="Y14" s="178">
        <v>45574922.761904821</v>
      </c>
      <c r="Z14" s="178">
        <v>460.11572826120005</v>
      </c>
      <c r="AA14" s="178">
        <v>19699999.571428571</v>
      </c>
      <c r="AB14" s="178">
        <v>198.88743172699998</v>
      </c>
    </row>
    <row r="15" spans="1:28" x14ac:dyDescent="0.2">
      <c r="A15" s="178" t="s">
        <v>282</v>
      </c>
      <c r="B15" s="178" t="s">
        <v>79</v>
      </c>
      <c r="C15" s="180">
        <v>1916.2727714045502</v>
      </c>
      <c r="D15" s="180">
        <v>383.07585279650857</v>
      </c>
      <c r="E15" s="180">
        <v>1054.0061630068683</v>
      </c>
      <c r="F15" s="180">
        <v>1063.141301968463</v>
      </c>
      <c r="G15" s="180">
        <v>431.17940896175645</v>
      </c>
      <c r="H15" s="180">
        <f>SUM(C15:G15)</f>
        <v>4847.6754981381464</v>
      </c>
      <c r="I15" s="180">
        <v>1042.7650631778392</v>
      </c>
      <c r="J15" s="180">
        <v>873.50770822671075</v>
      </c>
      <c r="N15" s="178">
        <v>158835519</v>
      </c>
      <c r="O15" s="178">
        <v>70999307.495117232</v>
      </c>
      <c r="P15" s="178">
        <v>32512078</v>
      </c>
      <c r="Q15" s="178">
        <v>66199000.671875007</v>
      </c>
      <c r="R15" s="178">
        <v>191347597</v>
      </c>
      <c r="S15" s="178">
        <v>137198308.16699219</v>
      </c>
      <c r="T15" s="178">
        <v>41319</v>
      </c>
      <c r="U15" s="178">
        <v>6869130.9873046903</v>
      </c>
      <c r="V15" s="178">
        <v>1795</v>
      </c>
      <c r="W15" s="178">
        <v>0</v>
      </c>
      <c r="X15" s="178">
        <v>0</v>
      </c>
      <c r="Y15" s="178">
        <v>0</v>
      </c>
      <c r="Z15" s="178">
        <v>0</v>
      </c>
      <c r="AA15" s="178">
        <v>30999999.999999948</v>
      </c>
      <c r="AB15" s="178">
        <v>88.999999999999886</v>
      </c>
    </row>
    <row r="16" spans="1:28" x14ac:dyDescent="0.2">
      <c r="A16" s="178" t="s">
        <v>282</v>
      </c>
      <c r="B16" s="178" t="s">
        <v>80</v>
      </c>
      <c r="C16" s="180">
        <v>2089.3581228355083</v>
      </c>
      <c r="D16" s="180">
        <v>200.01989265412621</v>
      </c>
      <c r="E16" s="180">
        <v>2.2246476825009509E-7</v>
      </c>
      <c r="F16" s="180">
        <v>9.8488837003671845E-4</v>
      </c>
      <c r="G16" s="180">
        <v>571.8266818371585</v>
      </c>
      <c r="H16" s="180">
        <f t="shared" ref="H16:H20" si="1">SUM(C16:G16)</f>
        <v>2861.2056824376277</v>
      </c>
      <c r="I16" s="180">
        <v>1211.3808970392481</v>
      </c>
      <c r="J16" s="180">
        <v>877.97722579626009</v>
      </c>
    </row>
    <row r="17" spans="1:16" x14ac:dyDescent="0.2">
      <c r="A17" s="178" t="s">
        <v>283</v>
      </c>
      <c r="B17" s="178" t="s">
        <v>79</v>
      </c>
      <c r="C17" s="180">
        <v>176575569.53789949</v>
      </c>
      <c r="D17" s="180">
        <v>35050078.183130033</v>
      </c>
      <c r="E17" s="180">
        <v>96742583.320447847</v>
      </c>
      <c r="F17" s="180">
        <v>97947537.852975309</v>
      </c>
      <c r="G17" s="180">
        <v>39830417.42093952</v>
      </c>
      <c r="H17" s="180">
        <f t="shared" si="1"/>
        <v>446146186.3153922</v>
      </c>
      <c r="I17" s="180">
        <v>96103166.962532833</v>
      </c>
      <c r="J17" s="180">
        <v>80472402.575366631</v>
      </c>
    </row>
    <row r="18" spans="1:16" x14ac:dyDescent="0.2">
      <c r="A18" s="178" t="s">
        <v>283</v>
      </c>
      <c r="B18" s="178" t="s">
        <v>80</v>
      </c>
      <c r="C18" s="180">
        <v>201744898.30950987</v>
      </c>
      <c r="D18" s="180">
        <v>19393112.779859077</v>
      </c>
      <c r="E18" s="180">
        <v>2.1583283145890038E-2</v>
      </c>
      <c r="F18" s="180">
        <v>9.8488837003671845E-4</v>
      </c>
      <c r="G18" s="180">
        <v>55025906.137700558</v>
      </c>
      <c r="H18" s="180">
        <f t="shared" si="1"/>
        <v>276163917.24963766</v>
      </c>
      <c r="I18" s="180">
        <v>116932171.33300138</v>
      </c>
      <c r="J18" s="180">
        <v>84812726.976508498</v>
      </c>
    </row>
    <row r="19" spans="1:16" x14ac:dyDescent="0.2">
      <c r="A19" s="178" t="s">
        <v>284</v>
      </c>
      <c r="B19" s="178" t="s">
        <v>79</v>
      </c>
      <c r="C19" s="180">
        <v>50075894</v>
      </c>
      <c r="D19" s="180">
        <v>7012253</v>
      </c>
      <c r="E19" s="180">
        <v>18374818</v>
      </c>
      <c r="F19" s="180">
        <v>45574922.761904821</v>
      </c>
      <c r="G19" s="180">
        <v>19699999.571428571</v>
      </c>
      <c r="H19" s="180">
        <f t="shared" si="1"/>
        <v>140737887.3333334</v>
      </c>
      <c r="I19" s="180">
        <v>22488896</v>
      </c>
      <c r="J19" s="180">
        <v>27586998</v>
      </c>
    </row>
    <row r="20" spans="1:16" x14ac:dyDescent="0.2">
      <c r="A20" s="178" t="s">
        <v>284</v>
      </c>
      <c r="B20" s="178" t="s">
        <v>80</v>
      </c>
      <c r="C20" s="180">
        <v>137198308.16699219</v>
      </c>
      <c r="D20" s="180">
        <v>6869130.9873046903</v>
      </c>
      <c r="E20" s="180">
        <v>0</v>
      </c>
      <c r="F20" s="180">
        <v>0</v>
      </c>
      <c r="G20" s="180">
        <v>30999999.999999948</v>
      </c>
      <c r="H20" s="180">
        <f t="shared" si="1"/>
        <v>175067439.15429682</v>
      </c>
      <c r="I20" s="180">
        <v>70999307.495117232</v>
      </c>
      <c r="J20" s="180">
        <v>66199000.671875007</v>
      </c>
    </row>
    <row r="21" spans="1:16" x14ac:dyDescent="0.2">
      <c r="A21" s="178" t="s">
        <v>25</v>
      </c>
      <c r="B21" s="178" t="s">
        <v>79</v>
      </c>
      <c r="C21" s="183">
        <v>3.5261591043766387</v>
      </c>
      <c r="D21" s="183">
        <v>4.9984046758053413</v>
      </c>
      <c r="E21" s="183">
        <v>5.2649546417519808</v>
      </c>
      <c r="F21" s="183">
        <v>2.1491542259913103</v>
      </c>
      <c r="G21" s="183">
        <v>2.0218486440327963</v>
      </c>
      <c r="H21" s="183">
        <f t="shared" ref="H21:J22" si="2">IFERROR(H17/H19,"")</f>
        <v>3.1700503309297838</v>
      </c>
      <c r="I21" s="183">
        <f t="shared" si="2"/>
        <v>4.2733608160459644</v>
      </c>
      <c r="J21" s="183">
        <f t="shared" si="2"/>
        <v>2.917040939915486</v>
      </c>
      <c r="N21" s="178" t="s">
        <v>147</v>
      </c>
      <c r="O21" s="178">
        <v>22488896</v>
      </c>
      <c r="P21" s="178">
        <v>70999307.495117232</v>
      </c>
    </row>
    <row r="22" spans="1:16" x14ac:dyDescent="0.2">
      <c r="A22" s="178" t="s">
        <v>25</v>
      </c>
      <c r="B22" s="178" t="s">
        <v>80</v>
      </c>
      <c r="C22" s="183">
        <v>1.4704619977088509</v>
      </c>
      <c r="D22" s="183">
        <v>2.8232265210404068</v>
      </c>
      <c r="E22" s="183" t="s">
        <v>286</v>
      </c>
      <c r="F22" s="183" t="s">
        <v>286</v>
      </c>
      <c r="G22" s="183">
        <v>1.7750292302484081</v>
      </c>
      <c r="H22" s="183">
        <f t="shared" si="2"/>
        <v>1.577471622271454</v>
      </c>
      <c r="I22" s="183">
        <f t="shared" si="2"/>
        <v>1.646948054261558</v>
      </c>
      <c r="J22" s="183">
        <f t="shared" si="2"/>
        <v>1.2811783579165361</v>
      </c>
      <c r="N22" s="178" t="s">
        <v>149</v>
      </c>
      <c r="O22" s="178">
        <v>27586998</v>
      </c>
      <c r="P22" s="178">
        <v>66199000.671875007</v>
      </c>
    </row>
    <row r="23" spans="1:16" x14ac:dyDescent="0.2">
      <c r="N23" s="178" t="s">
        <v>51</v>
      </c>
      <c r="O23" s="178">
        <v>50075894</v>
      </c>
      <c r="P23" s="178">
        <v>137198308.16699219</v>
      </c>
    </row>
    <row r="24" spans="1:16" x14ac:dyDescent="0.2">
      <c r="N24" s="178" t="s">
        <v>55</v>
      </c>
      <c r="O24" s="178">
        <v>7012253</v>
      </c>
      <c r="P24" s="178">
        <v>6869130.9873046903</v>
      </c>
    </row>
    <row r="25" spans="1:16" x14ac:dyDescent="0.2">
      <c r="N25" s="178" t="s">
        <v>57</v>
      </c>
      <c r="O25" s="178">
        <v>18374818</v>
      </c>
      <c r="P25" s="178">
        <v>0</v>
      </c>
    </row>
    <row r="26" spans="1:16" x14ac:dyDescent="0.2">
      <c r="N26" s="178" t="s">
        <v>59</v>
      </c>
      <c r="O26" s="178">
        <v>45574922.761904821</v>
      </c>
      <c r="P26" s="178">
        <v>0</v>
      </c>
    </row>
    <row r="27" spans="1:16" x14ac:dyDescent="0.2">
      <c r="N27" s="178" t="s">
        <v>62</v>
      </c>
      <c r="O27" s="178">
        <v>19699999.571428571</v>
      </c>
      <c r="P27" s="178">
        <v>30999999.999999948</v>
      </c>
    </row>
    <row r="28" spans="1:16" x14ac:dyDescent="0.2">
      <c r="C28" s="178" t="s">
        <v>136</v>
      </c>
      <c r="D28" s="178" t="s">
        <v>113</v>
      </c>
      <c r="E28" s="178" t="s">
        <v>114</v>
      </c>
      <c r="F28" s="178" t="s">
        <v>115</v>
      </c>
      <c r="G28" s="178" t="s">
        <v>197</v>
      </c>
      <c r="I28" s="178" t="s">
        <v>198</v>
      </c>
      <c r="J28" s="178" t="s">
        <v>285</v>
      </c>
    </row>
    <row r="29" spans="1:16" x14ac:dyDescent="0.2">
      <c r="A29" s="178" t="s">
        <v>282</v>
      </c>
      <c r="B29" s="178" t="s">
        <v>79</v>
      </c>
      <c r="C29" s="184">
        <v>1916.2727714045502</v>
      </c>
      <c r="D29" s="184">
        <v>383.07585279650857</v>
      </c>
      <c r="E29" s="184">
        <v>1054.0061630068683</v>
      </c>
      <c r="F29" s="184">
        <v>1063.141301968463</v>
      </c>
      <c r="G29" s="184">
        <v>431.17940896175645</v>
      </c>
      <c r="H29" s="184"/>
      <c r="I29" s="184">
        <v>1042.7650631778392</v>
      </c>
      <c r="J29" s="184">
        <v>873.50770822671075</v>
      </c>
    </row>
    <row r="30" spans="1:16" x14ac:dyDescent="0.2">
      <c r="A30" s="178" t="s">
        <v>282</v>
      </c>
      <c r="B30" s="178" t="s">
        <v>80</v>
      </c>
      <c r="C30" s="184">
        <v>2089.3581228355083</v>
      </c>
      <c r="D30" s="184">
        <v>200.01989265412621</v>
      </c>
      <c r="E30" s="184">
        <v>2.2246476825009509E-7</v>
      </c>
      <c r="F30" s="184">
        <v>9.8488837003671845E-4</v>
      </c>
      <c r="G30" s="184">
        <v>571.8266818371585</v>
      </c>
      <c r="H30" s="184"/>
      <c r="I30" s="184">
        <v>1211.3808970392481</v>
      </c>
      <c r="J30" s="184">
        <v>877.97722579626009</v>
      </c>
    </row>
    <row r="31" spans="1:16" x14ac:dyDescent="0.2">
      <c r="A31" s="178" t="s">
        <v>283</v>
      </c>
      <c r="B31" s="178" t="s">
        <v>79</v>
      </c>
      <c r="C31" s="184">
        <v>176575569.53789949</v>
      </c>
      <c r="D31" s="184">
        <v>35050078.183130033</v>
      </c>
      <c r="E31" s="184">
        <v>96742583.320447847</v>
      </c>
      <c r="F31" s="184">
        <v>97947537.852975309</v>
      </c>
      <c r="G31" s="184">
        <v>39830417.42093952</v>
      </c>
      <c r="H31" s="184"/>
      <c r="I31" s="184">
        <v>96103166.962532833</v>
      </c>
      <c r="J31" s="184">
        <v>80472402.575366631</v>
      </c>
    </row>
    <row r="32" spans="1:16" x14ac:dyDescent="0.2">
      <c r="A32" s="178" t="s">
        <v>283</v>
      </c>
      <c r="B32" s="178" t="s">
        <v>80</v>
      </c>
      <c r="C32" s="184">
        <v>201744898.30950987</v>
      </c>
      <c r="D32" s="184">
        <v>19393112.779859077</v>
      </c>
      <c r="E32" s="184">
        <v>2.1583283145890038E-2</v>
      </c>
      <c r="F32" s="184">
        <v>96.860930672845072</v>
      </c>
      <c r="G32" s="184">
        <v>55025906.137700558</v>
      </c>
      <c r="H32" s="184"/>
      <c r="I32" s="184">
        <v>116932171.33300138</v>
      </c>
      <c r="J32" s="184">
        <v>84812726.976508498</v>
      </c>
    </row>
    <row r="33" spans="1:10" x14ac:dyDescent="0.2">
      <c r="A33" s="178" t="s">
        <v>284</v>
      </c>
      <c r="B33" s="178" t="s">
        <v>79</v>
      </c>
      <c r="C33" s="184">
        <v>50075894</v>
      </c>
      <c r="D33" s="184">
        <v>7012253</v>
      </c>
      <c r="E33" s="184">
        <v>18374818</v>
      </c>
      <c r="F33" s="184">
        <v>45574922.761904821</v>
      </c>
      <c r="G33" s="184">
        <v>19699999.571428571</v>
      </c>
      <c r="H33" s="184"/>
      <c r="I33" s="184">
        <v>22488896</v>
      </c>
      <c r="J33" s="184">
        <v>27586998</v>
      </c>
    </row>
    <row r="34" spans="1:10" x14ac:dyDescent="0.2">
      <c r="A34" s="178" t="s">
        <v>284</v>
      </c>
      <c r="B34" s="178" t="s">
        <v>80</v>
      </c>
      <c r="C34" s="184">
        <v>137198308.16699219</v>
      </c>
      <c r="D34" s="184">
        <v>6869130.9873046903</v>
      </c>
      <c r="E34" s="184">
        <v>0</v>
      </c>
      <c r="F34" s="184">
        <v>0</v>
      </c>
      <c r="G34" s="184">
        <v>30999999.999999948</v>
      </c>
      <c r="H34" s="184"/>
      <c r="I34" s="184">
        <v>70999307.495117232</v>
      </c>
      <c r="J34" s="184">
        <v>66199000.671875007</v>
      </c>
    </row>
    <row r="35" spans="1:10" x14ac:dyDescent="0.2">
      <c r="A35" s="178" t="s">
        <v>25</v>
      </c>
      <c r="B35" s="178" t="s">
        <v>79</v>
      </c>
      <c r="C35" s="185">
        <v>3.5261591043766387</v>
      </c>
      <c r="D35" s="185">
        <v>4.9984046758053413</v>
      </c>
      <c r="E35" s="185">
        <v>5.2649546417519808</v>
      </c>
      <c r="F35" s="185">
        <v>2.1491542259913103</v>
      </c>
      <c r="G35" s="185">
        <v>2.0218486440327963</v>
      </c>
      <c r="H35" s="185"/>
      <c r="I35" s="185">
        <v>4.2733608160459644</v>
      </c>
      <c r="J35" s="185">
        <v>2.917040939915486</v>
      </c>
    </row>
    <row r="36" spans="1:10" x14ac:dyDescent="0.2">
      <c r="A36" s="178" t="s">
        <v>25</v>
      </c>
      <c r="B36" s="178" t="s">
        <v>80</v>
      </c>
      <c r="C36" s="185">
        <v>1.4704619977088509</v>
      </c>
      <c r="D36" s="185">
        <v>2.8232265210404068</v>
      </c>
      <c r="E36" s="185" t="s">
        <v>286</v>
      </c>
      <c r="F36" s="185" t="s">
        <v>286</v>
      </c>
      <c r="G36" s="185">
        <v>1.7750292302484081</v>
      </c>
      <c r="H36" s="185"/>
      <c r="I36" s="185">
        <v>1.646948054261558</v>
      </c>
      <c r="J36" s="185">
        <v>1.2811783579165361</v>
      </c>
    </row>
    <row r="44" spans="1:10" x14ac:dyDescent="0.2">
      <c r="D44" s="178" t="s">
        <v>282</v>
      </c>
      <c r="E44" s="178" t="s">
        <v>282</v>
      </c>
      <c r="F44" s="178" t="s">
        <v>283</v>
      </c>
      <c r="G44" s="178" t="s">
        <v>283</v>
      </c>
      <c r="H44" s="178" t="s">
        <v>25</v>
      </c>
      <c r="I44" s="178" t="s">
        <v>25</v>
      </c>
    </row>
    <row r="45" spans="1:10" x14ac:dyDescent="0.2">
      <c r="D45" s="178" t="s">
        <v>79</v>
      </c>
      <c r="E45" s="178" t="s">
        <v>80</v>
      </c>
      <c r="F45" s="178" t="s">
        <v>79</v>
      </c>
      <c r="G45" s="178" t="s">
        <v>80</v>
      </c>
      <c r="H45" s="178" t="s">
        <v>79</v>
      </c>
      <c r="I45" s="178" t="s">
        <v>80</v>
      </c>
    </row>
    <row r="46" spans="1:10" x14ac:dyDescent="0.2">
      <c r="C46" s="178" t="s">
        <v>136</v>
      </c>
      <c r="D46" s="184">
        <v>1916.2727714045502</v>
      </c>
      <c r="E46" s="184">
        <v>2089.3581228355083</v>
      </c>
      <c r="F46" s="184">
        <v>176575569.53789949</v>
      </c>
      <c r="G46" s="184">
        <v>201744898.30950987</v>
      </c>
      <c r="H46" s="186">
        <v>3.5261591043766387</v>
      </c>
      <c r="I46" s="186">
        <v>1.4704619977088509</v>
      </c>
    </row>
    <row r="47" spans="1:10" x14ac:dyDescent="0.2">
      <c r="C47" s="178" t="s">
        <v>113</v>
      </c>
      <c r="D47" s="184">
        <v>383.07585279650857</v>
      </c>
      <c r="E47" s="184">
        <v>200.01989265412621</v>
      </c>
      <c r="F47" s="184">
        <v>35050078.183130033</v>
      </c>
      <c r="G47" s="184">
        <v>19393112.779859077</v>
      </c>
      <c r="H47" s="186">
        <v>4.9984046758053413</v>
      </c>
      <c r="I47" s="186">
        <v>2.8232265210404068</v>
      </c>
    </row>
    <row r="48" spans="1:10" x14ac:dyDescent="0.2">
      <c r="C48" s="178" t="s">
        <v>114</v>
      </c>
      <c r="D48" s="184">
        <v>1054.0061630068683</v>
      </c>
      <c r="E48" s="184">
        <v>2.2246476825009509E-7</v>
      </c>
      <c r="F48" s="184">
        <v>96742583.320447847</v>
      </c>
      <c r="G48" s="184">
        <v>2.1583283145890038E-2</v>
      </c>
      <c r="H48" s="186">
        <v>5.2649546417519808</v>
      </c>
      <c r="I48" s="186" t="s">
        <v>286</v>
      </c>
    </row>
    <row r="49" spans="3:14" x14ac:dyDescent="0.2">
      <c r="C49" s="178" t="s">
        <v>115</v>
      </c>
      <c r="D49" s="184">
        <v>1063.141301968463</v>
      </c>
      <c r="E49" s="184">
        <v>9.8488837003671845E-4</v>
      </c>
      <c r="F49" s="184">
        <v>97947537.852975309</v>
      </c>
      <c r="G49" s="184">
        <v>96.860930672845072</v>
      </c>
      <c r="H49" s="186">
        <v>2.1491542259913103</v>
      </c>
      <c r="I49" s="186" t="s">
        <v>286</v>
      </c>
    </row>
    <row r="50" spans="3:14" x14ac:dyDescent="0.2">
      <c r="C50" s="178" t="s">
        <v>197</v>
      </c>
      <c r="D50" s="184">
        <v>431.17940896175645</v>
      </c>
      <c r="E50" s="184">
        <v>571.8266818371585</v>
      </c>
      <c r="F50" s="184">
        <v>39830417.42093952</v>
      </c>
      <c r="G50" s="184">
        <v>55025906.137700558</v>
      </c>
      <c r="H50" s="186">
        <v>2.0218486440327963</v>
      </c>
      <c r="I50" s="186">
        <v>1.7750292302484081</v>
      </c>
    </row>
    <row r="51" spans="3:14" x14ac:dyDescent="0.2">
      <c r="D51" s="184"/>
      <c r="E51" s="184"/>
      <c r="F51" s="184"/>
      <c r="G51" s="184"/>
      <c r="H51" s="186"/>
      <c r="I51" s="186"/>
    </row>
    <row r="52" spans="3:14" x14ac:dyDescent="0.2">
      <c r="C52" s="178" t="s">
        <v>198</v>
      </c>
      <c r="D52" s="184">
        <v>1042.7650631778392</v>
      </c>
      <c r="E52" s="184">
        <v>1211.3808970392481</v>
      </c>
      <c r="F52" s="184">
        <v>96103166.962532833</v>
      </c>
      <c r="G52" s="184">
        <v>116932171.33300138</v>
      </c>
      <c r="H52" s="186">
        <v>4.2733608160459644</v>
      </c>
      <c r="I52" s="186">
        <v>1.646948054261558</v>
      </c>
    </row>
    <row r="53" spans="3:14" x14ac:dyDescent="0.2">
      <c r="C53" s="178" t="s">
        <v>285</v>
      </c>
      <c r="D53" s="184">
        <v>873.50770822671075</v>
      </c>
      <c r="E53" s="184">
        <v>877.97722579626009</v>
      </c>
      <c r="F53" s="184">
        <v>80472402.575366631</v>
      </c>
      <c r="G53" s="184">
        <v>84812726.976508498</v>
      </c>
      <c r="H53" s="186">
        <v>2.917040939915486</v>
      </c>
      <c r="I53" s="186">
        <v>1.2811783579165361</v>
      </c>
    </row>
    <row r="55" spans="3:14" x14ac:dyDescent="0.2">
      <c r="D55" s="180">
        <v>4847.6754981381464</v>
      </c>
      <c r="E55" s="180">
        <v>2861.2056824376277</v>
      </c>
      <c r="F55" s="180">
        <v>446146186.3153922</v>
      </c>
      <c r="G55" s="180">
        <v>276163917.24963766</v>
      </c>
      <c r="H55" s="186">
        <v>3.1700503309297838</v>
      </c>
      <c r="I55" s="186">
        <v>1.577471622271454</v>
      </c>
      <c r="N55" s="178">
        <v>4847.6754981381464</v>
      </c>
    </row>
    <row r="56" spans="3:14" x14ac:dyDescent="0.2">
      <c r="N56" s="178">
        <v>2861.2056824376277</v>
      </c>
    </row>
    <row r="57" spans="3:14" x14ac:dyDescent="0.2">
      <c r="N57" s="178">
        <v>446146186.3153922</v>
      </c>
    </row>
    <row r="58" spans="3:14" x14ac:dyDescent="0.2">
      <c r="N58" s="178">
        <v>276163917.24963766</v>
      </c>
    </row>
    <row r="59" spans="3:14" x14ac:dyDescent="0.2">
      <c r="N59" s="178">
        <v>140737887.3333334</v>
      </c>
    </row>
    <row r="60" spans="3:14" x14ac:dyDescent="0.2">
      <c r="D60" s="178" t="s">
        <v>282</v>
      </c>
      <c r="E60" s="178" t="s">
        <v>282</v>
      </c>
      <c r="F60" s="178" t="s">
        <v>283</v>
      </c>
      <c r="G60" s="178" t="s">
        <v>283</v>
      </c>
      <c r="H60" s="178" t="s">
        <v>284</v>
      </c>
      <c r="I60" s="178" t="s">
        <v>284</v>
      </c>
      <c r="J60" s="178" t="s">
        <v>25</v>
      </c>
      <c r="K60" s="178" t="s">
        <v>25</v>
      </c>
      <c r="N60" s="178">
        <v>175067439.15429682</v>
      </c>
    </row>
    <row r="61" spans="3:14" x14ac:dyDescent="0.2">
      <c r="D61" s="178" t="s">
        <v>79</v>
      </c>
      <c r="E61" s="178" t="s">
        <v>80</v>
      </c>
      <c r="F61" s="178" t="s">
        <v>79</v>
      </c>
      <c r="G61" s="178" t="s">
        <v>80</v>
      </c>
      <c r="H61" s="178" t="s">
        <v>79</v>
      </c>
      <c r="I61" s="178" t="s">
        <v>80</v>
      </c>
      <c r="J61" s="178" t="s">
        <v>79</v>
      </c>
      <c r="K61" s="178" t="s">
        <v>80</v>
      </c>
      <c r="N61" s="178">
        <v>3.1700503309297838</v>
      </c>
    </row>
    <row r="62" spans="3:14" x14ac:dyDescent="0.2">
      <c r="C62" s="178" t="s">
        <v>136</v>
      </c>
      <c r="D62" s="184">
        <v>1916.2727714045502</v>
      </c>
      <c r="E62" s="184">
        <v>2089.3581228355083</v>
      </c>
      <c r="F62" s="184">
        <v>176575569.53789949</v>
      </c>
      <c r="G62" s="184">
        <v>201744898.30950987</v>
      </c>
      <c r="H62" s="184">
        <v>50075894</v>
      </c>
      <c r="I62" s="184">
        <v>137198308.16699219</v>
      </c>
      <c r="J62" s="185">
        <v>3.5261591043766387</v>
      </c>
      <c r="K62" s="185">
        <v>1.4704619977088509</v>
      </c>
      <c r="N62" s="178">
        <v>1.577471622271454</v>
      </c>
    </row>
    <row r="63" spans="3:14" x14ac:dyDescent="0.2">
      <c r="C63" s="178" t="s">
        <v>113</v>
      </c>
      <c r="D63" s="184">
        <v>383.07585279650857</v>
      </c>
      <c r="E63" s="184">
        <v>200.01989265412621</v>
      </c>
      <c r="F63" s="184">
        <v>35050078.183130033</v>
      </c>
      <c r="G63" s="184">
        <v>19393112.779859077</v>
      </c>
      <c r="H63" s="184">
        <v>7012253</v>
      </c>
      <c r="I63" s="184">
        <v>6869130.9873046903</v>
      </c>
      <c r="J63" s="185">
        <v>4.9984046758053413</v>
      </c>
      <c r="K63" s="185">
        <v>2.8232265210404068</v>
      </c>
    </row>
    <row r="64" spans="3:14" x14ac:dyDescent="0.2">
      <c r="C64" s="178" t="s">
        <v>114</v>
      </c>
      <c r="D64" s="184">
        <v>1054.0061630068683</v>
      </c>
      <c r="E64" s="184">
        <v>2.2246476825009509E-7</v>
      </c>
      <c r="F64" s="184">
        <v>96742583.320447847</v>
      </c>
      <c r="G64" s="184">
        <v>2.1583283145890038E-2</v>
      </c>
      <c r="H64" s="184">
        <v>18374818</v>
      </c>
      <c r="I64" s="184">
        <v>0</v>
      </c>
      <c r="J64" s="185">
        <v>5.2649546417519808</v>
      </c>
      <c r="K64" s="185" t="s">
        <v>286</v>
      </c>
    </row>
    <row r="65" spans="3:11" x14ac:dyDescent="0.2">
      <c r="C65" s="178" t="s">
        <v>115</v>
      </c>
      <c r="D65" s="184">
        <v>1063.141301968463</v>
      </c>
      <c r="E65" s="184">
        <v>9.8488837003671845E-4</v>
      </c>
      <c r="F65" s="184">
        <v>97947537.852975309</v>
      </c>
      <c r="G65" s="184">
        <v>96.860930672845072</v>
      </c>
      <c r="H65" s="184">
        <v>45574922.761904821</v>
      </c>
      <c r="I65" s="184">
        <v>0</v>
      </c>
      <c r="J65" s="185">
        <v>2.1491542259913103</v>
      </c>
      <c r="K65" s="185" t="s">
        <v>286</v>
      </c>
    </row>
    <row r="66" spans="3:11" x14ac:dyDescent="0.2">
      <c r="C66" s="178" t="s">
        <v>197</v>
      </c>
      <c r="D66" s="184">
        <v>431.17940896175645</v>
      </c>
      <c r="E66" s="184">
        <v>571.8266818371585</v>
      </c>
      <c r="F66" s="184">
        <v>39830417.42093952</v>
      </c>
      <c r="G66" s="184">
        <v>55025906.137700558</v>
      </c>
      <c r="H66" s="184">
        <v>19699999.571428571</v>
      </c>
      <c r="I66" s="184">
        <v>30999999.999999948</v>
      </c>
      <c r="J66" s="185">
        <v>2.0218486440327963</v>
      </c>
      <c r="K66" s="185">
        <v>1.7750292302484081</v>
      </c>
    </row>
    <row r="67" spans="3:11" x14ac:dyDescent="0.2">
      <c r="D67" s="184"/>
      <c r="E67" s="184"/>
      <c r="F67" s="184"/>
      <c r="G67" s="184"/>
      <c r="H67" s="184"/>
      <c r="I67" s="184"/>
      <c r="J67" s="185"/>
      <c r="K67" s="185"/>
    </row>
    <row r="68" spans="3:11" x14ac:dyDescent="0.2">
      <c r="C68" s="178" t="s">
        <v>198</v>
      </c>
      <c r="D68" s="184">
        <v>1042.7650631778392</v>
      </c>
      <c r="E68" s="184">
        <v>1211.3808970392481</v>
      </c>
      <c r="F68" s="184">
        <v>96103166.962532833</v>
      </c>
      <c r="G68" s="184">
        <v>116932171.33300138</v>
      </c>
      <c r="H68" s="184">
        <v>22488896</v>
      </c>
      <c r="I68" s="184">
        <v>70999307.495117232</v>
      </c>
      <c r="J68" s="185">
        <v>4.2733608160459644</v>
      </c>
      <c r="K68" s="185">
        <v>1.646948054261558</v>
      </c>
    </row>
    <row r="69" spans="3:11" x14ac:dyDescent="0.2">
      <c r="C69" s="178" t="s">
        <v>285</v>
      </c>
      <c r="D69" s="184">
        <v>873.50770822671075</v>
      </c>
      <c r="E69" s="184">
        <v>877.97722579626009</v>
      </c>
      <c r="F69" s="184">
        <v>80472402.575366631</v>
      </c>
      <c r="G69" s="184">
        <v>84812726.976508498</v>
      </c>
      <c r="H69" s="184">
        <v>27586998</v>
      </c>
      <c r="I69" s="184">
        <v>66199000.671875007</v>
      </c>
      <c r="J69" s="185">
        <v>2.917040939915486</v>
      </c>
      <c r="K69" s="185">
        <v>1.2811783579165361</v>
      </c>
    </row>
    <row r="70" spans="3:11" x14ac:dyDescent="0.2">
      <c r="H70" s="184">
        <f>SUM(H62:H66)</f>
        <v>140737887.3333334</v>
      </c>
      <c r="I70" s="184">
        <f>SUM(I62:I66)</f>
        <v>175067439.15429682</v>
      </c>
    </row>
    <row r="72" spans="3:11" x14ac:dyDescent="0.2">
      <c r="H72" s="188">
        <f>H62/1000000</f>
        <v>50.075893999999998</v>
      </c>
      <c r="I72" s="188">
        <f>I62/1000000</f>
        <v>137.19830816699218</v>
      </c>
    </row>
    <row r="73" spans="3:11" x14ac:dyDescent="0.2">
      <c r="H73" s="188">
        <f t="shared" ref="H73:I73" si="3">H63/1000000</f>
        <v>7.0122530000000003</v>
      </c>
      <c r="I73" s="188">
        <f t="shared" si="3"/>
        <v>6.8691309873046906</v>
      </c>
    </row>
    <row r="74" spans="3:11" x14ac:dyDescent="0.2">
      <c r="H74" s="188">
        <f t="shared" ref="H74:I74" si="4">H64/1000000</f>
        <v>18.374818000000001</v>
      </c>
      <c r="I74" s="188">
        <f t="shared" si="4"/>
        <v>0</v>
      </c>
    </row>
    <row r="75" spans="3:11" x14ac:dyDescent="0.2">
      <c r="H75" s="188">
        <f t="shared" ref="H75:I75" si="5">H65/1000000</f>
        <v>45.574922761904823</v>
      </c>
      <c r="I75" s="188">
        <f t="shared" si="5"/>
        <v>0</v>
      </c>
    </row>
    <row r="76" spans="3:11" x14ac:dyDescent="0.2">
      <c r="H76" s="188">
        <f t="shared" ref="H76:I76" si="6">H66/1000000</f>
        <v>19.69999957142857</v>
      </c>
      <c r="I76" s="188">
        <f t="shared" si="6"/>
        <v>30.999999999999947</v>
      </c>
    </row>
    <row r="77" spans="3:11" x14ac:dyDescent="0.2">
      <c r="H77" s="188">
        <f t="shared" ref="H77:I77" si="7">H67/1000000</f>
        <v>0</v>
      </c>
      <c r="I77" s="188">
        <f t="shared" si="7"/>
        <v>0</v>
      </c>
    </row>
    <row r="78" spans="3:11" x14ac:dyDescent="0.2">
      <c r="H78" s="188">
        <f t="shared" ref="H78:I78" si="8">H68/1000000</f>
        <v>22.488896</v>
      </c>
      <c r="I78" s="188">
        <f t="shared" si="8"/>
        <v>70.999307495117236</v>
      </c>
    </row>
    <row r="79" spans="3:11" x14ac:dyDescent="0.2">
      <c r="H79" s="188">
        <f t="shared" ref="H79:I80" si="9">H69/1000000</f>
        <v>27.586998000000001</v>
      </c>
      <c r="I79" s="188">
        <f t="shared" si="9"/>
        <v>66.199000671875012</v>
      </c>
    </row>
    <row r="80" spans="3:11" x14ac:dyDescent="0.2">
      <c r="H80" s="188">
        <f t="shared" si="9"/>
        <v>140.73788733333339</v>
      </c>
      <c r="I80" s="188">
        <f t="shared" si="9"/>
        <v>175.06743915429681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8C17-B421-4995-AA45-E1A8B2C11575}">
  <sheetPr codeName="Sheet13"/>
  <dimension ref="A1:Q6"/>
  <sheetViews>
    <sheetView workbookViewId="0">
      <selection activeCell="R4" sqref="R4"/>
    </sheetView>
  </sheetViews>
  <sheetFormatPr defaultRowHeight="15" x14ac:dyDescent="0.25"/>
  <cols>
    <col min="1" max="1" width="9.28515625" bestFit="1" customWidth="1"/>
    <col min="2" max="2" width="14.28515625" bestFit="1" customWidth="1"/>
    <col min="14" max="15" width="9.28515625" customWidth="1"/>
    <col min="17" max="17" width="8.42578125" customWidth="1"/>
  </cols>
  <sheetData>
    <row r="1" spans="1:17" ht="15.75" thickBot="1" x14ac:dyDescent="0.3">
      <c r="C1" t="s">
        <v>47</v>
      </c>
      <c r="D1" t="s">
        <v>47</v>
      </c>
      <c r="E1" t="s">
        <v>47</v>
      </c>
      <c r="F1" t="s">
        <v>47</v>
      </c>
      <c r="G1" t="s">
        <v>47</v>
      </c>
      <c r="H1" t="s">
        <v>47</v>
      </c>
      <c r="I1" t="s">
        <v>47</v>
      </c>
      <c r="J1" t="s">
        <v>47</v>
      </c>
      <c r="K1" t="s">
        <v>287</v>
      </c>
      <c r="L1" t="s">
        <v>287</v>
      </c>
    </row>
    <row r="2" spans="1:17" s="144" customFormat="1" ht="45" x14ac:dyDescent="0.25">
      <c r="B2" s="144" t="s">
        <v>29</v>
      </c>
      <c r="C2" s="145" t="s">
        <v>32</v>
      </c>
      <c r="D2" s="146" t="s">
        <v>11</v>
      </c>
      <c r="E2" s="146" t="s">
        <v>15</v>
      </c>
      <c r="F2" s="147" t="s">
        <v>17</v>
      </c>
      <c r="G2" s="145" t="s">
        <v>32</v>
      </c>
      <c r="H2" s="146" t="s">
        <v>11</v>
      </c>
      <c r="I2" s="146" t="s">
        <v>15</v>
      </c>
      <c r="J2" s="147" t="s">
        <v>17</v>
      </c>
      <c r="K2" s="145" t="s">
        <v>33</v>
      </c>
      <c r="L2" s="147" t="s">
        <v>34</v>
      </c>
      <c r="N2" s="144" t="s">
        <v>288</v>
      </c>
      <c r="O2" s="144" t="s">
        <v>289</v>
      </c>
      <c r="Q2" s="144" t="s">
        <v>290</v>
      </c>
    </row>
    <row r="3" spans="1:17" x14ac:dyDescent="0.25">
      <c r="A3" t="s">
        <v>291</v>
      </c>
      <c r="B3" t="s">
        <v>4</v>
      </c>
      <c r="C3" s="134">
        <v>88765.075171080287</v>
      </c>
      <c r="D3" s="113">
        <v>29452.634512758203</v>
      </c>
      <c r="E3" s="113">
        <v>29748.318116962429</v>
      </c>
      <c r="F3" s="135">
        <v>29564.122541359648</v>
      </c>
      <c r="G3" s="139">
        <v>0.89894805771569597</v>
      </c>
      <c r="H3" s="112">
        <v>0.87739503817345643</v>
      </c>
      <c r="I3" s="112">
        <v>0.93991509859739863</v>
      </c>
      <c r="J3" s="140">
        <v>0.88185306889516568</v>
      </c>
      <c r="K3" s="139">
        <v>8.8084251711218944E-3</v>
      </c>
      <c r="L3" s="140">
        <v>-5.8197643955264821E-3</v>
      </c>
      <c r="Q3" s="115">
        <f>_xlfn.STDEV.P(D3:F3)</f>
        <v>121.92273709575194</v>
      </c>
    </row>
    <row r="4" spans="1:17" x14ac:dyDescent="0.25">
      <c r="A4" t="s">
        <v>292</v>
      </c>
      <c r="B4" t="s">
        <v>4</v>
      </c>
      <c r="C4" s="134">
        <v>99750.1099682356</v>
      </c>
      <c r="D4" s="113">
        <v>35505.531175449978</v>
      </c>
      <c r="E4" s="113">
        <v>32770.111744613569</v>
      </c>
      <c r="F4" s="135">
        <v>31474.467048172028</v>
      </c>
      <c r="G4" s="139">
        <v>0.92532530766694499</v>
      </c>
      <c r="H4" s="112">
        <v>1.0035657486828906</v>
      </c>
      <c r="I4" s="112">
        <v>0.91008918297701791</v>
      </c>
      <c r="J4" s="140">
        <v>0.86437243726972868</v>
      </c>
      <c r="K4" s="139">
        <v>-7.7316777363612477E-2</v>
      </c>
      <c r="L4" s="140">
        <v>-3.5982551185740334E-2</v>
      </c>
      <c r="Q4" s="115">
        <f t="shared" ref="Q4:Q6" si="0">_xlfn.STDEV.P(D4:F4)</f>
        <v>1680.3006556447508</v>
      </c>
    </row>
    <row r="5" spans="1:17" x14ac:dyDescent="0.25">
      <c r="A5" t="s">
        <v>293</v>
      </c>
      <c r="B5" t="s">
        <v>4</v>
      </c>
      <c r="C5" s="134">
        <v>83908.244412552755</v>
      </c>
      <c r="D5" s="113">
        <v>28168.719809035607</v>
      </c>
      <c r="E5" s="113">
        <v>28074.444570667085</v>
      </c>
      <c r="F5" s="135">
        <v>27665.080032850063</v>
      </c>
      <c r="G5" s="139">
        <v>0.86567842619824409</v>
      </c>
      <c r="H5" s="112">
        <v>0.90553398877408586</v>
      </c>
      <c r="I5" s="112">
        <v>0.87962922967740287</v>
      </c>
      <c r="J5" s="140">
        <v>0.81597791885778248</v>
      </c>
      <c r="K5" s="139">
        <v>-3.0306465193030074E-3</v>
      </c>
      <c r="L5" s="140">
        <v>-1.2826220378139333E-2</v>
      </c>
      <c r="Q5" s="115">
        <f t="shared" si="0"/>
        <v>218.61182481685833</v>
      </c>
    </row>
    <row r="6" spans="1:17" ht="15.75" thickBot="1" x14ac:dyDescent="0.3">
      <c r="A6" t="s">
        <v>294</v>
      </c>
      <c r="B6" t="s">
        <v>4</v>
      </c>
      <c r="C6" s="136">
        <v>99958.144435605151</v>
      </c>
      <c r="D6" s="137">
        <v>38261.576246490986</v>
      </c>
      <c r="E6" s="137">
        <v>32275.257233616907</v>
      </c>
      <c r="F6" s="138">
        <v>29421.310955497247</v>
      </c>
      <c r="G6" s="141">
        <v>0.9608503139393485</v>
      </c>
      <c r="H6" s="142">
        <v>1.0680111413588982</v>
      </c>
      <c r="I6" s="142">
        <v>0.9756985913598919</v>
      </c>
      <c r="J6" s="143">
        <v>0.83757629388000965</v>
      </c>
      <c r="K6" s="141">
        <v>-0.16709858894180998</v>
      </c>
      <c r="L6" s="143">
        <v>-8.6276349192898588E-2</v>
      </c>
      <c r="Q6" s="115">
        <f t="shared" si="0"/>
        <v>3683.7679245492168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9E08F62-E64F-4C43-81A7-E97D1A45BAD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'Comparacion Base modelos'!D3:F3</xm:f>
              <xm:sqref>N3</xm:sqref>
            </x14:sparkline>
          </x14:sparklines>
        </x14:sparklineGroup>
        <x14:sparklineGroup displayEmptyCellsAs="gap" xr2:uid="{2B12372B-E65B-4299-BA7F-A491348752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'Comparacion Base modelos'!D4:F4</xm:f>
              <xm:sqref>N4</xm:sqref>
            </x14:sparkline>
          </x14:sparklines>
        </x14:sparklineGroup>
        <x14:sparklineGroup displayEmptyCellsAs="gap" xr2:uid="{B5FABC54-8669-4508-B84A-61A4CC1871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'Comparacion Base modelos'!D5:F5</xm:f>
              <xm:sqref>N5</xm:sqref>
            </x14:sparkline>
          </x14:sparklines>
        </x14:sparklineGroup>
        <x14:sparklineGroup displayEmptyCellsAs="gap" xr2:uid="{41BF6DD0-F926-4974-AA49-B37A5D81EEA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'Comparacion Base modelos'!D6:F6</xm:f>
              <xm:sqref>N6</xm:sqref>
            </x14:sparkline>
          </x14:sparklines>
        </x14:sparklineGroup>
        <x14:sparklineGroup displayEmptyCellsAs="gap" xr2:uid="{A9EA4A7E-9B1A-4C6A-88B3-7EEBF8D86B5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'Comparacion Base modelos'!H3:J3</xm:f>
              <xm:sqref>O3</xm:sqref>
            </x14:sparkline>
          </x14:sparklines>
        </x14:sparklineGroup>
        <x14:sparklineGroup displayEmptyCellsAs="gap" xr2:uid="{469C076E-BC3C-4EBF-B22B-781F4F97037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'Comparacion Base modelos'!H4:J4</xm:f>
              <xm:sqref>O4</xm:sqref>
            </x14:sparkline>
          </x14:sparklines>
        </x14:sparklineGroup>
        <x14:sparklineGroup displayEmptyCellsAs="gap" xr2:uid="{CFC6B0EA-3C65-42AF-A06B-F3D7FEC0DC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'Comparacion Base modelos'!H5:J5</xm:f>
              <xm:sqref>O5</xm:sqref>
            </x14:sparkline>
          </x14:sparklines>
        </x14:sparklineGroup>
        <x14:sparklineGroup displayEmptyCellsAs="gap" xr2:uid="{E209A830-720C-4670-969E-07AF797E79F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'Comparacion Base modelos'!H6:J6</xm:f>
              <xm:sqref>O6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2A88-7C06-461E-A04D-2C2FD75ACC0B}">
  <sheetPr codeName="Sheet14"/>
  <dimension ref="A1:R38"/>
  <sheetViews>
    <sheetView workbookViewId="0"/>
  </sheetViews>
  <sheetFormatPr defaultColWidth="11.42578125" defaultRowHeight="15" x14ac:dyDescent="0.25"/>
  <cols>
    <col min="1" max="16384" width="11.42578125" style="93"/>
  </cols>
  <sheetData>
    <row r="1" spans="1:18" s="110" customFormat="1" ht="45" x14ac:dyDescent="0.25">
      <c r="A1" s="55" t="s">
        <v>1</v>
      </c>
      <c r="B1" s="55" t="s">
        <v>4</v>
      </c>
      <c r="C1" s="55" t="s">
        <v>36</v>
      </c>
      <c r="D1" s="55" t="s">
        <v>39</v>
      </c>
      <c r="E1" s="55" t="s">
        <v>41</v>
      </c>
      <c r="F1" s="55" t="s">
        <v>44</v>
      </c>
      <c r="G1" s="55" t="s">
        <v>48</v>
      </c>
      <c r="H1" s="55" t="s">
        <v>50</v>
      </c>
      <c r="I1" s="55" t="s">
        <v>54</v>
      </c>
      <c r="J1" s="55" t="s">
        <v>56</v>
      </c>
      <c r="K1" s="55" t="s">
        <v>58</v>
      </c>
      <c r="L1" s="55" t="s">
        <v>61</v>
      </c>
      <c r="M1" s="55" t="s">
        <v>63</v>
      </c>
      <c r="N1" s="55" t="s">
        <v>67</v>
      </c>
      <c r="O1" s="55" t="s">
        <v>70</v>
      </c>
      <c r="P1" s="55" t="s">
        <v>71</v>
      </c>
      <c r="Q1" s="55" t="s">
        <v>72</v>
      </c>
      <c r="R1" s="55" t="s">
        <v>73</v>
      </c>
    </row>
    <row r="2" spans="1:18" x14ac:dyDescent="0.25">
      <c r="A2" s="94">
        <v>44440</v>
      </c>
      <c r="B2" s="93">
        <v>2486.3068578007301</v>
      </c>
      <c r="C2" s="93">
        <v>-405.807705849858</v>
      </c>
      <c r="D2" s="93">
        <v>23.457837198065398</v>
      </c>
      <c r="E2" s="93">
        <v>88.337516913782594</v>
      </c>
      <c r="F2" s="93">
        <v>-41.214992296714897</v>
      </c>
      <c r="G2" s="93">
        <v>602.363640036314</v>
      </c>
      <c r="H2" s="93">
        <v>4.5318190105233498E-8</v>
      </c>
      <c r="I2" s="93">
        <v>2.4060811361772499E-8</v>
      </c>
      <c r="J2" s="93">
        <v>3.5499081134420703E-8</v>
      </c>
      <c r="K2" s="93">
        <v>2.09101244950685E-8</v>
      </c>
      <c r="L2" s="93">
        <v>3.62337666511555E-9</v>
      </c>
      <c r="M2" s="93">
        <v>-72.034821602553606</v>
      </c>
      <c r="N2" s="93">
        <v>-138.30448343515999</v>
      </c>
      <c r="O2" s="93">
        <v>-190.76284054744201</v>
      </c>
      <c r="P2" s="93">
        <v>508.04527659664097</v>
      </c>
      <c r="Q2" s="93">
        <v>0</v>
      </c>
      <c r="R2" s="93">
        <v>518.53542918336302</v>
      </c>
    </row>
    <row r="3" spans="1:18" x14ac:dyDescent="0.25">
      <c r="A3" s="94">
        <v>44470</v>
      </c>
      <c r="B3" s="93">
        <v>2472.8050198772999</v>
      </c>
      <c r="C3" s="93">
        <v>-300.40606338852598</v>
      </c>
      <c r="D3" s="93">
        <v>3.25198254240627</v>
      </c>
      <c r="E3" s="93">
        <v>348.14222628112998</v>
      </c>
      <c r="F3" s="93">
        <v>-77.633850889765696</v>
      </c>
      <c r="G3" s="93">
        <v>662.25311097081396</v>
      </c>
      <c r="H3" s="93">
        <v>4.4237048867877399E-8</v>
      </c>
      <c r="I3" s="93">
        <v>2.36856737434794E-8</v>
      </c>
      <c r="J3" s="93">
        <v>3.5473090885576498E-8</v>
      </c>
      <c r="K3" s="93">
        <v>2.2251739465110201E-8</v>
      </c>
      <c r="L3" s="93">
        <v>3.9543282984732304E-9</v>
      </c>
      <c r="M3" s="93">
        <v>-72.448132634343096</v>
      </c>
      <c r="N3" s="93">
        <v>-156.981204591216</v>
      </c>
      <c r="O3" s="93">
        <v>-312.01808851802599</v>
      </c>
      <c r="P3" s="93">
        <v>367.52229149698002</v>
      </c>
      <c r="Q3" s="93">
        <v>0</v>
      </c>
      <c r="R3" s="93">
        <v>0</v>
      </c>
    </row>
    <row r="4" spans="1:18" x14ac:dyDescent="0.25">
      <c r="A4" s="94">
        <v>44501</v>
      </c>
      <c r="B4" s="93">
        <v>2469.03999939717</v>
      </c>
      <c r="C4" s="93">
        <v>-296.870941383331</v>
      </c>
      <c r="D4" s="93">
        <v>0</v>
      </c>
      <c r="E4" s="93">
        <v>317.97257976898601</v>
      </c>
      <c r="F4" s="93">
        <v>-106.07662389678001</v>
      </c>
      <c r="G4" s="93">
        <v>581.10767844492898</v>
      </c>
      <c r="H4" s="93">
        <v>4.3414245480788497E-8</v>
      </c>
      <c r="I4" s="93">
        <v>2.3657323366789001E-8</v>
      </c>
      <c r="J4" s="93">
        <v>3.52780814949017E-8</v>
      </c>
      <c r="K4" s="93">
        <v>2.3129083605068002E-8</v>
      </c>
      <c r="L4" s="93">
        <v>3.9226534724182897E-9</v>
      </c>
      <c r="M4" s="93">
        <v>-79.624360053510102</v>
      </c>
      <c r="N4" s="93">
        <v>-58.628364426772997</v>
      </c>
      <c r="O4" s="93">
        <v>-450.08939582860302</v>
      </c>
      <c r="P4" s="93">
        <v>326.27370894545402</v>
      </c>
      <c r="Q4" s="93">
        <v>0</v>
      </c>
      <c r="R4" s="93">
        <v>0</v>
      </c>
    </row>
    <row r="5" spans="1:18" x14ac:dyDescent="0.25">
      <c r="A5" s="94">
        <v>44531</v>
      </c>
      <c r="B5" s="93">
        <v>2447.4368359373102</v>
      </c>
      <c r="C5" s="93">
        <v>-142.06704997713399</v>
      </c>
      <c r="D5" s="93">
        <v>16.158530089885701</v>
      </c>
      <c r="E5" s="93">
        <v>312.59824911967598</v>
      </c>
      <c r="F5" s="93">
        <v>-82.661177705094801</v>
      </c>
      <c r="G5" s="93">
        <v>91.953482452882596</v>
      </c>
      <c r="H5" s="93">
        <v>4.2091654425249099E-8</v>
      </c>
      <c r="I5" s="93">
        <v>2.3005333804191E-8</v>
      </c>
      <c r="J5" s="93">
        <v>3.5404535137915803E-8</v>
      </c>
      <c r="K5" s="93">
        <v>2.48737939297717E-8</v>
      </c>
      <c r="L5" s="93">
        <v>4.5340985985508402E-9</v>
      </c>
      <c r="M5" s="93">
        <v>-86.216045908330699</v>
      </c>
      <c r="N5" s="93">
        <v>-91.119559142992003</v>
      </c>
      <c r="O5" s="93">
        <v>-540.29591902155198</v>
      </c>
      <c r="P5" s="93">
        <v>369.07440667054698</v>
      </c>
      <c r="Q5" s="93">
        <v>0</v>
      </c>
      <c r="R5" s="93">
        <v>0</v>
      </c>
    </row>
    <row r="6" spans="1:18" x14ac:dyDescent="0.25">
      <c r="A6" s="94">
        <v>44562</v>
      </c>
      <c r="B6" s="93">
        <v>2469.8362710900501</v>
      </c>
      <c r="C6" s="93">
        <v>-328.68595808801302</v>
      </c>
      <c r="D6" s="93">
        <v>11.907813680751801</v>
      </c>
      <c r="E6" s="93">
        <v>250.44131200179001</v>
      </c>
      <c r="F6" s="93">
        <v>-67.563189146046398</v>
      </c>
      <c r="G6" s="93">
        <v>474.28450754404798</v>
      </c>
      <c r="H6" s="93">
        <v>4.2168590417041297E-8</v>
      </c>
      <c r="I6" s="93">
        <v>2.3638541308906801E-8</v>
      </c>
      <c r="J6" s="93">
        <v>3.47755972442416E-8</v>
      </c>
      <c r="K6" s="93">
        <v>2.4087148836215301E-8</v>
      </c>
      <c r="L6" s="93">
        <v>3.8383432292940997E-9</v>
      </c>
      <c r="M6" s="93">
        <v>-43.124681689568398</v>
      </c>
      <c r="N6" s="93">
        <v>-142.97646455642001</v>
      </c>
      <c r="O6" s="93">
        <v>-620.55192359233797</v>
      </c>
      <c r="P6" s="93">
        <v>310.13311440374798</v>
      </c>
      <c r="Q6" s="93">
        <v>0</v>
      </c>
      <c r="R6" s="93">
        <v>0</v>
      </c>
    </row>
    <row r="7" spans="1:18" x14ac:dyDescent="0.25">
      <c r="A7" s="94">
        <v>44593</v>
      </c>
      <c r="B7" s="93">
        <v>2473.4602859516599</v>
      </c>
      <c r="C7" s="93">
        <v>-401.391742793069</v>
      </c>
      <c r="D7" s="93">
        <v>32.352805478062898</v>
      </c>
      <c r="E7" s="93">
        <v>312.15807088727001</v>
      </c>
      <c r="F7" s="93">
        <v>-73.834497353287105</v>
      </c>
      <c r="G7" s="93">
        <v>407.44942462436501</v>
      </c>
      <c r="H7" s="93">
        <v>4.1765390879411201E-8</v>
      </c>
      <c r="I7" s="93">
        <v>2.3647194714937301E-8</v>
      </c>
      <c r="J7" s="93">
        <v>3.4416746553248597E-8</v>
      </c>
      <c r="K7" s="93">
        <v>2.43217270033122E-8</v>
      </c>
      <c r="L7" s="93">
        <v>3.71765953640389E-9</v>
      </c>
      <c r="M7" s="93">
        <v>-2.04699146825187</v>
      </c>
      <c r="N7" s="93">
        <v>-34.694541334687898</v>
      </c>
      <c r="O7" s="93">
        <v>-591.38524836199895</v>
      </c>
      <c r="P7" s="93">
        <v>301.80291267975201</v>
      </c>
      <c r="Q7" s="93">
        <v>0</v>
      </c>
      <c r="R7" s="93">
        <v>0</v>
      </c>
    </row>
    <row r="8" spans="1:18" x14ac:dyDescent="0.25">
      <c r="A8" s="94">
        <v>44621</v>
      </c>
      <c r="B8" s="93">
        <v>2439.25592812996</v>
      </c>
      <c r="C8" s="93">
        <v>-78.363982402884204</v>
      </c>
      <c r="D8" s="93">
        <v>95.651762054168103</v>
      </c>
      <c r="E8" s="93">
        <v>302.29040208399499</v>
      </c>
      <c r="F8" s="93">
        <v>-68.995241173580098</v>
      </c>
      <c r="G8" s="93">
        <v>67.796035038763407</v>
      </c>
      <c r="H8" s="93">
        <v>4.05556435893264E-8</v>
      </c>
      <c r="I8" s="93">
        <v>2.2296514990478101E-8</v>
      </c>
      <c r="J8" s="93">
        <v>3.4657262711967298E-8</v>
      </c>
      <c r="K8" s="93">
        <v>2.6368880888134798E-8</v>
      </c>
      <c r="L8" s="93">
        <v>4.9411716872120999E-9</v>
      </c>
      <c r="M8" s="93">
        <v>-9.9414146908931994E-3</v>
      </c>
      <c r="N8" s="93">
        <v>-217.057873083918</v>
      </c>
      <c r="O8" s="93">
        <v>-486.65614418378999</v>
      </c>
      <c r="P8" s="93">
        <v>364.65693790670599</v>
      </c>
      <c r="Q8" s="93">
        <v>0</v>
      </c>
      <c r="R8" s="93">
        <v>0</v>
      </c>
    </row>
    <row r="9" spans="1:18" x14ac:dyDescent="0.25">
      <c r="A9" s="94">
        <v>44652</v>
      </c>
      <c r="B9" s="93">
        <v>2438.6477837436801</v>
      </c>
      <c r="C9" s="93">
        <v>-75.960646003047799</v>
      </c>
      <c r="D9" s="93">
        <v>117.774521522616</v>
      </c>
      <c r="E9" s="93">
        <v>192.711136220849</v>
      </c>
      <c r="F9" s="93">
        <v>-28.260112167529801</v>
      </c>
      <c r="G9" s="93">
        <v>10.1680742531242</v>
      </c>
      <c r="H9" s="93">
        <v>4.02457591717276E-8</v>
      </c>
      <c r="I9" s="93">
        <v>2.1978654621303799E-8</v>
      </c>
      <c r="J9" s="93">
        <v>3.4332067932189799E-8</v>
      </c>
      <c r="K9" s="93">
        <v>2.65494142177944E-8</v>
      </c>
      <c r="L9" s="93">
        <v>5.1215194343237199E-9</v>
      </c>
      <c r="M9" s="93">
        <v>-4.73609605535704E-5</v>
      </c>
      <c r="N9" s="93">
        <v>-164.29247691211401</v>
      </c>
      <c r="O9" s="93">
        <v>-309.483374240986</v>
      </c>
      <c r="P9" s="93">
        <v>343.75030913427298</v>
      </c>
      <c r="Q9" s="93">
        <v>0</v>
      </c>
      <c r="R9" s="93">
        <v>0</v>
      </c>
    </row>
    <row r="10" spans="1:18" x14ac:dyDescent="0.25">
      <c r="A10" s="94">
        <v>44682</v>
      </c>
      <c r="B10" s="93">
        <v>2434.8380680334699</v>
      </c>
      <c r="C10" s="93">
        <v>-36.492029941878897</v>
      </c>
      <c r="D10" s="93">
        <v>171.79208654812899</v>
      </c>
      <c r="E10" s="93">
        <v>376.43801772652199</v>
      </c>
      <c r="F10" s="93">
        <v>-54.308505318477501</v>
      </c>
      <c r="G10" s="93">
        <v>256.57738136784701</v>
      </c>
      <c r="H10" s="93">
        <v>3.9836385025967701E-8</v>
      </c>
      <c r="I10" s="93">
        <v>2.1548682655085399E-8</v>
      </c>
      <c r="J10" s="93">
        <v>3.405102227397E-8</v>
      </c>
      <c r="K10" s="93">
        <v>2.69169240604387E-8</v>
      </c>
      <c r="L10" s="93">
        <v>5.4112786716580798E-9</v>
      </c>
      <c r="M10" s="93">
        <v>-1.1326817721787201E-6</v>
      </c>
      <c r="N10" s="93">
        <v>-141.06155501113</v>
      </c>
      <c r="O10" s="93">
        <v>-149.10749746124901</v>
      </c>
      <c r="P10" s="93">
        <v>355.19429098446102</v>
      </c>
      <c r="Q10" s="93">
        <v>0</v>
      </c>
      <c r="R10" s="93">
        <v>0</v>
      </c>
    </row>
    <row r="11" spans="1:18" x14ac:dyDescent="0.25">
      <c r="A11" s="94">
        <v>44713</v>
      </c>
      <c r="B11" s="93">
        <v>2432.4739618746098</v>
      </c>
      <c r="C11" s="93">
        <v>-30.561234463511301</v>
      </c>
      <c r="D11" s="93">
        <v>167.88312558019101</v>
      </c>
      <c r="E11" s="93">
        <v>324.65844146169502</v>
      </c>
      <c r="F11" s="93">
        <v>-127.21848470273601</v>
      </c>
      <c r="G11" s="93">
        <v>38.6756341129554</v>
      </c>
      <c r="H11" s="93">
        <v>3.9499784912816901E-8</v>
      </c>
      <c r="I11" s="93">
        <v>2.1176056663799199E-8</v>
      </c>
      <c r="J11" s="93">
        <v>3.3759913829422399E-8</v>
      </c>
      <c r="K11" s="93">
        <v>2.7183723151647801E-8</v>
      </c>
      <c r="L11" s="93">
        <v>5.6534115094867002E-9</v>
      </c>
      <c r="M11" s="93">
        <v>-1.8397854603036799E-2</v>
      </c>
      <c r="N11" s="93">
        <v>-109.99467310062199</v>
      </c>
      <c r="O11" s="93">
        <v>-25.598204051204299</v>
      </c>
      <c r="P11" s="93">
        <v>361.55610070886399</v>
      </c>
      <c r="Q11" s="93">
        <v>595.78993032942003</v>
      </c>
      <c r="R11" s="93">
        <v>0</v>
      </c>
    </row>
    <row r="12" spans="1:18" x14ac:dyDescent="0.25">
      <c r="A12" s="94">
        <v>44743</v>
      </c>
      <c r="B12" s="93">
        <v>2437.3292606247301</v>
      </c>
      <c r="C12" s="93">
        <v>-87.756429363583607</v>
      </c>
      <c r="D12" s="93">
        <v>182.68613822942399</v>
      </c>
      <c r="E12" s="93">
        <v>313.231405167015</v>
      </c>
      <c r="F12" s="93">
        <v>-126.24099843791301</v>
      </c>
      <c r="G12" s="93">
        <v>5.7017983083515702</v>
      </c>
      <c r="H12" s="93">
        <v>3.9339584048072402E-8</v>
      </c>
      <c r="I12" s="93">
        <v>2.1027382542598202E-8</v>
      </c>
      <c r="J12" s="93">
        <v>3.3380169447167297E-8</v>
      </c>
      <c r="K12" s="93">
        <v>2.7065250059586701E-8</v>
      </c>
      <c r="L12" s="93">
        <v>5.6287081955942598E-9</v>
      </c>
      <c r="M12" s="93">
        <v>-100.37369613678899</v>
      </c>
      <c r="N12" s="93">
        <v>-163.509999202686</v>
      </c>
      <c r="O12" s="93">
        <v>0</v>
      </c>
      <c r="P12" s="93">
        <v>356.21444155062198</v>
      </c>
      <c r="Q12" s="93">
        <v>0</v>
      </c>
      <c r="R12" s="93">
        <v>0</v>
      </c>
    </row>
    <row r="13" spans="1:18" x14ac:dyDescent="0.25">
      <c r="A13" s="94">
        <v>44774</v>
      </c>
      <c r="B13" s="93">
        <v>2451.2042402975299</v>
      </c>
      <c r="C13" s="93">
        <v>-224.97386534844799</v>
      </c>
      <c r="D13" s="93">
        <v>203.854898110882</v>
      </c>
      <c r="E13" s="93">
        <v>231.93651101983599</v>
      </c>
      <c r="F13" s="93">
        <v>-94.987085296939995</v>
      </c>
      <c r="G13" s="93">
        <v>333.45235581386299</v>
      </c>
      <c r="H13" s="93">
        <v>3.9434354509421802E-8</v>
      </c>
      <c r="I13" s="93">
        <v>2.1271467683529399E-8</v>
      </c>
      <c r="J13" s="93">
        <v>3.2746273455731398E-8</v>
      </c>
      <c r="K13" s="93">
        <v>2.6559693935936098E-8</v>
      </c>
      <c r="L13" s="93">
        <v>5.2285825996215096E-9</v>
      </c>
      <c r="M13" s="93">
        <v>-96.922849601604995</v>
      </c>
      <c r="N13" s="93">
        <v>-146.27734797815901</v>
      </c>
      <c r="O13" s="93">
        <v>-73.159460374731296</v>
      </c>
      <c r="P13" s="93">
        <v>332.77596655315199</v>
      </c>
      <c r="Q13" s="93">
        <v>0</v>
      </c>
      <c r="R13" s="93">
        <v>0</v>
      </c>
    </row>
    <row r="14" spans="1:18" x14ac:dyDescent="0.25">
      <c r="A14" s="94">
        <v>44805</v>
      </c>
      <c r="B14" s="93">
        <v>2460.6864128728198</v>
      </c>
      <c r="C14" s="93">
        <v>-317.94019748739601</v>
      </c>
      <c r="D14" s="93">
        <v>299.56651194791402</v>
      </c>
      <c r="E14" s="93">
        <v>205.47780704591599</v>
      </c>
      <c r="F14" s="93">
        <v>-63.919810952933197</v>
      </c>
      <c r="G14" s="93">
        <v>662.02960404701196</v>
      </c>
      <c r="H14" s="93">
        <v>3.94436776975133E-8</v>
      </c>
      <c r="I14" s="93">
        <v>2.1297926193206402E-8</v>
      </c>
      <c r="J14" s="93">
        <v>3.2219928011873698E-8</v>
      </c>
      <c r="K14" s="93">
        <v>2.62017744417875E-8</v>
      </c>
      <c r="L14" s="93">
        <v>5.0379466521884202E-9</v>
      </c>
      <c r="M14" s="93">
        <v>-94.288367027261302</v>
      </c>
      <c r="N14" s="93">
        <v>-105.65639395117699</v>
      </c>
      <c r="O14" s="93">
        <v>-188.25154883198601</v>
      </c>
      <c r="P14" s="93">
        <v>317.58317132708999</v>
      </c>
      <c r="Q14" s="93">
        <v>0</v>
      </c>
      <c r="R14" s="93">
        <v>511.84526732878902</v>
      </c>
    </row>
    <row r="15" spans="1:18" x14ac:dyDescent="0.25">
      <c r="A15" s="94">
        <v>44835</v>
      </c>
      <c r="B15" s="93">
        <v>2472.3609766958798</v>
      </c>
      <c r="C15" s="93">
        <v>-466.43517805387</v>
      </c>
      <c r="D15" s="93">
        <v>211.14792202271599</v>
      </c>
      <c r="E15" s="93">
        <v>342.23036202494899</v>
      </c>
      <c r="F15" s="93">
        <v>0</v>
      </c>
      <c r="G15" s="93">
        <v>597.276485517845</v>
      </c>
      <c r="H15" s="93">
        <v>3.9477777591955999E-8</v>
      </c>
      <c r="I15" s="93">
        <v>2.1528569691942699E-8</v>
      </c>
      <c r="J15" s="93">
        <v>3.1510766450494799E-8</v>
      </c>
      <c r="K15" s="93">
        <v>2.5842889594420901E-8</v>
      </c>
      <c r="L15" s="93">
        <v>4.7269014422470602E-9</v>
      </c>
      <c r="M15" s="93">
        <v>-92.104001965594804</v>
      </c>
      <c r="N15" s="93">
        <v>-64.038139478891694</v>
      </c>
      <c r="O15" s="93">
        <v>-319.480251448388</v>
      </c>
      <c r="P15" s="93">
        <v>159.71604929841899</v>
      </c>
      <c r="Q15" s="93">
        <v>0</v>
      </c>
      <c r="R15" s="93">
        <v>0</v>
      </c>
    </row>
    <row r="16" spans="1:18" x14ac:dyDescent="0.25">
      <c r="A16" s="94">
        <v>44866</v>
      </c>
      <c r="B16" s="93">
        <v>2471.2078990211999</v>
      </c>
      <c r="C16" s="93">
        <v>-499.551505965773</v>
      </c>
      <c r="D16" s="93">
        <v>236.94617779081301</v>
      </c>
      <c r="E16" s="93">
        <v>311.50690136100701</v>
      </c>
      <c r="F16" s="93">
        <v>-22.012528943617099</v>
      </c>
      <c r="G16" s="93">
        <v>349.14119855130701</v>
      </c>
      <c r="H16" s="93">
        <v>3.93450088795054E-8</v>
      </c>
      <c r="I16" s="93">
        <v>2.0953867689635701E-8</v>
      </c>
      <c r="J16" s="93">
        <v>3.1251207064748101E-8</v>
      </c>
      <c r="K16" s="93">
        <v>2.5686463361454E-8</v>
      </c>
      <c r="L16" s="93">
        <v>5.1473633720427103E-9</v>
      </c>
      <c r="M16" s="93">
        <v>-93.806405888224702</v>
      </c>
      <c r="N16" s="93">
        <v>-120.993342568646</v>
      </c>
      <c r="O16" s="93">
        <v>-461.401930142217</v>
      </c>
      <c r="P16" s="93">
        <v>158.60032669621299</v>
      </c>
      <c r="Q16" s="93">
        <v>0</v>
      </c>
      <c r="R16" s="93">
        <v>0</v>
      </c>
    </row>
    <row r="17" spans="1:18" x14ac:dyDescent="0.25">
      <c r="A17" s="94">
        <v>44896</v>
      </c>
      <c r="B17" s="93">
        <v>2458.2113251400001</v>
      </c>
      <c r="C17" s="93">
        <v>-353.24144449561402</v>
      </c>
      <c r="D17" s="93">
        <v>289.02988379941701</v>
      </c>
      <c r="E17" s="93">
        <v>227.984828786592</v>
      </c>
      <c r="F17" s="93">
        <v>-61.709806370060498</v>
      </c>
      <c r="G17" s="93">
        <v>55.053713496998803</v>
      </c>
      <c r="H17" s="93">
        <v>3.9018266009146901E-8</v>
      </c>
      <c r="I17" s="93">
        <v>1.9661458477461299E-8</v>
      </c>
      <c r="J17" s="93">
        <v>3.1429200372974601E-8</v>
      </c>
      <c r="K17" s="93">
        <v>2.5714094173927302E-8</v>
      </c>
      <c r="L17" s="93">
        <v>6.1680180514741204E-9</v>
      </c>
      <c r="M17" s="93">
        <v>-99.738952120837098</v>
      </c>
      <c r="N17" s="93">
        <v>-34.913355036038297</v>
      </c>
      <c r="O17" s="93">
        <v>-561.41478064556804</v>
      </c>
      <c r="P17" s="93">
        <v>170.05786561683399</v>
      </c>
      <c r="Q17" s="93">
        <v>0</v>
      </c>
      <c r="R17" s="93">
        <v>0</v>
      </c>
    </row>
    <row r="18" spans="1:18" x14ac:dyDescent="0.25">
      <c r="A18" s="94">
        <v>44927</v>
      </c>
      <c r="B18" s="93">
        <v>2471.9961400464899</v>
      </c>
      <c r="C18" s="93">
        <v>-447.04364718777902</v>
      </c>
      <c r="D18" s="93">
        <v>252.65434101437299</v>
      </c>
      <c r="E18" s="93">
        <v>131.59948035981199</v>
      </c>
      <c r="F18" s="93">
        <v>-87.944065963865299</v>
      </c>
      <c r="G18" s="93">
        <v>411.01457947990599</v>
      </c>
      <c r="H18" s="93">
        <v>3.9326645488606497E-8</v>
      </c>
      <c r="I18" s="93">
        <v>1.9688279762770699E-8</v>
      </c>
      <c r="J18" s="93">
        <v>3.0587930258092699E-8</v>
      </c>
      <c r="K18" s="93">
        <v>2.48285795562441E-8</v>
      </c>
      <c r="L18" s="93">
        <v>6.1889775180182696E-9</v>
      </c>
      <c r="M18" s="93">
        <v>-87.688070781506198</v>
      </c>
      <c r="N18" s="93">
        <v>-100.212885569986</v>
      </c>
      <c r="O18" s="93">
        <v>-637.93792107972104</v>
      </c>
      <c r="P18" s="93">
        <v>0</v>
      </c>
      <c r="Q18" s="93">
        <v>0</v>
      </c>
      <c r="R18" s="93">
        <v>0</v>
      </c>
    </row>
    <row r="19" spans="1:18" x14ac:dyDescent="0.25">
      <c r="A19" s="94">
        <v>44958</v>
      </c>
      <c r="B19" s="93">
        <v>2477.0791160833601</v>
      </c>
      <c r="C19" s="93">
        <v>-540.98838023562098</v>
      </c>
      <c r="D19" s="93">
        <v>182.509454300149</v>
      </c>
      <c r="E19" s="93">
        <v>181.884943044333</v>
      </c>
      <c r="F19" s="93">
        <v>-45.090108154914098</v>
      </c>
      <c r="G19" s="93">
        <v>61.176079455693198</v>
      </c>
      <c r="H19" s="93">
        <v>3.9407231691735598E-8</v>
      </c>
      <c r="I19" s="93">
        <v>1.9298008225624399E-8</v>
      </c>
      <c r="J19" s="93">
        <v>3.0039915083626E-8</v>
      </c>
      <c r="K19" s="93">
        <v>2.4240870981588499E-8</v>
      </c>
      <c r="L19" s="93">
        <v>6.5441676004013201E-9</v>
      </c>
      <c r="M19" s="93">
        <v>-21.6368522167657</v>
      </c>
      <c r="N19" s="93">
        <v>-33.168675152964603</v>
      </c>
      <c r="O19" s="93">
        <v>-611.34344661218495</v>
      </c>
      <c r="P19" s="93">
        <v>0</v>
      </c>
      <c r="Q19" s="93">
        <v>0</v>
      </c>
      <c r="R19" s="93">
        <v>0</v>
      </c>
    </row>
    <row r="20" spans="1:18" x14ac:dyDescent="0.25">
      <c r="A20" s="94">
        <v>44986</v>
      </c>
      <c r="B20" s="93">
        <v>2467.5094900091899</v>
      </c>
      <c r="C20" s="93">
        <v>-360.60004968716402</v>
      </c>
      <c r="D20" s="93">
        <v>269.28417126602699</v>
      </c>
      <c r="E20" s="93">
        <v>170.598481657771</v>
      </c>
      <c r="F20" s="93">
        <v>-56.976202950966801</v>
      </c>
      <c r="G20" s="93">
        <v>367.58439448425702</v>
      </c>
      <c r="H20" s="93">
        <v>3.9227482540527199E-8</v>
      </c>
      <c r="I20" s="93">
        <v>1.8066884288510101E-8</v>
      </c>
      <c r="J20" s="93">
        <v>3.0133462321461601E-8</v>
      </c>
      <c r="K20" s="93">
        <v>2.3776206444981599E-8</v>
      </c>
      <c r="L20" s="93">
        <v>7.6186900264243003E-9</v>
      </c>
      <c r="M20" s="93">
        <v>-0.28940425867929098</v>
      </c>
      <c r="N20" s="93">
        <v>-90.116159391881098</v>
      </c>
      <c r="O20" s="93">
        <v>-525.65810213970497</v>
      </c>
      <c r="P20" s="93">
        <v>0</v>
      </c>
      <c r="Q20" s="93">
        <v>0</v>
      </c>
      <c r="R20" s="93">
        <v>0</v>
      </c>
    </row>
    <row r="21" spans="1:18" x14ac:dyDescent="0.25">
      <c r="A21" s="94">
        <v>45017</v>
      </c>
      <c r="B21" s="93">
        <v>2470.79341779691</v>
      </c>
      <c r="C21" s="93">
        <v>-447.029324436384</v>
      </c>
      <c r="D21" s="93">
        <v>301.85373247903601</v>
      </c>
      <c r="E21" s="93">
        <v>130.95720263969099</v>
      </c>
      <c r="F21" s="93">
        <v>-61.7903845442654</v>
      </c>
      <c r="G21" s="93">
        <v>54.929539634890801</v>
      </c>
      <c r="H21" s="93">
        <v>3.9185682092361997E-8</v>
      </c>
      <c r="I21" s="93">
        <v>1.7682826303260001E-8</v>
      </c>
      <c r="J21" s="93">
        <v>2.9640654373618801E-8</v>
      </c>
      <c r="K21" s="93">
        <v>2.3335715052290599E-8</v>
      </c>
      <c r="L21" s="93">
        <v>7.9751765078284806E-9</v>
      </c>
      <c r="M21" s="93">
        <v>-1.02823768435465E-3</v>
      </c>
      <c r="N21" s="93">
        <v>-32.766887501535997</v>
      </c>
      <c r="O21" s="93">
        <v>-343.45385795690601</v>
      </c>
      <c r="P21" s="93">
        <v>0</v>
      </c>
      <c r="Q21" s="93">
        <v>0</v>
      </c>
      <c r="R21" s="93">
        <v>0</v>
      </c>
    </row>
    <row r="22" spans="1:18" x14ac:dyDescent="0.25">
      <c r="A22" s="94">
        <v>45047</v>
      </c>
      <c r="B22" s="93">
        <v>2477.2815097868001</v>
      </c>
      <c r="C22" s="93">
        <v>-452.530988768979</v>
      </c>
      <c r="D22" s="93">
        <v>305.553731984026</v>
      </c>
      <c r="E22" s="93">
        <v>68.717993587248202</v>
      </c>
      <c r="F22" s="93">
        <v>-50.622440806343299</v>
      </c>
      <c r="G22" s="93">
        <v>319.944571013043</v>
      </c>
      <c r="H22" s="93">
        <v>3.9197159151640998E-8</v>
      </c>
      <c r="I22" s="93">
        <v>1.7443190530789799E-8</v>
      </c>
      <c r="J22" s="93">
        <v>2.9011059651732799E-8</v>
      </c>
      <c r="K22" s="93">
        <v>2.2857842507030201E-8</v>
      </c>
      <c r="L22" s="93">
        <v>8.1988581631469305E-9</v>
      </c>
      <c r="M22" s="93">
        <v>-4.7167483977273196E-3</v>
      </c>
      <c r="N22" s="93">
        <v>-40.386887029930897</v>
      </c>
      <c r="O22" s="93">
        <v>-179.563402348209</v>
      </c>
      <c r="P22" s="93">
        <v>0</v>
      </c>
      <c r="Q22" s="93">
        <v>0</v>
      </c>
      <c r="R22" s="93">
        <v>0</v>
      </c>
    </row>
    <row r="23" spans="1:18" x14ac:dyDescent="0.25">
      <c r="A23" s="94">
        <v>45078</v>
      </c>
      <c r="B23" s="93">
        <v>2498.53462608989</v>
      </c>
      <c r="C23" s="93">
        <v>-679.46175418232201</v>
      </c>
      <c r="D23" s="93">
        <v>284.52754807890398</v>
      </c>
      <c r="E23" s="93">
        <v>93.771502286812407</v>
      </c>
      <c r="F23" s="93">
        <v>-99.087500142096602</v>
      </c>
      <c r="G23" s="93">
        <v>410.609164554583</v>
      </c>
      <c r="H23" s="93">
        <v>388.39791937088199</v>
      </c>
      <c r="I23" s="93">
        <v>30.6544768856003</v>
      </c>
      <c r="J23" s="93">
        <v>261.27739505869698</v>
      </c>
      <c r="K23" s="93">
        <v>224.130800982072</v>
      </c>
      <c r="L23" s="93">
        <v>73.835672318537803</v>
      </c>
      <c r="M23" s="93">
        <v>-91.053202243804606</v>
      </c>
      <c r="N23" s="93">
        <v>55.313237421001297</v>
      </c>
      <c r="O23" s="93">
        <v>-53.9986515295328</v>
      </c>
      <c r="P23" s="93">
        <v>0</v>
      </c>
      <c r="Q23" s="93">
        <v>585.17521054501799</v>
      </c>
      <c r="R23" s="93">
        <v>0</v>
      </c>
    </row>
    <row r="24" spans="1:18" x14ac:dyDescent="0.25">
      <c r="A24" s="94">
        <v>45108</v>
      </c>
      <c r="B24" s="93">
        <v>2512.4215074825502</v>
      </c>
      <c r="C24" s="93">
        <v>-813.04055006017597</v>
      </c>
      <c r="D24" s="93">
        <v>295.73713970177801</v>
      </c>
      <c r="E24" s="93">
        <v>99.307273021311602</v>
      </c>
      <c r="F24" s="93">
        <v>-122.373964760161</v>
      </c>
      <c r="G24" s="93">
        <v>463.00458132479702</v>
      </c>
      <c r="H24" s="93">
        <v>396.74059646403299</v>
      </c>
      <c r="I24" s="93">
        <v>174.83294440917601</v>
      </c>
      <c r="J24" s="93">
        <v>271.09594003145298</v>
      </c>
      <c r="K24" s="93">
        <v>218.48178681111901</v>
      </c>
      <c r="L24" s="93">
        <v>74.603108228397105</v>
      </c>
      <c r="M24" s="93">
        <v>-89.735572318366593</v>
      </c>
      <c r="N24" s="93">
        <v>-15.500809382488599</v>
      </c>
      <c r="O24" s="93">
        <v>-27.503681066232499</v>
      </c>
      <c r="P24" s="93">
        <v>0</v>
      </c>
      <c r="Q24" s="93">
        <v>0</v>
      </c>
      <c r="R24" s="93">
        <v>0</v>
      </c>
    </row>
    <row r="25" spans="1:18" x14ac:dyDescent="0.25">
      <c r="A25" s="94">
        <v>45139</v>
      </c>
      <c r="B25" s="93">
        <v>2510.2356959373401</v>
      </c>
      <c r="C25" s="93">
        <v>-827.93500130736004</v>
      </c>
      <c r="D25" s="93">
        <v>293.57267970148098</v>
      </c>
      <c r="E25" s="93">
        <v>0</v>
      </c>
      <c r="F25" s="93">
        <v>-239.634713689721</v>
      </c>
      <c r="G25" s="93">
        <v>319.59722845016</v>
      </c>
      <c r="H25" s="93">
        <v>394.76450336512403</v>
      </c>
      <c r="I25" s="93">
        <v>152.22997286211699</v>
      </c>
      <c r="J25" s="93">
        <v>269.101116075297</v>
      </c>
      <c r="K25" s="93">
        <v>215.84954306063801</v>
      </c>
      <c r="L25" s="93">
        <v>81.693020599560001</v>
      </c>
      <c r="M25" s="93">
        <v>-90.556002675633806</v>
      </c>
      <c r="N25" s="93">
        <v>-15.259075471110201</v>
      </c>
      <c r="O25" s="93">
        <v>-101.19136101818199</v>
      </c>
      <c r="P25" s="93">
        <v>0</v>
      </c>
      <c r="Q25" s="93">
        <v>0</v>
      </c>
      <c r="R25" s="93">
        <v>0</v>
      </c>
    </row>
    <row r="26" spans="1:18" x14ac:dyDescent="0.25">
      <c r="A26" s="94">
        <v>45170</v>
      </c>
      <c r="B26" s="93">
        <v>2497.7847955812099</v>
      </c>
      <c r="C26" s="93">
        <v>-657.94595532474</v>
      </c>
      <c r="D26" s="93">
        <v>331.19340119348902</v>
      </c>
      <c r="E26" s="93">
        <v>71.937966147810599</v>
      </c>
      <c r="F26" s="93">
        <v>-165.74096552559001</v>
      </c>
      <c r="G26" s="93">
        <v>264.166567809377</v>
      </c>
      <c r="H26" s="93">
        <v>388.26951255332</v>
      </c>
      <c r="I26" s="93">
        <v>25.145589633063999</v>
      </c>
      <c r="J26" s="93">
        <v>221.077224234927</v>
      </c>
      <c r="K26" s="93">
        <v>213.148189629218</v>
      </c>
      <c r="L26" s="93">
        <v>93.950801717283497</v>
      </c>
      <c r="M26" s="93">
        <v>-93.834403964887798</v>
      </c>
      <c r="N26" s="93">
        <v>-81.357618799406495</v>
      </c>
      <c r="O26" s="93">
        <v>-216.32014838507999</v>
      </c>
      <c r="P26" s="93">
        <v>0</v>
      </c>
      <c r="Q26" s="93">
        <v>0</v>
      </c>
      <c r="R26" s="93">
        <v>519.93444782320296</v>
      </c>
    </row>
    <row r="27" spans="1:18" x14ac:dyDescent="0.25">
      <c r="A27" s="94">
        <v>45200</v>
      </c>
      <c r="B27" s="93">
        <v>2483.68660311861</v>
      </c>
      <c r="C27" s="93">
        <v>-483.23577672146598</v>
      </c>
      <c r="D27" s="93">
        <v>288.00571674528697</v>
      </c>
      <c r="E27" s="93">
        <v>229.78127096198801</v>
      </c>
      <c r="F27" s="93">
        <v>-248.43222241137599</v>
      </c>
      <c r="G27" s="93">
        <v>42.0106835990386</v>
      </c>
      <c r="H27" s="93">
        <v>348.10023965119098</v>
      </c>
      <c r="I27" s="93">
        <v>0.21286900655129801</v>
      </c>
      <c r="J27" s="93">
        <v>31.454487606494201</v>
      </c>
      <c r="K27" s="93">
        <v>191.53098148541599</v>
      </c>
      <c r="L27" s="93">
        <v>107.096806097978</v>
      </c>
      <c r="M27" s="93">
        <v>-98.676792829646303</v>
      </c>
      <c r="N27" s="93">
        <v>-37.033358385957797</v>
      </c>
      <c r="O27" s="93">
        <v>-344.38548568847301</v>
      </c>
      <c r="P27" s="93">
        <v>0</v>
      </c>
      <c r="Q27" s="93">
        <v>0</v>
      </c>
      <c r="R27" s="93">
        <v>0</v>
      </c>
    </row>
    <row r="28" spans="1:18" x14ac:dyDescent="0.25">
      <c r="A28" s="94">
        <v>45231</v>
      </c>
      <c r="B28" s="93">
        <v>2469.48822164179</v>
      </c>
      <c r="C28" s="93">
        <v>-317.09604294337697</v>
      </c>
      <c r="D28" s="93">
        <v>303.691982201884</v>
      </c>
      <c r="E28" s="93">
        <v>201.45044440773901</v>
      </c>
      <c r="F28" s="93">
        <v>-233.327274974082</v>
      </c>
      <c r="G28" s="93">
        <v>6.6611923463177103</v>
      </c>
      <c r="H28" s="93">
        <v>192.64356170201</v>
      </c>
      <c r="I28" s="93">
        <v>6.6468973558466901E-4</v>
      </c>
      <c r="J28" s="93">
        <v>0.23669972583827001</v>
      </c>
      <c r="K28" s="93">
        <v>121.229388094203</v>
      </c>
      <c r="L28" s="93">
        <v>118.429788079072</v>
      </c>
      <c r="M28" s="93">
        <v>-102.51484398638399</v>
      </c>
      <c r="N28" s="93">
        <v>-93.037843024464294</v>
      </c>
      <c r="O28" s="93">
        <v>-485.335539307011</v>
      </c>
      <c r="P28" s="93">
        <v>0</v>
      </c>
      <c r="Q28" s="93">
        <v>0</v>
      </c>
      <c r="R28" s="93">
        <v>0</v>
      </c>
    </row>
    <row r="29" spans="1:18" x14ac:dyDescent="0.25">
      <c r="A29" s="94">
        <v>45261</v>
      </c>
      <c r="B29" s="93">
        <v>2457.5901297362502</v>
      </c>
      <c r="C29" s="93">
        <v>-143.34457745758399</v>
      </c>
      <c r="D29" s="93">
        <v>358.70943668212698</v>
      </c>
      <c r="E29" s="93">
        <v>206.317504320235</v>
      </c>
      <c r="F29" s="93">
        <v>-232.892109872551</v>
      </c>
      <c r="G29" s="93">
        <v>306.153482876373</v>
      </c>
      <c r="H29" s="93">
        <v>36.542491429094603</v>
      </c>
      <c r="I29" s="93">
        <v>7.0487086294815101E-6</v>
      </c>
      <c r="J29" s="93">
        <v>8.0167268586186797E-4</v>
      </c>
      <c r="K29" s="93">
        <v>37.819119666646102</v>
      </c>
      <c r="L29" s="93">
        <v>111.21873632912001</v>
      </c>
      <c r="M29" s="93">
        <v>-93.874296285411106</v>
      </c>
      <c r="N29" s="93">
        <v>65.0437038090474</v>
      </c>
      <c r="O29" s="93">
        <v>-587.54571233414697</v>
      </c>
      <c r="P29" s="93">
        <v>0</v>
      </c>
      <c r="Q29" s="93">
        <v>0</v>
      </c>
      <c r="R29" s="93">
        <v>0</v>
      </c>
    </row>
    <row r="30" spans="1:18" x14ac:dyDescent="0.25">
      <c r="A30" s="94">
        <v>45292</v>
      </c>
      <c r="B30" s="93">
        <v>2466.5158422189402</v>
      </c>
      <c r="C30" s="93">
        <v>-262.80847112744402</v>
      </c>
      <c r="D30" s="93">
        <v>366.80436144379701</v>
      </c>
      <c r="E30" s="93">
        <v>173.30839346633499</v>
      </c>
      <c r="F30" s="93">
        <v>-182.00251681227201</v>
      </c>
      <c r="G30" s="93">
        <v>44.718572563408102</v>
      </c>
      <c r="H30" s="93">
        <v>2.0851824161127199</v>
      </c>
      <c r="I30" s="93">
        <v>4.2544307313385302E-7</v>
      </c>
      <c r="J30" s="93">
        <v>9.8430010823080904E-6</v>
      </c>
      <c r="K30" s="93">
        <v>4.8345856668257099</v>
      </c>
      <c r="L30" s="93">
        <v>64.572100665719901</v>
      </c>
      <c r="M30" s="93">
        <v>-86.148306537805396</v>
      </c>
      <c r="N30" s="93">
        <v>-83.308111275834804</v>
      </c>
      <c r="O30" s="93">
        <v>-660.80318951635002</v>
      </c>
      <c r="P30" s="93">
        <v>0</v>
      </c>
      <c r="Q30" s="93">
        <v>0</v>
      </c>
      <c r="R30" s="93">
        <v>0</v>
      </c>
    </row>
    <row r="31" spans="1:18" x14ac:dyDescent="0.25">
      <c r="A31" s="94">
        <v>45323</v>
      </c>
      <c r="B31" s="93">
        <v>2465.5533682650498</v>
      </c>
      <c r="C31" s="93">
        <v>-265.43209460512099</v>
      </c>
      <c r="D31" s="93">
        <v>300.38690820072298</v>
      </c>
      <c r="E31" s="93">
        <v>178.09440065982699</v>
      </c>
      <c r="F31" s="93">
        <v>-176.09808035031301</v>
      </c>
      <c r="G31" s="93">
        <v>6.7279409156897403</v>
      </c>
      <c r="H31" s="93">
        <v>5.9535282174131697E-2</v>
      </c>
      <c r="I31" s="93">
        <v>8.6703063046607296E-8</v>
      </c>
      <c r="J31" s="93">
        <v>6.38990609819129E-7</v>
      </c>
      <c r="K31" s="93">
        <v>0.31827314896863601</v>
      </c>
      <c r="L31" s="93">
        <v>18.434886275297899</v>
      </c>
      <c r="M31" s="93">
        <v>-80.3610855136873</v>
      </c>
      <c r="N31" s="93">
        <v>-73.196175260649099</v>
      </c>
      <c r="O31" s="93">
        <v>-626.84791164371597</v>
      </c>
      <c r="P31" s="93">
        <v>0</v>
      </c>
      <c r="Q31" s="93">
        <v>0</v>
      </c>
      <c r="R31" s="93">
        <v>0</v>
      </c>
    </row>
    <row r="32" spans="1:18" x14ac:dyDescent="0.25">
      <c r="A32" s="94">
        <v>45352</v>
      </c>
      <c r="B32" s="93">
        <v>2452.5354376427199</v>
      </c>
      <c r="C32" s="93">
        <v>-88.889636187854094</v>
      </c>
      <c r="D32" s="93">
        <v>335.72503050319</v>
      </c>
      <c r="E32" s="93">
        <v>330.40259876023401</v>
      </c>
      <c r="F32" s="93">
        <v>-203.49607249680199</v>
      </c>
      <c r="G32" s="93">
        <v>349.29426512808402</v>
      </c>
      <c r="H32" s="93">
        <v>1.7366023251907301E-3</v>
      </c>
      <c r="I32" s="93">
        <v>3.6148983428288498E-8</v>
      </c>
      <c r="J32" s="93">
        <v>1.3983778089518E-7</v>
      </c>
      <c r="K32" s="93">
        <v>1.6276671463457699E-2</v>
      </c>
      <c r="L32" s="93">
        <v>2.2716044445947601</v>
      </c>
      <c r="M32" s="93">
        <v>-90.405011456826998</v>
      </c>
      <c r="N32" s="93">
        <v>-46.660466823147303</v>
      </c>
      <c r="O32" s="93">
        <v>-533.64757102585702</v>
      </c>
      <c r="P32" s="93">
        <v>0</v>
      </c>
      <c r="Q32" s="93">
        <v>0</v>
      </c>
      <c r="R32" s="93">
        <v>0</v>
      </c>
    </row>
    <row r="33" spans="1:18" x14ac:dyDescent="0.25">
      <c r="A33" s="94">
        <v>45383</v>
      </c>
      <c r="B33" s="93">
        <v>2457.0878180916602</v>
      </c>
      <c r="C33" s="93">
        <v>-175.31488988627399</v>
      </c>
      <c r="D33" s="93">
        <v>403.41197520011099</v>
      </c>
      <c r="E33" s="93">
        <v>337.21027567275399</v>
      </c>
      <c r="F33" s="93">
        <v>-217.045436649208</v>
      </c>
      <c r="G33" s="93">
        <v>51.634840987148003</v>
      </c>
      <c r="H33" s="93">
        <v>212.74300391450899</v>
      </c>
      <c r="I33" s="93">
        <v>2.38804353829178E-8</v>
      </c>
      <c r="J33" s="93">
        <v>6.2159987236946404E-8</v>
      </c>
      <c r="K33" s="93">
        <v>9.01187994543759E-4</v>
      </c>
      <c r="L33" s="93">
        <v>0.141573700723961</v>
      </c>
      <c r="M33" s="93">
        <v>-92.347599301026605</v>
      </c>
      <c r="N33" s="93">
        <v>-65.287895086453901</v>
      </c>
      <c r="O33" s="93">
        <v>-347.53987174880501</v>
      </c>
      <c r="P33" s="93">
        <v>0</v>
      </c>
      <c r="Q33" s="93">
        <v>0</v>
      </c>
      <c r="R33" s="93">
        <v>0</v>
      </c>
    </row>
    <row r="34" spans="1:18" x14ac:dyDescent="0.25">
      <c r="A34" s="94">
        <v>45413</v>
      </c>
      <c r="B34" s="93">
        <v>2455.11850472179</v>
      </c>
      <c r="C34" s="93">
        <v>-147.25453137249201</v>
      </c>
      <c r="D34" s="93">
        <v>423.44366459656698</v>
      </c>
      <c r="E34" s="93">
        <v>313.68342176070303</v>
      </c>
      <c r="F34" s="93">
        <v>-217.808484309112</v>
      </c>
      <c r="G34" s="93">
        <v>7.7925402001459503</v>
      </c>
      <c r="H34" s="93">
        <v>375.13119066206002</v>
      </c>
      <c r="I34" s="93">
        <v>73.117875237566594</v>
      </c>
      <c r="J34" s="93">
        <v>4.1061125009236202E-8</v>
      </c>
      <c r="K34" s="93">
        <v>7.2052681274695397E-5</v>
      </c>
      <c r="L34" s="93">
        <v>77.838028976607603</v>
      </c>
      <c r="M34" s="93">
        <v>-106.26174433060601</v>
      </c>
      <c r="N34" s="93">
        <v>-32.568115905575198</v>
      </c>
      <c r="O34" s="93">
        <v>-178.09604010885701</v>
      </c>
      <c r="P34" s="93">
        <v>0</v>
      </c>
      <c r="Q34" s="93">
        <v>0</v>
      </c>
      <c r="R34" s="93">
        <v>0</v>
      </c>
    </row>
    <row r="35" spans="1:18" x14ac:dyDescent="0.25">
      <c r="A35" s="94">
        <v>45444</v>
      </c>
      <c r="B35" s="93">
        <v>2454.26857519334</v>
      </c>
      <c r="C35" s="93">
        <v>-130.51414396189199</v>
      </c>
      <c r="D35" s="93">
        <v>386.586137692134</v>
      </c>
      <c r="E35" s="93">
        <v>533.49589036273096</v>
      </c>
      <c r="F35" s="93">
        <v>-243.65024226372401</v>
      </c>
      <c r="G35" s="93">
        <v>1.1687170522916599</v>
      </c>
      <c r="H35" s="93">
        <v>375.12122710099499</v>
      </c>
      <c r="I35" s="93">
        <v>77.457519627112504</v>
      </c>
      <c r="J35" s="93">
        <v>3.3269419757360001E-8</v>
      </c>
      <c r="K35" s="93">
        <v>9.09734398667923E-6</v>
      </c>
      <c r="L35" s="93">
        <v>122.29203945467199</v>
      </c>
      <c r="M35" s="93">
        <v>-108.227233225175</v>
      </c>
      <c r="N35" s="93">
        <v>11.048369661647801</v>
      </c>
      <c r="O35" s="93">
        <v>-47.776533112861799</v>
      </c>
      <c r="P35" s="93">
        <v>0</v>
      </c>
      <c r="Q35" s="93">
        <v>589.17107289474802</v>
      </c>
      <c r="R35" s="93">
        <v>0</v>
      </c>
    </row>
    <row r="36" spans="1:18" x14ac:dyDescent="0.25">
      <c r="A36" s="94">
        <v>45474</v>
      </c>
      <c r="B36" s="93">
        <v>2455.2399639138298</v>
      </c>
      <c r="C36" s="93">
        <v>-140.13615638069001</v>
      </c>
      <c r="D36" s="93">
        <v>416.27710568162001</v>
      </c>
      <c r="E36" s="93">
        <v>765.13329704554906</v>
      </c>
      <c r="F36" s="93">
        <v>-256.99128425429001</v>
      </c>
      <c r="G36" s="93">
        <v>0.171249167988687</v>
      </c>
      <c r="H36" s="93">
        <v>375.54080359073203</v>
      </c>
      <c r="I36" s="93">
        <v>48.559182793547699</v>
      </c>
      <c r="J36" s="93">
        <v>2.9937239654026199E-8</v>
      </c>
      <c r="K36" s="93">
        <v>1.8031147807861601E-6</v>
      </c>
      <c r="L36" s="93">
        <v>126.615893164665</v>
      </c>
      <c r="M36" s="93">
        <v>-108.048909678697</v>
      </c>
      <c r="N36" s="93">
        <v>-91.078062948153502</v>
      </c>
      <c r="O36" s="93">
        <v>-18.958914895375699</v>
      </c>
      <c r="P36" s="93">
        <v>0</v>
      </c>
      <c r="Q36" s="93">
        <v>0</v>
      </c>
      <c r="R36" s="93">
        <v>0</v>
      </c>
    </row>
    <row r="37" spans="1:18" x14ac:dyDescent="0.25">
      <c r="A37" s="94">
        <v>45505</v>
      </c>
      <c r="B37" s="93">
        <v>2449.2532812344598</v>
      </c>
      <c r="C37" s="93">
        <v>-57.595195320710403</v>
      </c>
      <c r="D37" s="93">
        <v>393.39531333997502</v>
      </c>
      <c r="E37" s="93">
        <v>690.28390048590995</v>
      </c>
      <c r="F37" s="93">
        <v>-155.06137917958</v>
      </c>
      <c r="G37" s="93">
        <v>2.2772859271656301E-2</v>
      </c>
      <c r="H37" s="93">
        <v>375.47227683081798</v>
      </c>
      <c r="I37" s="93">
        <v>0.88250619127672603</v>
      </c>
      <c r="J37" s="93">
        <v>2.8395308367751E-8</v>
      </c>
      <c r="K37" s="93">
        <v>5.3154179915373195E-7</v>
      </c>
      <c r="L37" s="93">
        <v>129.339304908945</v>
      </c>
      <c r="M37" s="93">
        <v>-109.856322588056</v>
      </c>
      <c r="N37" s="93">
        <v>-31.445418378758099</v>
      </c>
      <c r="O37" s="93">
        <v>-89.630655107386403</v>
      </c>
      <c r="P37" s="93">
        <v>0</v>
      </c>
      <c r="Q37" s="93">
        <v>0</v>
      </c>
      <c r="R37" s="93">
        <v>0</v>
      </c>
    </row>
    <row r="38" spans="1:18" x14ac:dyDescent="0.25">
      <c r="A38" s="94">
        <v>45536</v>
      </c>
      <c r="B38" s="93">
        <v>2444.9632479841798</v>
      </c>
      <c r="C38" s="93">
        <v>0</v>
      </c>
      <c r="D38" s="93">
        <v>436.14917391957198</v>
      </c>
      <c r="E38" s="93">
        <v>640.40914462724504</v>
      </c>
      <c r="F38" s="93">
        <v>-95.872774659964307</v>
      </c>
      <c r="G38" s="93">
        <v>0</v>
      </c>
      <c r="H38" s="93">
        <v>375.349620736394</v>
      </c>
      <c r="I38" s="93">
        <v>2.8087807422585002E-3</v>
      </c>
      <c r="J38" s="93">
        <v>2.76416882247753E-8</v>
      </c>
      <c r="K38" s="93">
        <v>2.1569365164505699E-7</v>
      </c>
      <c r="L38" s="93">
        <v>115.599841631545</v>
      </c>
      <c r="M38" s="93">
        <v>-111.096400755093</v>
      </c>
      <c r="N38" s="93">
        <v>-10.765847170696</v>
      </c>
      <c r="O38" s="93">
        <v>-203.37505178749001</v>
      </c>
      <c r="P38" s="93">
        <v>0</v>
      </c>
      <c r="Q38" s="93">
        <v>0</v>
      </c>
      <c r="R38" s="93">
        <v>516.18183089612103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B2EB65F0D434998DAF77486C1C599" ma:contentTypeVersion="17" ma:contentTypeDescription="Create a new document." ma:contentTypeScope="" ma:versionID="66a38013d12be4583532761ffd6e26dd">
  <xsd:schema xmlns:xsd="http://www.w3.org/2001/XMLSchema" xmlns:xs="http://www.w3.org/2001/XMLSchema" xmlns:p="http://schemas.microsoft.com/office/2006/metadata/properties" xmlns:ns1="http://schemas.microsoft.com/sharepoint/v3" xmlns:ns2="6041b3ba-1188-45b5-a271-dfb9a9a8da58" xmlns:ns3="35f0cdc8-4de3-4117-a0d7-8fd86872aa5a" targetNamespace="http://schemas.microsoft.com/office/2006/metadata/properties" ma:root="true" ma:fieldsID="68f015ace5ce8fcd03688c3809a80f6c" ns1:_="" ns2:_="" ns3:_="">
    <xsd:import namespace="http://schemas.microsoft.com/sharepoint/v3"/>
    <xsd:import namespace="6041b3ba-1188-45b5-a271-dfb9a9a8da58"/>
    <xsd:import namespace="35f0cdc8-4de3-4117-a0d7-8fd86872a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1b3ba-1188-45b5-a271-dfb9a9a8d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0cdc8-4de3-4117-a0d7-8fd86872aa5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7090b0-e3f9-4d26-aa0e-b17d9a152435}" ma:internalName="TaxCatchAll" ma:showField="CatchAllData" ma:web="35f0cdc8-4de3-4117-a0d7-8fd86872a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41b3ba-1188-45b5-a271-dfb9a9a8da58">
      <Terms xmlns="http://schemas.microsoft.com/office/infopath/2007/PartnerControls"/>
    </lcf76f155ced4ddcb4097134ff3c332f>
    <TaxCatchAll xmlns="35f0cdc8-4de3-4117-a0d7-8fd86872aa5a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CF92DC-79BC-4995-9EBD-A016832E34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41b3ba-1188-45b5-a271-dfb9a9a8da58"/>
    <ds:schemaRef ds:uri="35f0cdc8-4de3-4117-a0d7-8fd86872aa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7EC47B-08FC-4546-A413-4A1A093A8B59}">
  <ds:schemaRefs>
    <ds:schemaRef ds:uri="http://schemas.microsoft.com/office/2006/metadata/properties"/>
    <ds:schemaRef ds:uri="http://schemas.microsoft.com/office/infopath/2007/PartnerControls"/>
    <ds:schemaRef ds:uri="6041b3ba-1188-45b5-a271-dfb9a9a8da58"/>
    <ds:schemaRef ds:uri="35f0cdc8-4de3-4117-a0d7-8fd86872aa5a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5012989-DE8D-4C2B-92B4-6D5DBC54743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AVP</vt:lpstr>
      <vt:lpstr>Model Result</vt:lpstr>
      <vt:lpstr>Decomposition</vt:lpstr>
      <vt:lpstr>Comparison</vt:lpstr>
      <vt:lpstr>Graficos</vt:lpstr>
      <vt:lpstr>Raw Data</vt:lpstr>
      <vt:lpstr>SPLIT ADSTOCK</vt:lpstr>
      <vt:lpstr>Dinamica</vt:lpstr>
      <vt:lpstr>Full Data</vt:lpstr>
      <vt:lpstr>Descriptivos</vt:lpstr>
      <vt:lpstr>Corr</vt:lpstr>
      <vt:lpstr>Rolling Twinings Global</vt:lpstr>
      <vt:lpstr>Comparacion Base modelos</vt:lpstr>
      <vt:lpstr>Contribution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Pushp Mathur</dc:creator>
  <cp:keywords/>
  <dc:description/>
  <cp:lastModifiedBy>Fernando Monrroy</cp:lastModifiedBy>
  <cp:revision/>
  <dcterms:created xsi:type="dcterms:W3CDTF">2015-06-05T18:19:34Z</dcterms:created>
  <dcterms:modified xsi:type="dcterms:W3CDTF">2025-09-11T00:01:20Z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0x0101009A5B2EB65F0D434998DAF77486C1C599</vt:lpwstr>
  </property>
  <property fmtid="{D5CDD505-2E9C-101B-9397-08002B2CF9AE}" pid="3" name="MSIP_Label_3741da7a-79c1-417c-b408-16c0bfe99fca_Enabled">
    <vt:lpwstr>true</vt:lpwstr>
  </property>
  <property fmtid="{D5CDD505-2E9C-101B-9397-08002B2CF9AE}" pid="4" name="MSIP_Label_3741da7a-79c1-417c-b408-16c0bfe99fca_SetDate">
    <vt:lpwstr>2024-10-28T12:02:53Z</vt:lpwstr>
  </property>
  <property fmtid="{D5CDD505-2E9C-101B-9397-08002B2CF9AE}" pid="5" name="MSIP_Label_3741da7a-79c1-417c-b408-16c0bfe99fca_Method">
    <vt:lpwstr>Standard</vt:lpwstr>
  </property>
  <property fmtid="{D5CDD505-2E9C-101B-9397-08002B2CF9AE}" pid="6" name="MSIP_Label_3741da7a-79c1-417c-b408-16c0bfe99fca_Name">
    <vt:lpwstr>Internal Only - Amber</vt:lpwstr>
  </property>
  <property fmtid="{D5CDD505-2E9C-101B-9397-08002B2CF9AE}" pid="7" name="MSIP_Label_3741da7a-79c1-417c-b408-16c0bfe99fca_SiteId">
    <vt:lpwstr>1e355c04-e0a4-42ed-8e2d-7351591f0ef1</vt:lpwstr>
  </property>
  <property fmtid="{D5CDD505-2E9C-101B-9397-08002B2CF9AE}" pid="8" name="MSIP_Label_3741da7a-79c1-417c-b408-16c0bfe99fca_ActionId">
    <vt:lpwstr>57a15435-6709-4abd-b1fe-9c725c918f5c</vt:lpwstr>
  </property>
  <property fmtid="{D5CDD505-2E9C-101B-9397-08002B2CF9AE}" pid="9" name="MSIP_Label_3741da7a-79c1-417c-b408-16c0bfe99fca_ContentBits">
    <vt:lpwstr>0</vt:lpwstr>
  </property>
  <property fmtid="{D5CDD505-2E9C-101B-9397-08002B2CF9AE}" pid="10" name="MediaServiceImageTags">
    <vt:lpwstr/>
  </property>
</Properties>
</file>