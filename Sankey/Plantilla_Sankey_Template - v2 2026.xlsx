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Sankey/"/>
    </mc:Choice>
  </mc:AlternateContent>
  <xr:revisionPtr revIDLastSave="2689" documentId="8_{6827BAFE-657F-4ACA-B1D3-D71E74243AC1}" xr6:coauthVersionLast="47" xr6:coauthVersionMax="47" xr10:uidLastSave="{E3DC223E-B2EF-4717-ADE2-D6DA31AA5CEA}"/>
  <bookViews>
    <workbookView xWindow="-120" yWindow="-120" windowWidth="29040" windowHeight="15720" activeTab="1" xr2:uid="{C99B84B2-8793-448B-88D3-8A7536EE35E2}"/>
  </bookViews>
  <sheets>
    <sheet name="CATA" sheetId="2" r:id="rId1"/>
    <sheet name="Template" sheetId="1" r:id="rId2"/>
  </sheets>
  <definedNames>
    <definedName name="_xlnm._FilterDatabase" localSheetId="1" hidden="1">Template!$A$1:$G$42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2" i="1"/>
  <c r="D24" i="1"/>
  <c r="D27" i="1"/>
  <c r="D28" i="1"/>
  <c r="D26" i="1"/>
  <c r="D35" i="1"/>
  <c r="D22" i="1"/>
  <c r="D25" i="1"/>
  <c r="D34" i="1"/>
  <c r="D31" i="1"/>
  <c r="D36" i="1"/>
  <c r="D37" i="1"/>
  <c r="D38" i="1"/>
  <c r="D39" i="1"/>
  <c r="D40" i="1"/>
  <c r="D41" i="1"/>
  <c r="D42" i="1"/>
  <c r="D13" i="1"/>
  <c r="D2" i="1"/>
  <c r="D11" i="1"/>
  <c r="D14" i="1"/>
  <c r="D3" i="1"/>
  <c r="D15" i="1"/>
  <c r="D4" i="1"/>
  <c r="D10" i="1"/>
  <c r="D6" i="1"/>
  <c r="D5" i="1"/>
  <c r="D16" i="1"/>
  <c r="D9" i="1"/>
  <c r="D19" i="1"/>
  <c r="D20" i="1"/>
  <c r="D17" i="1"/>
  <c r="D18" i="1"/>
  <c r="D7" i="1"/>
  <c r="D8" i="1"/>
  <c r="D12" i="1"/>
  <c r="D33" i="1"/>
  <c r="D32" i="1"/>
  <c r="D23" i="1"/>
  <c r="D30" i="1"/>
  <c r="D21" i="1"/>
  <c r="D29" i="1"/>
  <c r="D1" i="1" l="1"/>
</calcChain>
</file>

<file path=xl/sharedStrings.xml><?xml version="1.0" encoding="utf-8"?>
<sst xmlns="http://schemas.openxmlformats.org/spreadsheetml/2006/main" count="191" uniqueCount="57">
  <si>
    <t>NodeColor</t>
  </si>
  <si>
    <t>HexColor</t>
  </si>
  <si>
    <t>FactorType</t>
  </si>
  <si>
    <t>FactorName</t>
  </si>
  <si>
    <t>Attribute</t>
  </si>
  <si>
    <t>Tracking</t>
  </si>
  <si>
    <t>Path</t>
  </si>
  <si>
    <t>#802AB7</t>
  </si>
  <si>
    <t>Kantar Purple</t>
  </si>
  <si>
    <t>Kantar Blue</t>
  </si>
  <si>
    <t>#0060FF</t>
  </si>
  <si>
    <t>Kantar Sand</t>
  </si>
  <si>
    <t>#AEAE9F</t>
  </si>
  <si>
    <t>#00E5BA</t>
  </si>
  <si>
    <t>Kantar Teal</t>
  </si>
  <si>
    <t>#00B600</t>
  </si>
  <si>
    <t>Kantar Green</t>
  </si>
  <si>
    <t>Kantar Yellow</t>
  </si>
  <si>
    <t>#FEDB00</t>
  </si>
  <si>
    <t>#FF5000</t>
  </si>
  <si>
    <t>Kantar Orange</t>
  </si>
  <si>
    <t>#FA0028</t>
  </si>
  <si>
    <t>Kantar Red</t>
  </si>
  <si>
    <t>Kantar Magenta</t>
  </si>
  <si>
    <t>#C700D3</t>
  </si>
  <si>
    <t>Path = Right</t>
  </si>
  <si>
    <t>Tracking = Left</t>
  </si>
  <si>
    <t>#D9D9D9</t>
  </si>
  <si>
    <t>Kantar Light Grey</t>
  </si>
  <si>
    <t>Es una marca que se adecua a mi estilo</t>
  </si>
  <si>
    <t>Es una marca con la que me identifico</t>
  </si>
  <si>
    <t>Buena experiencia en tienda física</t>
  </si>
  <si>
    <t>Buena atención a cliente en tienda física</t>
  </si>
  <si>
    <t>Ofrece productos de buena calidad</t>
  </si>
  <si>
    <t>Buena experiencia en tienda en línea</t>
  </si>
  <si>
    <t>Tiene artículos de moda</t>
  </si>
  <si>
    <t>Opciones para todos los presupuestos</t>
  </si>
  <si>
    <t>Vende productos exclusivos</t>
  </si>
  <si>
    <t>Esta innovando constantemente</t>
  </si>
  <si>
    <t>Experta en decoración</t>
  </si>
  <si>
    <t>Me inspira a decorar mi hogar</t>
  </si>
  <si>
    <t>Vende artículos con diseño original</t>
  </si>
  <si>
    <t>Me acompaña en el proceso de compra hasta la entrega</t>
  </si>
  <si>
    <t>Variedad de productos para decorar mi hogar</t>
  </si>
  <si>
    <t>Emo-Funcional 34.9%</t>
  </si>
  <si>
    <t>Experiencia 12%</t>
  </si>
  <si>
    <t>Expertise 21%</t>
  </si>
  <si>
    <t>Presupuesto 15.7%</t>
  </si>
  <si>
    <t>Tendencia 16.4%</t>
  </si>
  <si>
    <t>Calidad y experiencia en tienda 22.5% (4.9%)</t>
  </si>
  <si>
    <t>Variedad y tendencia que encuentro en línea 23% (5%)</t>
  </si>
  <si>
    <t>Para mi estilo y presupuesto 20.3% (4.4%)</t>
  </si>
  <si>
    <t>Productos innovadores y exclusivos 15.8% (3.4%)</t>
  </si>
  <si>
    <t>Expertise 3.8% (0.8%)</t>
  </si>
  <si>
    <t>Diseño original 14.6% (3.2%)</t>
  </si>
  <si>
    <t>HexColorAtt</t>
  </si>
  <si>
    <t>Attribute box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</si>
</sst>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1"/>
      <color rgb="FFFF0000"/>
      <name val="Aptos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165" fontId="8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1" xfId="0" applyFont="1" applyBorder="1"/>
    <xf numFmtId="10" fontId="0" fillId="0" borderId="0" xfId="0" applyNumberFormat="1"/>
    <xf numFmtId="164" fontId="0" fillId="0" borderId="0" xfId="0" applyNumberFormat="1"/>
    <xf numFmtId="0" fontId="6" fillId="0" borderId="1" xfId="0" applyFont="1" applyBorder="1"/>
    <xf numFmtId="0" fontId="0" fillId="0" borderId="1" xfId="0" applyBorder="1"/>
  </cellXfs>
  <cellStyles count="4">
    <cellStyle name="Comma 2" xfId="3" xr:uid="{956FCC41-76C7-4E2C-B5DF-23B59396B05C}"/>
    <cellStyle name="Normal" xfId="0" builtinId="0"/>
    <cellStyle name="Normal 2" xfId="1" xr:uid="{CAF73115-CCE1-4AB2-ADD9-73DA7BBA49FC}"/>
    <cellStyle name="Normal 2 2" xfId="2" xr:uid="{A239345B-7D91-4287-BE19-1EBC56CB6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59121-1036-480D-A5B1-158F6CEB06C9}" name="Table1" displayName="Table1" ref="A1:B11" totalsRowShown="0">
  <autoFilter ref="A1:B11" xr:uid="{1D959121-1036-480D-A5B1-158F6CEB06C9}"/>
  <tableColumns count="2">
    <tableColumn id="1" xr3:uid="{CA921E6B-2DC8-4FF2-945E-02251834DD3F}" name="NodeColor"/>
    <tableColumn id="2" xr3:uid="{CDF5BEFE-0674-41D8-A86B-BB7FF99C8906}" name="Hex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BC93-93D9-4082-958B-CF3F68552D10}">
  <dimension ref="A1:G11"/>
  <sheetViews>
    <sheetView zoomScaleNormal="100" workbookViewId="0">
      <selection activeCell="E9" sqref="E9"/>
    </sheetView>
  </sheetViews>
  <sheetFormatPr defaultColWidth="8.85546875" defaultRowHeight="15" x14ac:dyDescent="0.25"/>
  <cols>
    <col min="1" max="1" width="13.7109375" bestFit="1" customWidth="1"/>
    <col min="2" max="2" width="13.28515625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8</v>
      </c>
      <c r="B2" t="s">
        <v>7</v>
      </c>
    </row>
    <row r="3" spans="1:7" x14ac:dyDescent="0.25">
      <c r="A3" t="s">
        <v>9</v>
      </c>
      <c r="B3" t="s">
        <v>10</v>
      </c>
    </row>
    <row r="4" spans="1:7" x14ac:dyDescent="0.25">
      <c r="A4" t="s">
        <v>11</v>
      </c>
      <c r="B4" t="s">
        <v>12</v>
      </c>
    </row>
    <row r="5" spans="1:7" x14ac:dyDescent="0.25">
      <c r="A5" t="s">
        <v>14</v>
      </c>
      <c r="B5" t="s">
        <v>13</v>
      </c>
    </row>
    <row r="6" spans="1:7" x14ac:dyDescent="0.25">
      <c r="A6" t="s">
        <v>16</v>
      </c>
      <c r="B6" t="s">
        <v>15</v>
      </c>
    </row>
    <row r="7" spans="1:7" x14ac:dyDescent="0.25">
      <c r="A7" t="s">
        <v>17</v>
      </c>
      <c r="B7" t="s">
        <v>18</v>
      </c>
    </row>
    <row r="8" spans="1:7" x14ac:dyDescent="0.25">
      <c r="A8" t="s">
        <v>20</v>
      </c>
      <c r="B8" t="s">
        <v>19</v>
      </c>
    </row>
    <row r="9" spans="1:7" x14ac:dyDescent="0.25">
      <c r="A9" t="s">
        <v>22</v>
      </c>
      <c r="B9" t="s">
        <v>21</v>
      </c>
      <c r="G9" s="1"/>
    </row>
    <row r="10" spans="1:7" x14ac:dyDescent="0.25">
      <c r="A10" t="s">
        <v>23</v>
      </c>
      <c r="B10" t="s">
        <v>24</v>
      </c>
    </row>
    <row r="11" spans="1:7" x14ac:dyDescent="0.25">
      <c r="A11" t="s">
        <v>28</v>
      </c>
      <c r="B1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10F7-B0D2-4B07-9094-F238C90331AE}">
  <sheetPr filterMode="1"/>
  <dimension ref="A1:I46"/>
  <sheetViews>
    <sheetView tabSelected="1" zoomScaleNormal="100" workbookViewId="0">
      <selection activeCell="D23" sqref="D23"/>
    </sheetView>
  </sheetViews>
  <sheetFormatPr defaultColWidth="8.85546875" defaultRowHeight="15" x14ac:dyDescent="0.25"/>
  <cols>
    <col min="1" max="1" width="12.140625" customWidth="1"/>
    <col min="2" max="2" width="56.42578125" customWidth="1"/>
    <col min="3" max="3" width="15.7109375" bestFit="1" customWidth="1"/>
    <col min="4" max="4" width="11.42578125" bestFit="1" customWidth="1"/>
    <col min="5" max="5" width="64.7109375" customWidth="1"/>
    <col min="6" max="6" width="18" bestFit="1" customWidth="1"/>
    <col min="7" max="7" width="11.85546875" bestFit="1" customWidth="1"/>
    <col min="8" max="8" width="11.85546875" customWidth="1"/>
    <col min="9" max="9" width="13.7109375" bestFit="1" customWidth="1"/>
  </cols>
  <sheetData>
    <row r="1" spans="1:9" x14ac:dyDescent="0.25">
      <c r="A1" s="3" t="s">
        <v>2</v>
      </c>
      <c r="B1" s="3" t="s">
        <v>3</v>
      </c>
      <c r="C1" s="3" t="s">
        <v>0</v>
      </c>
      <c r="D1" s="3" t="str">
        <f>VLOOKUP(C1,CATA!A:B,2,FALSE)</f>
        <v>HexColor</v>
      </c>
      <c r="E1" s="3" t="s">
        <v>4</v>
      </c>
      <c r="F1" s="3" t="s">
        <v>56</v>
      </c>
      <c r="G1" s="3" t="s">
        <v>55</v>
      </c>
      <c r="H1" s="3"/>
      <c r="I1" t="s">
        <v>25</v>
      </c>
    </row>
    <row r="2" spans="1:9" x14ac:dyDescent="0.25">
      <c r="A2" s="5" t="s">
        <v>6</v>
      </c>
      <c r="B2" s="4" t="s">
        <v>49</v>
      </c>
      <c r="C2" s="5" t="s">
        <v>16</v>
      </c>
      <c r="D2" s="5" t="str">
        <f>_xlfn.IFNA(VLOOKUP(C2,Table1[],2,FALSE),"")</f>
        <v>#00B600</v>
      </c>
      <c r="E2" s="9" t="s">
        <v>32</v>
      </c>
      <c r="F2" s="5" t="s">
        <v>16</v>
      </c>
      <c r="G2" s="5" t="str">
        <f>_xlfn.IFNA(VLOOKUP(F2,Table1[],2,FALSE),"")</f>
        <v>#00B600</v>
      </c>
      <c r="H2" s="2"/>
      <c r="I2" t="s">
        <v>26</v>
      </c>
    </row>
    <row r="3" spans="1:9" x14ac:dyDescent="0.25">
      <c r="A3" s="5" t="s">
        <v>6</v>
      </c>
      <c r="B3" s="4" t="s">
        <v>50</v>
      </c>
      <c r="C3" s="5" t="s">
        <v>23</v>
      </c>
      <c r="D3" s="5" t="str">
        <f>_xlfn.IFNA(VLOOKUP(C3,Table1[],2,FALSE),"")</f>
        <v>#C700D3</v>
      </c>
      <c r="E3" s="9" t="s">
        <v>34</v>
      </c>
      <c r="F3" s="5" t="s">
        <v>23</v>
      </c>
      <c r="G3" s="5" t="str">
        <f>_xlfn.IFNA(VLOOKUP(F3,Table1[],2,FALSE),"")</f>
        <v>#C700D3</v>
      </c>
      <c r="H3" s="2"/>
    </row>
    <row r="4" spans="1:9" x14ac:dyDescent="0.25">
      <c r="A4" s="5" t="s">
        <v>6</v>
      </c>
      <c r="B4" s="4" t="s">
        <v>49</v>
      </c>
      <c r="C4" s="5" t="s">
        <v>16</v>
      </c>
      <c r="D4" s="5" t="str">
        <f>_xlfn.IFNA(VLOOKUP(C4,Table1[],2,FALSE),"")</f>
        <v>#00B600</v>
      </c>
      <c r="E4" s="9" t="s">
        <v>31</v>
      </c>
      <c r="F4" s="5" t="s">
        <v>16</v>
      </c>
      <c r="G4" s="5" t="str">
        <f>_xlfn.IFNA(VLOOKUP(F4,Table1[],2,FALSE),"")</f>
        <v>#00B600</v>
      </c>
      <c r="H4" s="2"/>
    </row>
    <row r="5" spans="1:9" x14ac:dyDescent="0.25">
      <c r="A5" s="5" t="s">
        <v>6</v>
      </c>
      <c r="B5" s="5" t="s">
        <v>51</v>
      </c>
      <c r="C5" s="5" t="s">
        <v>22</v>
      </c>
      <c r="D5" s="5" t="str">
        <f>_xlfn.IFNA(VLOOKUP(C5,Table1[],2,FALSE),"")</f>
        <v>#FA0028</v>
      </c>
      <c r="E5" s="9" t="s">
        <v>30</v>
      </c>
      <c r="F5" s="5" t="s">
        <v>22</v>
      </c>
      <c r="G5" s="5" t="str">
        <f>_xlfn.IFNA(VLOOKUP(F5,Table1[],2,FALSE),"")</f>
        <v>#FA0028</v>
      </c>
      <c r="H5" s="2"/>
    </row>
    <row r="6" spans="1:9" x14ac:dyDescent="0.25">
      <c r="A6" s="5" t="s">
        <v>6</v>
      </c>
      <c r="B6" s="5" t="s">
        <v>51</v>
      </c>
      <c r="C6" s="5" t="s">
        <v>22</v>
      </c>
      <c r="D6" s="5" t="str">
        <f>_xlfn.IFNA(VLOOKUP(C6,Table1[],2,FALSE),"")</f>
        <v>#FA0028</v>
      </c>
      <c r="E6" s="9" t="s">
        <v>29</v>
      </c>
      <c r="F6" s="5" t="s">
        <v>22</v>
      </c>
      <c r="G6" s="5" t="str">
        <f>_xlfn.IFNA(VLOOKUP(F6,Table1[],2,FALSE),"")</f>
        <v>#FA0028</v>
      </c>
      <c r="H6" s="2"/>
    </row>
    <row r="7" spans="1:9" x14ac:dyDescent="0.25">
      <c r="A7" s="5" t="s">
        <v>6</v>
      </c>
      <c r="B7" s="4" t="s">
        <v>52</v>
      </c>
      <c r="C7" s="5" t="s">
        <v>9</v>
      </c>
      <c r="D7" s="5" t="str">
        <f>_xlfn.IFNA(VLOOKUP(C7,Table1[],2,FALSE),"")</f>
        <v>#0060FF</v>
      </c>
      <c r="E7" s="9" t="s">
        <v>38</v>
      </c>
      <c r="F7" s="5" t="s">
        <v>9</v>
      </c>
      <c r="G7" s="5" t="str">
        <f>_xlfn.IFNA(VLOOKUP(F7,Table1[],2,FALSE),"")</f>
        <v>#0060FF</v>
      </c>
      <c r="H7" s="2"/>
    </row>
    <row r="8" spans="1:9" x14ac:dyDescent="0.25">
      <c r="A8" s="5" t="s">
        <v>6</v>
      </c>
      <c r="B8" s="5" t="s">
        <v>53</v>
      </c>
      <c r="C8" s="5" t="s">
        <v>17</v>
      </c>
      <c r="D8" s="5" t="str">
        <f>_xlfn.IFNA(VLOOKUP(C8,Table1[],2,FALSE),"")</f>
        <v>#FEDB00</v>
      </c>
      <c r="E8" s="9" t="s">
        <v>39</v>
      </c>
      <c r="F8" s="5" t="s">
        <v>17</v>
      </c>
      <c r="G8" s="5" t="str">
        <f>_xlfn.IFNA(VLOOKUP(F8,Table1[],2,FALSE),"")</f>
        <v>#FEDB00</v>
      </c>
      <c r="H8" s="2"/>
    </row>
    <row r="9" spans="1:9" x14ac:dyDescent="0.25">
      <c r="A9" s="5" t="s">
        <v>6</v>
      </c>
      <c r="B9" s="4" t="s">
        <v>50</v>
      </c>
      <c r="C9" s="5" t="s">
        <v>23</v>
      </c>
      <c r="D9" s="5" t="str">
        <f>_xlfn.IFNA(VLOOKUP(C9,Table1[],2,FALSE),"")</f>
        <v>#C700D3</v>
      </c>
      <c r="E9" s="9" t="s">
        <v>42</v>
      </c>
      <c r="F9" s="5" t="s">
        <v>23</v>
      </c>
      <c r="G9" s="5" t="str">
        <f>_xlfn.IFNA(VLOOKUP(F9,Table1[],2,FALSE),"")</f>
        <v>#C700D3</v>
      </c>
      <c r="H9" s="2"/>
    </row>
    <row r="10" spans="1:9" x14ac:dyDescent="0.25">
      <c r="A10" s="5" t="s">
        <v>6</v>
      </c>
      <c r="B10" s="5" t="s">
        <v>53</v>
      </c>
      <c r="C10" s="5" t="s">
        <v>17</v>
      </c>
      <c r="D10" s="5" t="str">
        <f>_xlfn.IFNA(VLOOKUP(C10,Table1[],2,FALSE),"")</f>
        <v>#FEDB00</v>
      </c>
      <c r="E10" s="9" t="s">
        <v>40</v>
      </c>
      <c r="F10" s="5" t="s">
        <v>17</v>
      </c>
      <c r="G10" s="5" t="str">
        <f>_xlfn.IFNA(VLOOKUP(F10,Table1[],2,FALSE),"")</f>
        <v>#FEDB00</v>
      </c>
      <c r="H10" s="2"/>
    </row>
    <row r="11" spans="1:9" x14ac:dyDescent="0.25">
      <c r="A11" s="5" t="s">
        <v>6</v>
      </c>
      <c r="B11" s="4" t="s">
        <v>49</v>
      </c>
      <c r="C11" s="5" t="s">
        <v>16</v>
      </c>
      <c r="D11" s="5" t="str">
        <f>_xlfn.IFNA(VLOOKUP(C11,Table1[],2,FALSE),"")</f>
        <v>#00B600</v>
      </c>
      <c r="E11" s="9" t="s">
        <v>33</v>
      </c>
      <c r="F11" s="5" t="s">
        <v>16</v>
      </c>
      <c r="G11" s="5" t="str">
        <f>_xlfn.IFNA(VLOOKUP(F11,Table1[],2,FALSE),"")</f>
        <v>#00B600</v>
      </c>
      <c r="H11" s="2"/>
    </row>
    <row r="12" spans="1:9" x14ac:dyDescent="0.25">
      <c r="A12" s="5" t="s">
        <v>6</v>
      </c>
      <c r="B12" s="5" t="s">
        <v>51</v>
      </c>
      <c r="C12" s="5" t="s">
        <v>22</v>
      </c>
      <c r="D12" s="5" t="str">
        <f>_xlfn.IFNA(VLOOKUP(C12,Table1[],2,FALSE),"")</f>
        <v>#FA0028</v>
      </c>
      <c r="E12" s="9" t="s">
        <v>36</v>
      </c>
      <c r="F12" s="5" t="s">
        <v>22</v>
      </c>
      <c r="G12" s="5" t="str">
        <f>_xlfn.IFNA(VLOOKUP(F12,Table1[],2,FALSE),"")</f>
        <v>#FA0028</v>
      </c>
    </row>
    <row r="13" spans="1:9" x14ac:dyDescent="0.25">
      <c r="A13" s="5" t="s">
        <v>6</v>
      </c>
      <c r="B13" s="4" t="s">
        <v>50</v>
      </c>
      <c r="C13" s="5" t="s">
        <v>23</v>
      </c>
      <c r="D13" s="5" t="str">
        <f>_xlfn.IFNA(VLOOKUP(C13,Table1[],2,FALSE),"")</f>
        <v>#C700D3</v>
      </c>
      <c r="E13" s="9" t="s">
        <v>35</v>
      </c>
      <c r="F13" s="5" t="s">
        <v>23</v>
      </c>
      <c r="G13" s="5" t="str">
        <f>_xlfn.IFNA(VLOOKUP(F13,Table1[],2,FALSE),"")</f>
        <v>#C700D3</v>
      </c>
      <c r="H13" s="2"/>
    </row>
    <row r="14" spans="1:9" x14ac:dyDescent="0.25">
      <c r="A14" s="5" t="s">
        <v>6</v>
      </c>
      <c r="B14" s="4" t="s">
        <v>50</v>
      </c>
      <c r="C14" s="5" t="s">
        <v>23</v>
      </c>
      <c r="D14" s="5" t="str">
        <f>_xlfn.IFNA(VLOOKUP(C14,Table1[],2,FALSE),"")</f>
        <v>#C700D3</v>
      </c>
      <c r="E14" s="9" t="s">
        <v>43</v>
      </c>
      <c r="F14" s="5" t="s">
        <v>23</v>
      </c>
      <c r="G14" s="5" t="str">
        <f>_xlfn.IFNA(VLOOKUP(F14,Table1[],2,FALSE),"")</f>
        <v>#C700D3</v>
      </c>
      <c r="H14" s="2"/>
    </row>
    <row r="15" spans="1:9" x14ac:dyDescent="0.25">
      <c r="A15" s="5" t="s">
        <v>6</v>
      </c>
      <c r="B15" s="4" t="s">
        <v>54</v>
      </c>
      <c r="C15" s="5" t="s">
        <v>20</v>
      </c>
      <c r="D15" s="5" t="str">
        <f>_xlfn.IFNA(VLOOKUP(C15,Table1[],2,FALSE),"")</f>
        <v>#FF5000</v>
      </c>
      <c r="E15" s="9" t="s">
        <v>41</v>
      </c>
      <c r="F15" s="5" t="s">
        <v>20</v>
      </c>
      <c r="G15" s="5" t="str">
        <f>_xlfn.IFNA(VLOOKUP(F15,Table1[],2,FALSE),"")</f>
        <v>#FF5000</v>
      </c>
      <c r="H15" s="2"/>
    </row>
    <row r="16" spans="1:9" x14ac:dyDescent="0.25">
      <c r="A16" s="5" t="s">
        <v>6</v>
      </c>
      <c r="B16" s="4" t="s">
        <v>52</v>
      </c>
      <c r="C16" s="5" t="s">
        <v>9</v>
      </c>
      <c r="D16" s="5" t="str">
        <f>_xlfn.IFNA(VLOOKUP(C16,Table1[],2,FALSE),"")</f>
        <v>#0060FF</v>
      </c>
      <c r="E16" s="9" t="s">
        <v>37</v>
      </c>
      <c r="F16" s="5" t="s">
        <v>9</v>
      </c>
      <c r="G16" s="5" t="str">
        <f>_xlfn.IFNA(VLOOKUP(F16,Table1[],2,FALSE),"")</f>
        <v>#0060FF</v>
      </c>
      <c r="H16" s="2"/>
    </row>
    <row r="17" spans="1:9" hidden="1" x14ac:dyDescent="0.25">
      <c r="A17" s="5" t="s">
        <v>6</v>
      </c>
      <c r="B17" s="5"/>
      <c r="C17" s="5"/>
      <c r="D17" s="5" t="str">
        <f>_xlfn.IFNA(VLOOKUP(C17,Table1[],2,FALSE),"")</f>
        <v/>
      </c>
      <c r="E17" s="5"/>
      <c r="F17" s="5"/>
      <c r="G17" s="5" t="str">
        <f>_xlfn.IFNA(VLOOKUP(F17,Table1[],2,FALSE),"")</f>
        <v/>
      </c>
      <c r="H17" s="2"/>
    </row>
    <row r="18" spans="1:9" hidden="1" x14ac:dyDescent="0.25">
      <c r="A18" s="5" t="s">
        <v>6</v>
      </c>
      <c r="B18" s="5"/>
      <c r="C18" s="5"/>
      <c r="D18" s="5" t="str">
        <f>_xlfn.IFNA(VLOOKUP(C18,Table1[],2,FALSE),"")</f>
        <v/>
      </c>
      <c r="E18" s="5"/>
      <c r="F18" s="5"/>
      <c r="G18" s="5" t="str">
        <f>_xlfn.IFNA(VLOOKUP(F18,Table1[],2,FALSE),"")</f>
        <v/>
      </c>
      <c r="H18" s="2"/>
    </row>
    <row r="19" spans="1:9" hidden="1" x14ac:dyDescent="0.25">
      <c r="A19" s="5" t="s">
        <v>6</v>
      </c>
      <c r="B19" s="5"/>
      <c r="C19" s="5"/>
      <c r="D19" s="5" t="str">
        <f>_xlfn.IFNA(VLOOKUP(C19,Table1[],2,FALSE),"")</f>
        <v/>
      </c>
      <c r="E19" s="5"/>
      <c r="F19" s="5"/>
      <c r="G19" s="5" t="str">
        <f>_xlfn.IFNA(VLOOKUP(F19,Table1[],2,FALSE),"")</f>
        <v/>
      </c>
      <c r="H19" s="2"/>
    </row>
    <row r="20" spans="1:9" hidden="1" x14ac:dyDescent="0.25">
      <c r="A20" s="5" t="s">
        <v>6</v>
      </c>
      <c r="B20" s="5"/>
      <c r="C20" s="5"/>
      <c r="D20" s="5" t="str">
        <f>_xlfn.IFNA(VLOOKUP(C20,Table1[],2,FALSE),"")</f>
        <v/>
      </c>
      <c r="E20" s="5"/>
      <c r="F20" s="5"/>
      <c r="G20" s="5" t="str">
        <f>_xlfn.IFNA(VLOOKUP(F20,Table1[],2,FALSE),"")</f>
        <v/>
      </c>
      <c r="H20" s="2"/>
    </row>
    <row r="21" spans="1:9" x14ac:dyDescent="0.25">
      <c r="A21" s="8" t="s">
        <v>5</v>
      </c>
      <c r="B21" s="4" t="s">
        <v>44</v>
      </c>
      <c r="C21" s="5" t="s">
        <v>16</v>
      </c>
      <c r="D21" s="5" t="str">
        <f>_xlfn.IFNA(VLOOKUP(C21,Table1[],2,FALSE),"")</f>
        <v>#00B600</v>
      </c>
      <c r="E21" s="9" t="s">
        <v>32</v>
      </c>
      <c r="F21" s="5" t="s">
        <v>16</v>
      </c>
      <c r="G21" s="5" t="str">
        <f>_xlfn.IFNA(VLOOKUP(F21,Table1[],2,FALSE),"")</f>
        <v>#00B600</v>
      </c>
      <c r="H21" s="2"/>
    </row>
    <row r="22" spans="1:9" x14ac:dyDescent="0.25">
      <c r="A22" s="8" t="s">
        <v>5</v>
      </c>
      <c r="B22" s="4" t="s">
        <v>45</v>
      </c>
      <c r="C22" s="5" t="s">
        <v>9</v>
      </c>
      <c r="D22" s="5" t="str">
        <f>_xlfn.IFNA(VLOOKUP(C22,Table1[],2,FALSE),"")</f>
        <v>#0060FF</v>
      </c>
      <c r="E22" s="9" t="s">
        <v>34</v>
      </c>
      <c r="F22" s="5" t="s">
        <v>23</v>
      </c>
      <c r="G22" s="5" t="str">
        <f>_xlfn.IFNA(VLOOKUP(F22,Table1[],2,FALSE),"")</f>
        <v>#C700D3</v>
      </c>
      <c r="H22" s="2"/>
    </row>
    <row r="23" spans="1:9" x14ac:dyDescent="0.25">
      <c r="A23" s="8" t="s">
        <v>5</v>
      </c>
      <c r="B23" s="4" t="s">
        <v>44</v>
      </c>
      <c r="C23" s="5" t="s">
        <v>16</v>
      </c>
      <c r="D23" s="5" t="str">
        <f>_xlfn.IFNA(VLOOKUP(C23,Table1[],2,FALSE),"")</f>
        <v>#00B600</v>
      </c>
      <c r="E23" s="9" t="s">
        <v>31</v>
      </c>
      <c r="F23" s="5" t="s">
        <v>16</v>
      </c>
      <c r="G23" s="5" t="str">
        <f>_xlfn.IFNA(VLOOKUP(F23,Table1[],2,FALSE),"")</f>
        <v>#00B600</v>
      </c>
      <c r="H23" s="2"/>
    </row>
    <row r="24" spans="1:9" x14ac:dyDescent="0.25">
      <c r="A24" s="8" t="s">
        <v>5</v>
      </c>
      <c r="B24" s="4" t="s">
        <v>44</v>
      </c>
      <c r="C24" s="5" t="s">
        <v>16</v>
      </c>
      <c r="D24" s="5" t="str">
        <f>_xlfn.IFNA(VLOOKUP(C24,Table1[],2,FALSE),"")</f>
        <v>#00B600</v>
      </c>
      <c r="E24" s="9" t="s">
        <v>30</v>
      </c>
      <c r="F24" s="5" t="s">
        <v>22</v>
      </c>
      <c r="G24" s="5" t="str">
        <f>_xlfn.IFNA(VLOOKUP(F24,Table1[],2,FALSE),"")</f>
        <v>#FA0028</v>
      </c>
      <c r="H24" s="2"/>
    </row>
    <row r="25" spans="1:9" x14ac:dyDescent="0.25">
      <c r="A25" s="8" t="s">
        <v>5</v>
      </c>
      <c r="B25" s="4" t="s">
        <v>44</v>
      </c>
      <c r="C25" s="5" t="s">
        <v>16</v>
      </c>
      <c r="D25" s="5" t="str">
        <f>_xlfn.IFNA(VLOOKUP(C25,Table1[],2,FALSE),"")</f>
        <v>#00B600</v>
      </c>
      <c r="E25" s="9" t="s">
        <v>29</v>
      </c>
      <c r="F25" s="5" t="s">
        <v>22</v>
      </c>
      <c r="G25" s="5" t="str">
        <f>_xlfn.IFNA(VLOOKUP(F25,Table1[],2,FALSE),"")</f>
        <v>#FA0028</v>
      </c>
    </row>
    <row r="26" spans="1:9" ht="15" customHeight="1" x14ac:dyDescent="0.25">
      <c r="A26" s="8" t="s">
        <v>5</v>
      </c>
      <c r="B26" s="4" t="s">
        <v>48</v>
      </c>
      <c r="C26" s="5" t="s">
        <v>23</v>
      </c>
      <c r="D26" s="5" t="str">
        <f>_xlfn.IFNA(VLOOKUP(C26,Table1[],2,FALSE),"")</f>
        <v>#C700D3</v>
      </c>
      <c r="E26" s="9" t="s">
        <v>38</v>
      </c>
      <c r="F26" s="5" t="s">
        <v>9</v>
      </c>
      <c r="G26" s="5" t="str">
        <f>_xlfn.IFNA(VLOOKUP(F26,Table1[],2,FALSE),"")</f>
        <v>#0060FF</v>
      </c>
      <c r="H26" s="6"/>
      <c r="I26" s="7"/>
    </row>
    <row r="27" spans="1:9" ht="15" customHeight="1" x14ac:dyDescent="0.25">
      <c r="A27" s="8" t="s">
        <v>5</v>
      </c>
      <c r="B27" s="4" t="s">
        <v>46</v>
      </c>
      <c r="C27" s="5" t="s">
        <v>17</v>
      </c>
      <c r="D27" s="5" t="str">
        <f>_xlfn.IFNA(VLOOKUP(C27,Table1[],2,FALSE),"")</f>
        <v>#FEDB00</v>
      </c>
      <c r="E27" s="9" t="s">
        <v>39</v>
      </c>
      <c r="F27" s="5" t="s">
        <v>17</v>
      </c>
      <c r="G27" s="5" t="str">
        <f>_xlfn.IFNA(VLOOKUP(F27,Table1[],2,FALSE),"")</f>
        <v>#FEDB00</v>
      </c>
      <c r="H27" s="6"/>
      <c r="I27" s="7"/>
    </row>
    <row r="28" spans="1:9" ht="15" customHeight="1" x14ac:dyDescent="0.25">
      <c r="A28" s="8" t="s">
        <v>5</v>
      </c>
      <c r="B28" s="4" t="s">
        <v>44</v>
      </c>
      <c r="C28" s="5" t="s">
        <v>16</v>
      </c>
      <c r="D28" s="5" t="str">
        <f>_xlfn.IFNA(VLOOKUP(C28,Table1[],2,FALSE),"")</f>
        <v>#00B600</v>
      </c>
      <c r="E28" s="9" t="s">
        <v>42</v>
      </c>
      <c r="F28" s="5" t="s">
        <v>23</v>
      </c>
      <c r="G28" s="5" t="str">
        <f>_xlfn.IFNA(VLOOKUP(F28,Table1[],2,FALSE),"")</f>
        <v>#C700D3</v>
      </c>
      <c r="H28" s="6"/>
      <c r="I28" s="7"/>
    </row>
    <row r="29" spans="1:9" ht="15" customHeight="1" x14ac:dyDescent="0.25">
      <c r="A29" s="8" t="s">
        <v>5</v>
      </c>
      <c r="B29" s="4" t="s">
        <v>46</v>
      </c>
      <c r="C29" s="5" t="s">
        <v>17</v>
      </c>
      <c r="D29" s="5" t="str">
        <f>_xlfn.IFNA(VLOOKUP(C29,Table1[],2,FALSE),"")</f>
        <v>#FEDB00</v>
      </c>
      <c r="E29" s="9" t="s">
        <v>40</v>
      </c>
      <c r="F29" s="5" t="s">
        <v>17</v>
      </c>
      <c r="G29" s="5" t="str">
        <f>_xlfn.IFNA(VLOOKUP(F29,Table1[],2,FALSE),"")</f>
        <v>#FEDB00</v>
      </c>
      <c r="H29" s="6"/>
      <c r="I29" s="7"/>
    </row>
    <row r="30" spans="1:9" ht="15" customHeight="1" x14ac:dyDescent="0.25">
      <c r="A30" s="8" t="s">
        <v>5</v>
      </c>
      <c r="B30" s="4" t="s">
        <v>44</v>
      </c>
      <c r="C30" s="5" t="s">
        <v>16</v>
      </c>
      <c r="D30" s="5" t="str">
        <f>_xlfn.IFNA(VLOOKUP(C30,Table1[],2,FALSE),"")</f>
        <v>#00B600</v>
      </c>
      <c r="E30" s="9" t="s">
        <v>33</v>
      </c>
      <c r="F30" s="5" t="s">
        <v>16</v>
      </c>
      <c r="G30" s="5" t="str">
        <f>_xlfn.IFNA(VLOOKUP(F30,Table1[],2,FALSE),"")</f>
        <v>#00B600</v>
      </c>
      <c r="H30" s="6"/>
      <c r="I30" s="7"/>
    </row>
    <row r="31" spans="1:9" ht="15" customHeight="1" x14ac:dyDescent="0.25">
      <c r="A31" s="8" t="s">
        <v>5</v>
      </c>
      <c r="B31" s="4" t="s">
        <v>47</v>
      </c>
      <c r="C31" s="5" t="s">
        <v>14</v>
      </c>
      <c r="D31" s="5" t="str">
        <f>_xlfn.IFNA(VLOOKUP(C31,Table1[],2,FALSE),"")</f>
        <v>#00E5BA</v>
      </c>
      <c r="E31" s="9" t="s">
        <v>36</v>
      </c>
      <c r="F31" s="5" t="s">
        <v>22</v>
      </c>
      <c r="G31" s="5" t="str">
        <f>_xlfn.IFNA(VLOOKUP(F31,Table1[],2,FALSE),"")</f>
        <v>#FA0028</v>
      </c>
      <c r="H31" s="6"/>
      <c r="I31" s="7"/>
    </row>
    <row r="32" spans="1:9" ht="15" customHeight="1" x14ac:dyDescent="0.25">
      <c r="A32" s="8" t="s">
        <v>5</v>
      </c>
      <c r="B32" s="4" t="s">
        <v>48</v>
      </c>
      <c r="C32" s="5" t="s">
        <v>23</v>
      </c>
      <c r="D32" s="5" t="str">
        <f>_xlfn.IFNA(VLOOKUP(C32,Table1[],2,FALSE),"")</f>
        <v>#C700D3</v>
      </c>
      <c r="E32" s="9" t="s">
        <v>35</v>
      </c>
      <c r="F32" s="5" t="s">
        <v>23</v>
      </c>
      <c r="G32" s="5" t="str">
        <f>_xlfn.IFNA(VLOOKUP(F32,Table1[],2,FALSE),"")</f>
        <v>#C700D3</v>
      </c>
      <c r="H32" s="6"/>
      <c r="I32" s="7"/>
    </row>
    <row r="33" spans="1:7" ht="15" customHeight="1" x14ac:dyDescent="0.25">
      <c r="A33" s="8" t="s">
        <v>5</v>
      </c>
      <c r="B33" s="4" t="s">
        <v>45</v>
      </c>
      <c r="C33" s="5" t="s">
        <v>9</v>
      </c>
      <c r="D33" s="5" t="str">
        <f>_xlfn.IFNA(VLOOKUP(C33,Table1[],2,FALSE),"")</f>
        <v>#0060FF</v>
      </c>
      <c r="E33" s="9" t="s">
        <v>43</v>
      </c>
      <c r="F33" s="5" t="s">
        <v>23</v>
      </c>
      <c r="G33" s="5" t="str">
        <f>_xlfn.IFNA(VLOOKUP(F33,Table1[],2,FALSE),"")</f>
        <v>#C700D3</v>
      </c>
    </row>
    <row r="34" spans="1:7" ht="15" customHeight="1" x14ac:dyDescent="0.25">
      <c r="A34" s="8" t="s">
        <v>5</v>
      </c>
      <c r="B34" s="4" t="s">
        <v>48</v>
      </c>
      <c r="C34" s="5" t="s">
        <v>23</v>
      </c>
      <c r="D34" s="5" t="str">
        <f>_xlfn.IFNA(VLOOKUP(C34,Table1[],2,FALSE),"")</f>
        <v>#C700D3</v>
      </c>
      <c r="E34" s="9" t="s">
        <v>41</v>
      </c>
      <c r="F34" s="5" t="s">
        <v>20</v>
      </c>
      <c r="G34" s="5" t="str">
        <f>_xlfn.IFNA(VLOOKUP(F34,Table1[],2,FALSE),"")</f>
        <v>#FF5000</v>
      </c>
    </row>
    <row r="35" spans="1:7" ht="15" customHeight="1" x14ac:dyDescent="0.25">
      <c r="A35" s="8" t="s">
        <v>5</v>
      </c>
      <c r="B35" s="4" t="s">
        <v>48</v>
      </c>
      <c r="C35" s="5" t="s">
        <v>23</v>
      </c>
      <c r="D35" s="5" t="str">
        <f>_xlfn.IFNA(VLOOKUP(C35,Table1[],2,FALSE),"")</f>
        <v>#C700D3</v>
      </c>
      <c r="E35" s="9" t="s">
        <v>37</v>
      </c>
      <c r="F35" s="5" t="s">
        <v>9</v>
      </c>
      <c r="G35" s="5" t="str">
        <f>_xlfn.IFNA(VLOOKUP(F35,Table1[],2,FALSE),"")</f>
        <v>#0060FF</v>
      </c>
    </row>
    <row r="36" spans="1:7" ht="15" hidden="1" customHeight="1" x14ac:dyDescent="0.25">
      <c r="A36" s="8" t="s">
        <v>5</v>
      </c>
      <c r="B36" s="4"/>
      <c r="C36" s="5"/>
      <c r="D36" s="5" t="str">
        <f>_xlfn.IFNA(VLOOKUP(C36,Table1[],2,FALSE),"")</f>
        <v/>
      </c>
      <c r="E36" s="4"/>
      <c r="F36" s="5"/>
      <c r="G36" s="5" t="str">
        <f>_xlfn.IFNA(VLOOKUP(F36,Table1[],2,FALSE),"")</f>
        <v/>
      </c>
    </row>
    <row r="37" spans="1:7" ht="15" hidden="1" customHeight="1" x14ac:dyDescent="0.25">
      <c r="A37" s="8" t="s">
        <v>5</v>
      </c>
      <c r="B37" s="4"/>
      <c r="C37" s="5"/>
      <c r="D37" s="5" t="str">
        <f>_xlfn.IFNA(VLOOKUP(C37,Table1[],2,FALSE),"")</f>
        <v/>
      </c>
      <c r="E37" s="5"/>
      <c r="F37" s="5"/>
      <c r="G37" s="5" t="str">
        <f>_xlfn.IFNA(VLOOKUP(F37,Table1[],2,FALSE),"")</f>
        <v/>
      </c>
    </row>
    <row r="38" spans="1:7" ht="15" hidden="1" customHeight="1" x14ac:dyDescent="0.25">
      <c r="A38" s="8" t="s">
        <v>5</v>
      </c>
      <c r="B38" s="4"/>
      <c r="C38" s="5"/>
      <c r="D38" s="5" t="str">
        <f>_xlfn.IFNA(VLOOKUP(C38,Table1[],2,FALSE),"")</f>
        <v/>
      </c>
      <c r="E38" s="4"/>
      <c r="F38" s="5"/>
      <c r="G38" s="5" t="str">
        <f>_xlfn.IFNA(VLOOKUP(F38,Table1[],2,FALSE),"")</f>
        <v/>
      </c>
    </row>
    <row r="39" spans="1:7" ht="15" hidden="1" customHeight="1" x14ac:dyDescent="0.25">
      <c r="A39" s="8" t="s">
        <v>5</v>
      </c>
      <c r="B39" s="4"/>
      <c r="C39" s="5"/>
      <c r="D39" s="5" t="str">
        <f>_xlfn.IFNA(VLOOKUP(C39,Table1[],2,FALSE),"")</f>
        <v/>
      </c>
      <c r="E39" s="4"/>
      <c r="F39" s="5"/>
      <c r="G39" s="5" t="str">
        <f>_xlfn.IFNA(VLOOKUP(F39,Table1[],2,FALSE),"")</f>
        <v/>
      </c>
    </row>
    <row r="40" spans="1:7" ht="15" hidden="1" customHeight="1" x14ac:dyDescent="0.25">
      <c r="A40" s="8" t="s">
        <v>5</v>
      </c>
      <c r="B40" s="4"/>
      <c r="C40" s="5"/>
      <c r="D40" s="5" t="str">
        <f>_xlfn.IFNA(VLOOKUP(C40,Table1[],2,FALSE),"")</f>
        <v/>
      </c>
      <c r="E40" s="5"/>
      <c r="F40" s="5"/>
      <c r="G40" s="5" t="str">
        <f>_xlfn.IFNA(VLOOKUP(F40,Table1[],2,FALSE),"")</f>
        <v/>
      </c>
    </row>
    <row r="41" spans="1:7" ht="15" hidden="1" customHeight="1" x14ac:dyDescent="0.25">
      <c r="A41" s="8" t="s">
        <v>5</v>
      </c>
      <c r="B41" s="4"/>
      <c r="C41" s="5"/>
      <c r="D41" s="5" t="str">
        <f>_xlfn.IFNA(VLOOKUP(C41,Table1[],2,FALSE),"")</f>
        <v/>
      </c>
      <c r="E41" s="4"/>
      <c r="F41" s="5"/>
      <c r="G41" s="5" t="str">
        <f>_xlfn.IFNA(VLOOKUP(F41,Table1[],2,FALSE),"")</f>
        <v/>
      </c>
    </row>
    <row r="42" spans="1:7" ht="15" hidden="1" customHeight="1" x14ac:dyDescent="0.25">
      <c r="A42" s="8" t="s">
        <v>5</v>
      </c>
      <c r="B42" s="4"/>
      <c r="C42" s="5"/>
      <c r="D42" s="5" t="str">
        <f>_xlfn.IFNA(VLOOKUP(C42,Table1[],2,FALSE),"")</f>
        <v/>
      </c>
      <c r="E42" s="4"/>
      <c r="F42" s="5"/>
      <c r="G42" s="5" t="str">
        <f>_xlfn.IFNA(VLOOKUP(F42,Table1[],2,FALSE),"")</f>
        <v/>
      </c>
    </row>
    <row r="43" spans="1:7" ht="15" customHeight="1" x14ac:dyDescent="0.25"/>
    <row r="44" spans="1:7" ht="15" customHeight="1" x14ac:dyDescent="0.25"/>
    <row r="45" spans="1:7" ht="15" customHeight="1" x14ac:dyDescent="0.25"/>
    <row r="46" spans="1:7" ht="15" customHeight="1" x14ac:dyDescent="0.25"/>
  </sheetData>
  <autoFilter ref="A1:G42" xr:uid="{419810F7-B0D2-4B07-9094-F238C90331AE}">
    <filterColumn colId="1">
      <customFilters>
        <customFilter operator="notEqual" val=" "/>
      </custom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D09AB4E-5165-4690-957F-09BF3638D8B9}">
          <x14:formula1>
            <xm:f>CATA!$A$1:$A$4</xm:f>
          </x14:formula1>
          <xm:sqref>C1</xm:sqref>
        </x14:dataValidation>
        <x14:dataValidation type="list" allowBlank="1" showInputMessage="1" showErrorMessage="1" xr:uid="{602A6896-E8B4-472A-B2B4-938444146902}">
          <x14:formula1>
            <xm:f>CATA!$A$2:$A$7</xm:f>
          </x14:formula1>
          <xm:sqref>C43:C60</xm:sqref>
        </x14:dataValidation>
        <x14:dataValidation type="list" allowBlank="1" showInputMessage="1" showErrorMessage="1" xr:uid="{A052AC63-A0DA-4F28-8564-19C7AC3133D9}">
          <x14:formula1>
            <xm:f>CATA!$A:$A</xm:f>
          </x14:formula1>
          <xm:sqref>C2:C42 F2:F42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f0cdc8-4de3-4117-a0d7-8fd86872aa5a" xsi:nil="true"/>
    <lcf76f155ced4ddcb4097134ff3c332f xmlns="6041b3ba-1188-45b5-a271-dfb9a9a8da5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3c8d67e1dd6cd218e736507e601e000a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824c48bdaea88d6a16c16658edfce594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34F16-EFDF-4444-AE8F-A62837517F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288771-2173-4E57-ABB4-CC13103186B4}">
  <ds:schemaRefs>
    <ds:schemaRef ds:uri="http://schemas.microsoft.com/office/2006/metadata/properties"/>
    <ds:schemaRef ds:uri="http://schemas.microsoft.com/office/infopath/2007/PartnerControls"/>
    <ds:schemaRef ds:uri="35f0cdc8-4de3-4117-a0d7-8fd86872aa5a"/>
    <ds:schemaRef ds:uri="6041b3ba-1188-45b5-a271-dfb9a9a8da5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5E2D711-E6C4-4105-B153-26DCE66A6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Naranjo, Juan Manuel (MB)</dc:creator>
  <cp:keywords/>
  <dc:description/>
  <cp:lastModifiedBy>Fernando Monrroy</cp:lastModifiedBy>
  <cp:revision/>
  <dcterms:created xsi:type="dcterms:W3CDTF">2023-03-08T23:52:23Z</dcterms:created>
  <dcterms:modified xsi:type="dcterms:W3CDTF">2026-04-29T15:23:47Z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2023-03-09T00:03:50Z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8d6fd771-3bb7-4f90-ba8c-309a5c8881f8</vt:lpwstr>
  </property>
  <property fmtid="{D5CDD505-2E9C-101B-9397-08002B2CF9AE}" pid="8" name="MSIP_Label_3741da7a-79c1-417c-b408-16c0bfe99fca_ContentBits">
    <vt:lpwstr>0</vt:lpwstr>
  </property>
  <property fmtid="{D5CDD505-2E9C-101B-9397-08002B2CF9AE}" pid="9" name="ContentTypeId">
    <vt:lpwstr>0x0101009A5B2EB65F0D434998DAF77486C1C599</vt:lpwstr>
  </property>
  <property fmtid="{D5CDD505-2E9C-101B-9397-08002B2CF9AE}" pid="10" name="MediaServiceImageTags">
    <vt:lpwstr/>
  </property>
</Properties>
</file>