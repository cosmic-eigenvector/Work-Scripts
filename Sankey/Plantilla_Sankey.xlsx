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Sankey/"/>
    </mc:Choice>
  </mc:AlternateContent>
  <xr:revisionPtr revIDLastSave="3402" documentId="8_{6827BAFE-657F-4ACA-B1D3-D71E74243AC1}" xr6:coauthVersionLast="47" xr6:coauthVersionMax="47" xr10:uidLastSave="{3C3EE681-EE85-4ED0-8E3A-2B5E3F07A8F9}"/>
  <bookViews>
    <workbookView xWindow="-120" yWindow="-120" windowWidth="29040" windowHeight="15720" xr2:uid="{C99B84B2-8793-448B-88D3-8A7536EE35E2}"/>
  </bookViews>
  <sheets>
    <sheet name="Liverpool vs Path Comms" sheetId="20" r:id="rId1"/>
    <sheet name="Liverpool vs Cat" sheetId="19" r:id="rId2"/>
    <sheet name="Empeños" sheetId="18" r:id="rId3"/>
    <sheet name="CATA" sheetId="2" r:id="rId4"/>
    <sheet name="Template" sheetId="1" r:id="rId5"/>
    <sheet name="BSA Protex IMG w Imp" sheetId="17" r:id="rId6"/>
    <sheet name="BSA Protex IMG" sheetId="16" r:id="rId7"/>
    <sheet name="ACT Placer Ciudad Posadas" sheetId="14" r:id="rId8"/>
    <sheet name="Placer Ciudad Posadas" sheetId="13" r:id="rId9"/>
    <sheet name="Lipton BR vs H2OH BR" sheetId="12" r:id="rId10"/>
    <sheet name="H2OH BR VS AR" sheetId="10" r:id="rId11"/>
    <sheet name="H2OH BR VS CO" sheetId="11" r:id="rId12"/>
    <sheet name="BSA Corona Capital" sheetId="15" r:id="rId13"/>
    <sheet name="Pacifico IMG vs Cat" sheetId="3" r:id="rId14"/>
    <sheet name="Pacifico IMG vs Pac" sheetId="4" r:id="rId15"/>
    <sheet name="Pacifico ACT vs Client" sheetId="6" r:id="rId16"/>
    <sheet name="Pacifico POS vs Client" sheetId="7" r:id="rId17"/>
    <sheet name="Pacifico OCC vs Client" sheetId="8" r:id="rId18"/>
    <sheet name="Sheet1" sheetId="9" r:id="rId19"/>
  </sheets>
  <definedNames>
    <definedName name="_xlnm._FilterDatabase" localSheetId="7" hidden="1">'ACT Placer Ciudad Posadas'!$A$1:$E$42</definedName>
    <definedName name="_xlnm._FilterDatabase" localSheetId="12" hidden="1">'BSA Corona Capital'!$A$1:$E$41</definedName>
    <definedName name="_xlnm._FilterDatabase" localSheetId="6" hidden="1">'BSA Protex IMG'!$A$1:$E$65</definedName>
    <definedName name="_xlnm._FilterDatabase" localSheetId="5" hidden="1">'BSA Protex IMG w Imp'!$A$1:$E$65</definedName>
    <definedName name="_xlnm._FilterDatabase" localSheetId="2" hidden="1">Empeños!$A$1:$E$42</definedName>
    <definedName name="_xlnm._FilterDatabase" localSheetId="10" hidden="1">'H2OH BR VS AR'!$A$1:$G$95</definedName>
    <definedName name="_xlnm._FilterDatabase" localSheetId="11" hidden="1">'H2OH BR VS CO'!$A$1:$F$95</definedName>
    <definedName name="_xlnm._FilterDatabase" localSheetId="9" hidden="1">'Lipton BR vs H2OH BR'!$A$1:$H$95</definedName>
    <definedName name="_xlnm._FilterDatabase" localSheetId="1" hidden="1">'Liverpool vs Cat'!$A$1:$F$63</definedName>
    <definedName name="_xlnm._FilterDatabase" localSheetId="0" hidden="1">'Liverpool vs Path Comms'!$A$1:$G$63</definedName>
    <definedName name="_xlnm._FilterDatabase" localSheetId="15" hidden="1">'Pacifico ACT vs Client'!$A$1:$E$31</definedName>
    <definedName name="_xlnm._FilterDatabase" localSheetId="13" hidden="1">'Pacifico IMG vs Cat'!$A$1:$E$41</definedName>
    <definedName name="_xlnm._FilterDatabase" localSheetId="14" hidden="1">'Pacifico IMG vs Pac'!$A$1:$E$41</definedName>
    <definedName name="_xlnm._FilterDatabase" localSheetId="17" hidden="1">'Pacifico OCC vs Client'!$A$1:$E$25</definedName>
    <definedName name="_xlnm._FilterDatabase" localSheetId="16" hidden="1">'Pacifico POS vs Client'!$A$1:$E$19</definedName>
    <definedName name="_xlnm._FilterDatabase" localSheetId="8" hidden="1">'Placer Ciudad Posadas'!$A$1:$F$67</definedName>
    <definedName name="_xlnm._FilterDatabase" localSheetId="18" hidden="1">Sheet1!$B$2:$J$2</definedName>
    <definedName name="_xlnm._FilterDatabase" localSheetId="4" hidden="1">Template!$A$1:$E$42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0" l="1"/>
  <c r="D5" i="20"/>
  <c r="D8" i="20"/>
  <c r="D31" i="20"/>
  <c r="D21" i="20"/>
  <c r="D26" i="20"/>
  <c r="D29" i="20"/>
  <c r="D22" i="20"/>
  <c r="D11" i="20"/>
  <c r="D30" i="20"/>
  <c r="D2" i="20"/>
  <c r="D3" i="20"/>
  <c r="D24" i="20"/>
  <c r="D9" i="20"/>
  <c r="D17" i="20"/>
  <c r="D18" i="20"/>
  <c r="D20" i="20"/>
  <c r="D25" i="20"/>
  <c r="D23" i="20"/>
  <c r="D16" i="20"/>
  <c r="D27" i="20"/>
  <c r="D6" i="20"/>
  <c r="D28" i="20"/>
  <c r="D13" i="20"/>
  <c r="D12" i="20"/>
  <c r="D32" i="20"/>
  <c r="D10" i="20"/>
  <c r="D7" i="20"/>
  <c r="D15" i="20"/>
  <c r="D19" i="20"/>
  <c r="D14" i="20"/>
  <c r="D62" i="20"/>
  <c r="D52" i="20"/>
  <c r="D57" i="20"/>
  <c r="D35" i="20"/>
  <c r="D50" i="20"/>
  <c r="D60" i="20"/>
  <c r="D45" i="20"/>
  <c r="D56" i="20"/>
  <c r="D49" i="20"/>
  <c r="D51" i="20"/>
  <c r="D53" i="20"/>
  <c r="D42" i="20"/>
  <c r="D54" i="20"/>
  <c r="D61" i="20"/>
  <c r="D47" i="20"/>
  <c r="D58" i="20"/>
  <c r="D33" i="20"/>
  <c r="D34" i="20"/>
  <c r="D36" i="20"/>
  <c r="D44" i="20"/>
  <c r="D43" i="20"/>
  <c r="D55" i="20"/>
  <c r="D39" i="20"/>
  <c r="D63" i="20"/>
  <c r="D37" i="20"/>
  <c r="D59" i="20"/>
  <c r="D40" i="20"/>
  <c r="D48" i="20"/>
  <c r="D41" i="20"/>
  <c r="D38" i="20"/>
  <c r="D46" i="20"/>
  <c r="D1" i="20"/>
  <c r="D48" i="19"/>
  <c r="D49" i="19"/>
  <c r="D50" i="19"/>
  <c r="D57" i="19"/>
  <c r="D33" i="19"/>
  <c r="D34" i="19"/>
  <c r="D35" i="19"/>
  <c r="D58" i="19"/>
  <c r="D40" i="19"/>
  <c r="D41" i="19"/>
  <c r="D51" i="19"/>
  <c r="D52" i="19"/>
  <c r="D53" i="19"/>
  <c r="D59" i="19"/>
  <c r="D60" i="19"/>
  <c r="D42" i="19"/>
  <c r="D54" i="19"/>
  <c r="D55" i="19"/>
  <c r="D56" i="19"/>
  <c r="D43" i="19"/>
  <c r="D44" i="19"/>
  <c r="D61" i="19"/>
  <c r="D62" i="19"/>
  <c r="D63" i="19"/>
  <c r="D2" i="19"/>
  <c r="D3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47" i="19"/>
  <c r="D46" i="19"/>
  <c r="D39" i="19"/>
  <c r="D45" i="19"/>
  <c r="D38" i="19"/>
  <c r="D37" i="19"/>
  <c r="D36" i="19"/>
  <c r="D1" i="19"/>
  <c r="D20" i="18"/>
  <c r="D8" i="18"/>
  <c r="D12" i="18"/>
  <c r="D36" i="18"/>
  <c r="D24" i="18"/>
  <c r="D34" i="18"/>
  <c r="D28" i="18"/>
  <c r="D26" i="18"/>
  <c r="D4" i="18"/>
  <c r="D22" i="18"/>
  <c r="D32" i="18"/>
  <c r="D16" i="18"/>
  <c r="D2" i="18"/>
  <c r="D6" i="18"/>
  <c r="D10" i="18"/>
  <c r="D30" i="18"/>
  <c r="D18" i="18"/>
  <c r="D14" i="18"/>
  <c r="D42" i="18"/>
  <c r="D41" i="18"/>
  <c r="D40" i="18"/>
  <c r="D39" i="18"/>
  <c r="D9" i="18"/>
  <c r="D13" i="18"/>
  <c r="D37" i="18"/>
  <c r="D25" i="18"/>
  <c r="D35" i="18"/>
  <c r="D29" i="18"/>
  <c r="D27" i="18"/>
  <c r="D5" i="18"/>
  <c r="D23" i="18"/>
  <c r="D33" i="18"/>
  <c r="D17" i="18"/>
  <c r="D3" i="18"/>
  <c r="D7" i="18"/>
  <c r="D11" i="18"/>
  <c r="D31" i="18"/>
  <c r="D21" i="18"/>
  <c r="D15" i="18"/>
  <c r="D1" i="18"/>
  <c r="D33" i="17"/>
  <c r="D32" i="17"/>
  <c r="D31" i="17"/>
  <c r="D30" i="17"/>
  <c r="D29" i="17"/>
  <c r="D28" i="17"/>
  <c r="D27" i="17"/>
  <c r="D26" i="17"/>
  <c r="D65" i="17"/>
  <c r="D64" i="17"/>
  <c r="D63" i="17"/>
  <c r="D62" i="17"/>
  <c r="D61" i="17"/>
  <c r="D60" i="17"/>
  <c r="D25" i="17"/>
  <c r="D24" i="17"/>
  <c r="D23" i="17"/>
  <c r="D22" i="17"/>
  <c r="D21" i="17"/>
  <c r="D20" i="17"/>
  <c r="D19" i="17"/>
  <c r="D18" i="17"/>
  <c r="D17" i="17"/>
  <c r="D59" i="17"/>
  <c r="D58" i="17"/>
  <c r="D57" i="17"/>
  <c r="D56" i="17"/>
  <c r="D55" i="17"/>
  <c r="D54" i="17"/>
  <c r="D53" i="17"/>
  <c r="D52" i="17"/>
  <c r="D51" i="17"/>
  <c r="D50" i="17"/>
  <c r="D16" i="17"/>
  <c r="D15" i="17"/>
  <c r="D14" i="17"/>
  <c r="D13" i="17"/>
  <c r="D12" i="17"/>
  <c r="D11" i="17"/>
  <c r="D10" i="17"/>
  <c r="D9" i="17"/>
  <c r="D49" i="17"/>
  <c r="D48" i="17"/>
  <c r="D47" i="17"/>
  <c r="D46" i="17"/>
  <c r="D45" i="17"/>
  <c r="D8" i="17"/>
  <c r="D7" i="17"/>
  <c r="D6" i="17"/>
  <c r="D44" i="17"/>
  <c r="D43" i="17"/>
  <c r="D42" i="17"/>
  <c r="D41" i="17"/>
  <c r="D40" i="17"/>
  <c r="D39" i="17"/>
  <c r="D38" i="17"/>
  <c r="D5" i="17"/>
  <c r="D4" i="17"/>
  <c r="D3" i="17"/>
  <c r="D2" i="17"/>
  <c r="D37" i="17"/>
  <c r="D36" i="17"/>
  <c r="D35" i="17"/>
  <c r="D34" i="17"/>
  <c r="D1" i="17"/>
  <c r="D50" i="16"/>
  <c r="D32" i="16"/>
  <c r="D31" i="16"/>
  <c r="D19" i="16"/>
  <c r="D18" i="16"/>
  <c r="D51" i="16"/>
  <c r="D9" i="16"/>
  <c r="D8" i="16"/>
  <c r="D44" i="16"/>
  <c r="D43" i="16"/>
  <c r="D26" i="16"/>
  <c r="D25" i="16"/>
  <c r="D30" i="16"/>
  <c r="D14" i="16"/>
  <c r="D13" i="16"/>
  <c r="D38" i="16"/>
  <c r="D37" i="16"/>
  <c r="D36" i="16"/>
  <c r="D35" i="16"/>
  <c r="D5" i="16"/>
  <c r="D56" i="16"/>
  <c r="D34" i="16"/>
  <c r="D55" i="16"/>
  <c r="D29" i="16"/>
  <c r="D28" i="16"/>
  <c r="D27" i="16"/>
  <c r="D49" i="16"/>
  <c r="D48" i="16"/>
  <c r="D17" i="16"/>
  <c r="D47" i="16"/>
  <c r="D46" i="16"/>
  <c r="D45" i="16"/>
  <c r="D7" i="16"/>
  <c r="D6" i="16"/>
  <c r="D65" i="16"/>
  <c r="D64" i="16"/>
  <c r="D63" i="16"/>
  <c r="D62" i="16"/>
  <c r="D61" i="16"/>
  <c r="D60" i="16"/>
  <c r="D59" i="16"/>
  <c r="D58" i="16"/>
  <c r="D42" i="16"/>
  <c r="D57" i="16"/>
  <c r="D54" i="16"/>
  <c r="D16" i="16"/>
  <c r="D15" i="16"/>
  <c r="D41" i="16"/>
  <c r="D53" i="16"/>
  <c r="D52" i="16"/>
  <c r="D40" i="16"/>
  <c r="D39" i="16"/>
  <c r="D12" i="16"/>
  <c r="D11" i="16"/>
  <c r="D4" i="16"/>
  <c r="D3" i="16"/>
  <c r="D33" i="16"/>
  <c r="D2" i="16"/>
  <c r="D10" i="16"/>
  <c r="D24" i="16"/>
  <c r="D23" i="16"/>
  <c r="D22" i="16"/>
  <c r="D21" i="16"/>
  <c r="D20" i="16"/>
  <c r="D1" i="16"/>
  <c r="D30" i="15"/>
  <c r="D31" i="15"/>
  <c r="D32" i="15"/>
  <c r="D33" i="15"/>
  <c r="D34" i="15"/>
  <c r="D35" i="15"/>
  <c r="D11" i="15"/>
  <c r="D36" i="15"/>
  <c r="D37" i="15"/>
  <c r="D38" i="15"/>
  <c r="D12" i="15"/>
  <c r="D13" i="15"/>
  <c r="D14" i="15"/>
  <c r="D15" i="15"/>
  <c r="D16" i="15"/>
  <c r="D39" i="15"/>
  <c r="D40" i="15"/>
  <c r="D41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5" i="15"/>
  <c r="D6" i="15"/>
  <c r="D7" i="15"/>
  <c r="D8" i="15"/>
  <c r="D9" i="15"/>
  <c r="D10" i="15"/>
  <c r="D2" i="15"/>
  <c r="D4" i="15"/>
  <c r="D3" i="15"/>
  <c r="D1" i="15"/>
  <c r="D20" i="14"/>
  <c r="D19" i="14"/>
  <c r="D18" i="14"/>
  <c r="D17" i="14"/>
  <c r="D16" i="14"/>
  <c r="D15" i="14"/>
  <c r="D14" i="14"/>
  <c r="D13" i="14"/>
  <c r="D12" i="14"/>
  <c r="D9" i="14"/>
  <c r="D11" i="14"/>
  <c r="D10" i="14"/>
  <c r="D8" i="14"/>
  <c r="D7" i="14"/>
  <c r="D6" i="14"/>
  <c r="D5" i="14"/>
  <c r="D4" i="14"/>
  <c r="D3" i="14"/>
  <c r="D2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29" i="14"/>
  <c r="D28" i="14"/>
  <c r="D25" i="14"/>
  <c r="D26" i="14"/>
  <c r="D22" i="14"/>
  <c r="D30" i="14"/>
  <c r="D27" i="14"/>
  <c r="D21" i="14"/>
  <c r="D24" i="14"/>
  <c r="D23" i="14"/>
  <c r="D1" i="14"/>
  <c r="D35" i="13"/>
  <c r="D48" i="13"/>
  <c r="D36" i="13"/>
  <c r="D49" i="13"/>
  <c r="D45" i="13"/>
  <c r="D37" i="13"/>
  <c r="D41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20" i="13"/>
  <c r="D19" i="13"/>
  <c r="D18" i="13"/>
  <c r="D17" i="13"/>
  <c r="D16" i="13"/>
  <c r="D9" i="13"/>
  <c r="D3" i="13"/>
  <c r="D12" i="13"/>
  <c r="D15" i="13"/>
  <c r="D8" i="13"/>
  <c r="D2" i="13"/>
  <c r="D11" i="13"/>
  <c r="D14" i="13"/>
  <c r="D7" i="13"/>
  <c r="D5" i="13"/>
  <c r="D13" i="13"/>
  <c r="D10" i="13"/>
  <c r="D4" i="13"/>
  <c r="D6" i="13"/>
  <c r="D46" i="13"/>
  <c r="D47" i="13"/>
  <c r="D44" i="13"/>
  <c r="D43" i="13"/>
  <c r="D42" i="13"/>
  <c r="D40" i="13"/>
  <c r="D39" i="13"/>
  <c r="D38" i="13"/>
  <c r="D29" i="13"/>
  <c r="D21" i="13"/>
  <c r="D34" i="13"/>
  <c r="D24" i="13"/>
  <c r="D23" i="13"/>
  <c r="D22" i="13"/>
  <c r="D28" i="13"/>
  <c r="D27" i="13"/>
  <c r="D26" i="13"/>
  <c r="D25" i="13"/>
  <c r="D33" i="13"/>
  <c r="D32" i="13"/>
  <c r="D31" i="13"/>
  <c r="D30" i="13"/>
  <c r="D1" i="13"/>
  <c r="D4" i="12"/>
  <c r="D6" i="12"/>
  <c r="D5" i="12"/>
  <c r="D22" i="12"/>
  <c r="D2" i="12"/>
  <c r="D3" i="12"/>
  <c r="D17" i="12"/>
  <c r="D7" i="12"/>
  <c r="D15" i="12"/>
  <c r="D46" i="12"/>
  <c r="D21" i="12"/>
  <c r="D36" i="12"/>
  <c r="D10" i="12"/>
  <c r="D47" i="12"/>
  <c r="D9" i="12"/>
  <c r="D8" i="12"/>
  <c r="D42" i="12"/>
  <c r="D44" i="12"/>
  <c r="D45" i="12"/>
  <c r="D26" i="12"/>
  <c r="D25" i="12"/>
  <c r="D34" i="12"/>
  <c r="D27" i="12"/>
  <c r="D18" i="12"/>
  <c r="D28" i="12"/>
  <c r="D23" i="12"/>
  <c r="D24" i="12"/>
  <c r="D31" i="12"/>
  <c r="D19" i="12"/>
  <c r="D29" i="12"/>
  <c r="D30" i="12"/>
  <c r="D41" i="12"/>
  <c r="D11" i="12"/>
  <c r="D33" i="12"/>
  <c r="D14" i="12"/>
  <c r="D16" i="12"/>
  <c r="D13" i="12"/>
  <c r="D37" i="12"/>
  <c r="D12" i="12"/>
  <c r="D20" i="12"/>
  <c r="D43" i="12"/>
  <c r="D38" i="12"/>
  <c r="D39" i="12"/>
  <c r="D48" i="12"/>
  <c r="D32" i="12"/>
  <c r="D35" i="12"/>
  <c r="D40" i="12"/>
  <c r="D87" i="12" l="1"/>
  <c r="D82" i="12"/>
  <c r="D79" i="12"/>
  <c r="D95" i="12"/>
  <c r="D86" i="12"/>
  <c r="D85" i="12"/>
  <c r="D90" i="12"/>
  <c r="D67" i="12"/>
  <c r="D84" i="12"/>
  <c r="D80" i="12"/>
  <c r="D60" i="12"/>
  <c r="D63" i="12"/>
  <c r="D61" i="12"/>
  <c r="D78" i="12"/>
  <c r="D71" i="12"/>
  <c r="D88" i="12"/>
  <c r="D77" i="12"/>
  <c r="D76" i="12"/>
  <c r="D70" i="12"/>
  <c r="D66" i="12"/>
  <c r="D59" i="12"/>
  <c r="D58" i="12"/>
  <c r="D75" i="12"/>
  <c r="D65" i="12"/>
  <c r="D74" i="12"/>
  <c r="D81" i="12"/>
  <c r="D72" i="12"/>
  <c r="D73" i="12"/>
  <c r="D92" i="12"/>
  <c r="D91" i="12"/>
  <c r="D89" i="12"/>
  <c r="D55" i="12"/>
  <c r="D56" i="12"/>
  <c r="D94" i="12"/>
  <c r="D57" i="12"/>
  <c r="D83" i="12"/>
  <c r="D68" i="12"/>
  <c r="D93" i="12"/>
  <c r="D62" i="12"/>
  <c r="D54" i="12"/>
  <c r="D64" i="12"/>
  <c r="D50" i="12"/>
  <c r="D49" i="12"/>
  <c r="D69" i="12"/>
  <c r="D52" i="12"/>
  <c r="D53" i="12"/>
  <c r="D51" i="12"/>
  <c r="D1" i="12"/>
  <c r="L3" i="10"/>
  <c r="L4" i="10"/>
  <c r="L5" i="10"/>
  <c r="L6" i="10"/>
  <c r="M6" i="10" s="1"/>
  <c r="L7" i="10"/>
  <c r="M7" i="10" s="1"/>
  <c r="L8" i="10"/>
  <c r="L9" i="10"/>
  <c r="L10" i="10"/>
  <c r="L11" i="10"/>
  <c r="L12" i="10"/>
  <c r="M12" i="10" s="1"/>
  <c r="L13" i="10"/>
  <c r="M13" i="10" s="1"/>
  <c r="L14" i="10"/>
  <c r="L15" i="10"/>
  <c r="M15" i="10" s="1"/>
  <c r="L16" i="10"/>
  <c r="M16" i="10" s="1"/>
  <c r="L17" i="10"/>
  <c r="M17" i="10" s="1"/>
  <c r="L18" i="10"/>
  <c r="M18" i="10" s="1"/>
  <c r="L19" i="10"/>
  <c r="M19" i="10" s="1"/>
  <c r="L20" i="10"/>
  <c r="M20" i="10" s="1"/>
  <c r="L21" i="10"/>
  <c r="M21" i="10" s="1"/>
  <c r="L22" i="10"/>
  <c r="M22" i="10" s="1"/>
  <c r="L23" i="10"/>
  <c r="M23" i="10" s="1"/>
  <c r="L24" i="10"/>
  <c r="M24" i="10" s="1"/>
  <c r="L25" i="10"/>
  <c r="L26" i="10"/>
  <c r="L27" i="10"/>
  <c r="L28" i="10"/>
  <c r="M28" i="10" s="1"/>
  <c r="L29" i="10"/>
  <c r="M29" i="10" s="1"/>
  <c r="L30" i="10"/>
  <c r="M30" i="10" s="1"/>
  <c r="L31" i="10"/>
  <c r="M31" i="10" s="1"/>
  <c r="L32" i="10"/>
  <c r="M32" i="10" s="1"/>
  <c r="L33" i="10"/>
  <c r="M33" i="10" s="1"/>
  <c r="L34" i="10"/>
  <c r="M34" i="10" s="1"/>
  <c r="L35" i="10"/>
  <c r="M35" i="10" s="1"/>
  <c r="L36" i="10"/>
  <c r="M36" i="10" s="1"/>
  <c r="L37" i="10"/>
  <c r="M37" i="10" s="1"/>
  <c r="L38" i="10"/>
  <c r="M38" i="10" s="1"/>
  <c r="L39" i="10"/>
  <c r="M39" i="10" s="1"/>
  <c r="L40" i="10"/>
  <c r="M40" i="10" s="1"/>
  <c r="L41" i="10"/>
  <c r="M41" i="10" s="1"/>
  <c r="L42" i="10"/>
  <c r="M42" i="10" s="1"/>
  <c r="L43" i="10"/>
  <c r="M43" i="10" s="1"/>
  <c r="L44" i="10"/>
  <c r="M44" i="10" s="1"/>
  <c r="L45" i="10"/>
  <c r="M45" i="10" s="1"/>
  <c r="L46" i="10"/>
  <c r="M46" i="10" s="1"/>
  <c r="L47" i="10"/>
  <c r="L48" i="10"/>
  <c r="L2" i="10"/>
  <c r="M2" i="10" s="1"/>
  <c r="M3" i="10"/>
  <c r="M4" i="10"/>
  <c r="M5" i="10"/>
  <c r="M8" i="10"/>
  <c r="M9" i="10"/>
  <c r="M10" i="10"/>
  <c r="M11" i="10"/>
  <c r="M14" i="10"/>
  <c r="M25" i="10"/>
  <c r="M26" i="10"/>
  <c r="M27" i="10"/>
  <c r="M47" i="10"/>
  <c r="M48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2" i="10"/>
  <c r="D76" i="11"/>
  <c r="D48" i="11"/>
  <c r="D47" i="11"/>
  <c r="D60" i="11"/>
  <c r="D62" i="11"/>
  <c r="D75" i="11"/>
  <c r="D45" i="11"/>
  <c r="D44" i="11"/>
  <c r="D43" i="11"/>
  <c r="D42" i="11"/>
  <c r="D38" i="11"/>
  <c r="D36" i="11"/>
  <c r="D25" i="11"/>
  <c r="D56" i="11"/>
  <c r="D57" i="11"/>
  <c r="D22" i="11"/>
  <c r="D29" i="11"/>
  <c r="D26" i="11"/>
  <c r="D20" i="11"/>
  <c r="D33" i="11"/>
  <c r="D18" i="11"/>
  <c r="D84" i="11"/>
  <c r="D64" i="11"/>
  <c r="D58" i="11"/>
  <c r="D17" i="11"/>
  <c r="D16" i="11"/>
  <c r="D15" i="11"/>
  <c r="D14" i="11"/>
  <c r="D12" i="11"/>
  <c r="D7" i="11"/>
  <c r="D6" i="11"/>
  <c r="D72" i="11"/>
  <c r="D70" i="11"/>
  <c r="D52" i="11"/>
  <c r="D51" i="11"/>
  <c r="D5" i="11"/>
  <c r="D4" i="11"/>
  <c r="D50" i="11"/>
  <c r="D49" i="11"/>
  <c r="D3" i="11"/>
  <c r="D2" i="11"/>
  <c r="D1" i="11"/>
  <c r="D75" i="10"/>
  <c r="D90" i="10"/>
  <c r="D56" i="10"/>
  <c r="D95" i="10"/>
  <c r="D66" i="10"/>
  <c r="D14" i="10"/>
  <c r="D25" i="10"/>
  <c r="D37" i="10"/>
  <c r="D16" i="10"/>
  <c r="D18" i="10"/>
  <c r="D42" i="10"/>
  <c r="D24" i="10"/>
  <c r="D23" i="10"/>
  <c r="D9" i="10"/>
  <c r="D88" i="10"/>
  <c r="D74" i="10"/>
  <c r="D89" i="10"/>
  <c r="D94" i="10"/>
  <c r="D64" i="10"/>
  <c r="D51" i="10"/>
  <c r="D52" i="10"/>
  <c r="D49" i="10"/>
  <c r="D50" i="10"/>
  <c r="D33" i="10"/>
  <c r="D48" i="10"/>
  <c r="D39" i="10"/>
  <c r="D43" i="10"/>
  <c r="D30" i="10"/>
  <c r="D40" i="10"/>
  <c r="D35" i="10"/>
  <c r="D4" i="10"/>
  <c r="D5" i="10"/>
  <c r="D2" i="10"/>
  <c r="D3" i="10"/>
  <c r="D6" i="10"/>
  <c r="D1" i="10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" i="7"/>
  <c r="L11" i="7"/>
  <c r="L12" i="7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3" i="9"/>
  <c r="G14" i="9"/>
  <c r="G15" i="9"/>
  <c r="G13" i="9"/>
  <c r="G6" i="9"/>
  <c r="G12" i="9"/>
  <c r="G3" i="9"/>
  <c r="G9" i="9"/>
  <c r="G8" i="9"/>
  <c r="G10" i="9"/>
  <c r="G11" i="9"/>
  <c r="G7" i="9"/>
  <c r="G16" i="9"/>
  <c r="G5" i="9"/>
  <c r="G4" i="9"/>
  <c r="G31" i="9"/>
  <c r="G21" i="9"/>
  <c r="G23" i="9"/>
  <c r="G22" i="9"/>
  <c r="G24" i="9"/>
  <c r="G36" i="9"/>
  <c r="G20" i="9"/>
  <c r="G18" i="9"/>
  <c r="G19" i="9"/>
  <c r="G27" i="9"/>
  <c r="G26" i="9"/>
  <c r="G25" i="9"/>
  <c r="G35" i="9"/>
  <c r="G33" i="9"/>
  <c r="G34" i="9"/>
  <c r="G32" i="9"/>
  <c r="G37" i="9"/>
  <c r="G28" i="9"/>
  <c r="G30" i="9"/>
  <c r="G29" i="9"/>
  <c r="G49" i="9"/>
  <c r="G47" i="9"/>
  <c r="G46" i="9"/>
  <c r="G43" i="9"/>
  <c r="G45" i="9"/>
  <c r="G44" i="9"/>
  <c r="G48" i="9"/>
  <c r="G38" i="9"/>
  <c r="G39" i="9"/>
  <c r="G40" i="9"/>
  <c r="G41" i="9"/>
  <c r="G42" i="9"/>
  <c r="G57" i="9"/>
  <c r="G58" i="9"/>
  <c r="G56" i="9"/>
  <c r="G53" i="9"/>
  <c r="G54" i="9"/>
  <c r="G55" i="9"/>
  <c r="G52" i="9"/>
  <c r="G50" i="9"/>
  <c r="G51" i="9"/>
  <c r="G63" i="9"/>
  <c r="G66" i="9"/>
  <c r="G64" i="9"/>
  <c r="G65" i="9"/>
  <c r="G60" i="9"/>
  <c r="G62" i="9"/>
  <c r="G61" i="9"/>
  <c r="G59" i="9"/>
  <c r="G68" i="9"/>
  <c r="G67" i="9"/>
  <c r="G17" i="9"/>
  <c r="F17" i="9"/>
  <c r="F14" i="9"/>
  <c r="F15" i="9"/>
  <c r="F13" i="9"/>
  <c r="F6" i="9"/>
  <c r="F12" i="9"/>
  <c r="F3" i="9"/>
  <c r="F9" i="9"/>
  <c r="F8" i="9"/>
  <c r="F10" i="9"/>
  <c r="F11" i="9"/>
  <c r="F7" i="9"/>
  <c r="F16" i="9"/>
  <c r="F5" i="9"/>
  <c r="F4" i="9"/>
  <c r="F31" i="9"/>
  <c r="F21" i="9"/>
  <c r="F23" i="9"/>
  <c r="F22" i="9"/>
  <c r="F24" i="9"/>
  <c r="F36" i="9"/>
  <c r="F20" i="9"/>
  <c r="F18" i="9"/>
  <c r="F19" i="9"/>
  <c r="F27" i="9"/>
  <c r="F26" i="9"/>
  <c r="F25" i="9"/>
  <c r="F35" i="9"/>
  <c r="F33" i="9"/>
  <c r="F34" i="9"/>
  <c r="F32" i="9"/>
  <c r="F37" i="9"/>
  <c r="F28" i="9"/>
  <c r="F30" i="9"/>
  <c r="F29" i="9"/>
  <c r="F49" i="9"/>
  <c r="F47" i="9"/>
  <c r="F46" i="9"/>
  <c r="F43" i="9"/>
  <c r="F45" i="9"/>
  <c r="F44" i="9"/>
  <c r="F48" i="9"/>
  <c r="F38" i="9"/>
  <c r="F39" i="9"/>
  <c r="F40" i="9"/>
  <c r="F41" i="9"/>
  <c r="F42" i="9"/>
  <c r="F57" i="9"/>
  <c r="F58" i="9"/>
  <c r="F56" i="9"/>
  <c r="F53" i="9"/>
  <c r="F54" i="9"/>
  <c r="F55" i="9"/>
  <c r="F52" i="9"/>
  <c r="F50" i="9"/>
  <c r="F51" i="9"/>
  <c r="F63" i="9"/>
  <c r="F66" i="9"/>
  <c r="F64" i="9"/>
  <c r="F65" i="9"/>
  <c r="F60" i="9"/>
  <c r="F62" i="9"/>
  <c r="F61" i="9"/>
  <c r="F59" i="9"/>
  <c r="F68" i="9"/>
  <c r="F67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" i="8"/>
  <c r="L22" i="8"/>
  <c r="L21" i="8"/>
  <c r="L20" i="8"/>
  <c r="L19" i="8"/>
  <c r="L18" i="8"/>
  <c r="L17" i="8"/>
  <c r="L16" i="8"/>
  <c r="L10" i="8"/>
  <c r="L9" i="8"/>
  <c r="L8" i="8"/>
  <c r="L7" i="8"/>
  <c r="L6" i="8"/>
  <c r="L5" i="8"/>
  <c r="L4" i="8"/>
  <c r="L5" i="7"/>
  <c r="L6" i="7"/>
  <c r="L10" i="7"/>
  <c r="L9" i="7"/>
  <c r="L4" i="7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17" i="6"/>
  <c r="B2" i="6"/>
  <c r="L6" i="6"/>
  <c r="B5" i="6" s="1"/>
  <c r="L7" i="6"/>
  <c r="B8" i="6" s="1"/>
  <c r="L8" i="6"/>
  <c r="B9" i="6" s="1"/>
  <c r="L9" i="6"/>
  <c r="B10" i="6" s="1"/>
  <c r="L10" i="6"/>
  <c r="B14" i="6" s="1"/>
  <c r="L11" i="6"/>
  <c r="B16" i="6" s="1"/>
  <c r="L12" i="6"/>
  <c r="B3" i="6" s="1"/>
  <c r="L5" i="6"/>
  <c r="L18" i="6"/>
  <c r="L19" i="6"/>
  <c r="L20" i="6"/>
  <c r="L17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M8" i="4"/>
  <c r="M9" i="4"/>
  <c r="M10" i="4"/>
  <c r="M11" i="4"/>
  <c r="M12" i="4"/>
  <c r="M7" i="4"/>
  <c r="L8" i="4"/>
  <c r="L9" i="4"/>
  <c r="L10" i="4"/>
  <c r="L11" i="4"/>
  <c r="L12" i="4"/>
  <c r="L7" i="4"/>
  <c r="H18" i="3"/>
  <c r="N47" i="3"/>
  <c r="H16" i="3" s="1"/>
  <c r="N48" i="3"/>
  <c r="H3" i="3" s="1"/>
  <c r="N49" i="3"/>
  <c r="H6" i="3" s="1"/>
  <c r="N50" i="3"/>
  <c r="H4" i="3" s="1"/>
  <c r="N51" i="3"/>
  <c r="H10" i="3" s="1"/>
  <c r="N52" i="3"/>
  <c r="H13" i="3" s="1"/>
  <c r="N53" i="3"/>
  <c r="N54" i="3"/>
  <c r="H21" i="3" s="1"/>
  <c r="N46" i="3"/>
  <c r="H2" i="3" s="1"/>
  <c r="M31" i="3"/>
  <c r="H34" i="3" s="1"/>
  <c r="M32" i="3"/>
  <c r="H39" i="3" s="1"/>
  <c r="M33" i="3"/>
  <c r="H36" i="3" s="1"/>
  <c r="M34" i="3"/>
  <c r="H22" i="3" s="1"/>
  <c r="M35" i="3"/>
  <c r="H35" i="3" s="1"/>
  <c r="M36" i="3"/>
  <c r="H38" i="3" s="1"/>
  <c r="M30" i="3"/>
  <c r="H27" i="3" s="1"/>
  <c r="H33" i="3" l="1"/>
  <c r="H32" i="3"/>
  <c r="H37" i="3"/>
  <c r="H31" i="3"/>
  <c r="H30" i="3"/>
  <c r="H23" i="3"/>
  <c r="D69" i="11"/>
  <c r="D68" i="11"/>
  <c r="D59" i="11"/>
  <c r="D82" i="11"/>
  <c r="D34" i="11"/>
  <c r="D71" i="11"/>
  <c r="D46" i="11"/>
  <c r="D63" i="11"/>
  <c r="D39" i="11"/>
  <c r="D67" i="11"/>
  <c r="H19" i="3"/>
  <c r="H20" i="3"/>
  <c r="H11" i="3"/>
  <c r="H12" i="3"/>
  <c r="H14" i="3"/>
  <c r="B13" i="6"/>
  <c r="B12" i="6"/>
  <c r="B15" i="6"/>
  <c r="B11" i="6"/>
  <c r="B7" i="6"/>
  <c r="B6" i="6"/>
  <c r="B4" i="6"/>
  <c r="H17" i="3"/>
  <c r="H15" i="3"/>
  <c r="H9" i="3"/>
  <c r="H8" i="3"/>
  <c r="H7" i="3"/>
  <c r="H5" i="3"/>
  <c r="H41" i="3"/>
  <c r="H40" i="3"/>
  <c r="H24" i="3"/>
  <c r="H28" i="3"/>
  <c r="H25" i="3"/>
  <c r="H29" i="3"/>
  <c r="H26" i="3"/>
  <c r="D21" i="8"/>
  <c r="D25" i="8"/>
  <c r="D17" i="8"/>
  <c r="D15" i="8"/>
  <c r="D19" i="8"/>
  <c r="D24" i="8"/>
  <c r="D22" i="8"/>
  <c r="D23" i="8"/>
  <c r="D16" i="8"/>
  <c r="D18" i="8"/>
  <c r="D14" i="8"/>
  <c r="D9" i="8"/>
  <c r="D10" i="8"/>
  <c r="D8" i="8"/>
  <c r="D7" i="8"/>
  <c r="D6" i="8"/>
  <c r="D11" i="8"/>
  <c r="D12" i="8"/>
  <c r="D13" i="8"/>
  <c r="D4" i="8"/>
  <c r="D3" i="8"/>
  <c r="D2" i="8"/>
  <c r="D5" i="8"/>
  <c r="D20" i="8"/>
  <c r="D1" i="8"/>
  <c r="D2" i="7"/>
  <c r="D3" i="7"/>
  <c r="D9" i="7"/>
  <c r="D10" i="7"/>
  <c r="D8" i="7"/>
  <c r="D7" i="7"/>
  <c r="D5" i="7"/>
  <c r="D6" i="7"/>
  <c r="D17" i="7"/>
  <c r="D14" i="7"/>
  <c r="D15" i="7"/>
  <c r="D13" i="7"/>
  <c r="D19" i="7"/>
  <c r="D16" i="7"/>
  <c r="D18" i="7"/>
  <c r="D11" i="7"/>
  <c r="D12" i="7"/>
  <c r="D4" i="7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9" i="3"/>
  <c r="D2" i="6"/>
  <c r="D10" i="6"/>
  <c r="D8" i="6"/>
  <c r="D16" i="6"/>
  <c r="D9" i="6"/>
  <c r="D5" i="6"/>
  <c r="D7" i="6"/>
  <c r="D6" i="6"/>
  <c r="D14" i="6"/>
  <c r="D12" i="6"/>
  <c r="D11" i="6"/>
  <c r="D15" i="6"/>
  <c r="D13" i="6"/>
  <c r="D3" i="6"/>
  <c r="D4" i="6"/>
  <c r="D29" i="6"/>
  <c r="D22" i="6"/>
  <c r="D27" i="6"/>
  <c r="D28" i="6"/>
  <c r="D21" i="6"/>
  <c r="D17" i="6"/>
  <c r="D31" i="6"/>
  <c r="D30" i="6"/>
  <c r="D23" i="6"/>
  <c r="D19" i="6"/>
  <c r="D18" i="6"/>
  <c r="D24" i="6"/>
  <c r="D20" i="6"/>
  <c r="D25" i="6"/>
  <c r="D26" i="6"/>
  <c r="D1" i="6"/>
  <c r="D21" i="4"/>
  <c r="D20" i="4"/>
  <c r="D19" i="4"/>
  <c r="D16" i="4"/>
  <c r="D15" i="4"/>
  <c r="D14" i="4"/>
  <c r="D13" i="4"/>
  <c r="D4" i="4"/>
  <c r="D3" i="4"/>
  <c r="D18" i="4"/>
  <c r="D9" i="4"/>
  <c r="D12" i="4"/>
  <c r="D11" i="4"/>
  <c r="D8" i="4"/>
  <c r="D10" i="4"/>
  <c r="D7" i="4"/>
  <c r="D6" i="4"/>
  <c r="D2" i="4"/>
  <c r="D17" i="4"/>
  <c r="D5" i="4"/>
  <c r="D1" i="4"/>
  <c r="D22" i="3"/>
  <c r="D2" i="3"/>
  <c r="D3" i="3"/>
  <c r="D23" i="3"/>
  <c r="D24" i="3"/>
  <c r="D25" i="3"/>
  <c r="D26" i="3"/>
  <c r="D27" i="3"/>
  <c r="D28" i="3"/>
  <c r="D29" i="3"/>
  <c r="D31" i="3"/>
  <c r="D32" i="3"/>
  <c r="D33" i="3"/>
  <c r="D34" i="3"/>
  <c r="D4" i="3"/>
  <c r="D5" i="3"/>
  <c r="D6" i="3"/>
  <c r="D7" i="3"/>
  <c r="D8" i="3"/>
  <c r="D35" i="3"/>
  <c r="D10" i="3"/>
  <c r="D36" i="3"/>
  <c r="D37" i="3"/>
  <c r="D38" i="3"/>
  <c r="D11" i="3"/>
  <c r="D12" i="3"/>
  <c r="D13" i="3"/>
  <c r="D14" i="3"/>
  <c r="D15" i="3"/>
  <c r="D16" i="3"/>
  <c r="D17" i="3"/>
  <c r="D18" i="3"/>
  <c r="D39" i="3"/>
  <c r="D40" i="3"/>
  <c r="D41" i="3"/>
  <c r="D19" i="3"/>
  <c r="D20" i="3"/>
  <c r="D21" i="3"/>
  <c r="D30" i="3"/>
  <c r="D1" i="3"/>
  <c r="D5" i="1"/>
  <c r="D11" i="1"/>
  <c r="D6" i="1"/>
  <c r="D14" i="1"/>
  <c r="D15" i="1"/>
  <c r="D9" i="1"/>
  <c r="D7" i="1"/>
  <c r="D16" i="1"/>
  <c r="D12" i="1"/>
  <c r="D17" i="1"/>
  <c r="D18" i="1"/>
  <c r="D19" i="1"/>
  <c r="D20" i="1"/>
  <c r="D21" i="1"/>
  <c r="D22" i="1"/>
  <c r="D23" i="1"/>
  <c r="D30" i="1"/>
  <c r="D25" i="1"/>
  <c r="D26" i="1"/>
  <c r="D27" i="1"/>
  <c r="D28" i="1"/>
  <c r="D38" i="1"/>
  <c r="D24" i="1"/>
  <c r="D37" i="1"/>
  <c r="D32" i="1"/>
  <c r="D33" i="1"/>
  <c r="D34" i="1"/>
  <c r="D29" i="1"/>
  <c r="D41" i="1"/>
  <c r="D42" i="1"/>
  <c r="D39" i="1"/>
  <c r="D40" i="1"/>
  <c r="D35" i="1"/>
  <c r="D36" i="1"/>
  <c r="D31" i="1"/>
  <c r="D8" i="1"/>
  <c r="D13" i="1"/>
  <c r="D3" i="1"/>
  <c r="D4" i="1"/>
  <c r="D2" i="1"/>
  <c r="D10" i="1"/>
  <c r="D9" i="11" l="1"/>
  <c r="D8" i="11"/>
  <c r="D81" i="11"/>
  <c r="D11" i="11"/>
  <c r="D53" i="11"/>
  <c r="D28" i="11"/>
  <c r="D27" i="11"/>
  <c r="D19" i="11"/>
  <c r="D77" i="11"/>
  <c r="D13" i="11"/>
  <c r="D66" i="11"/>
  <c r="D65" i="11"/>
  <c r="D26" i="10"/>
  <c r="D12" i="10"/>
  <c r="D7" i="10"/>
  <c r="D1" i="1"/>
  <c r="D10" i="11" l="1"/>
  <c r="D55" i="11"/>
  <c r="D54" i="11"/>
  <c r="D78" i="11"/>
  <c r="D86" i="11"/>
  <c r="D30" i="11"/>
  <c r="D40" i="11"/>
  <c r="D23" i="11"/>
  <c r="D11" i="10"/>
  <c r="D74" i="11" l="1"/>
  <c r="D79" i="11"/>
  <c r="D41" i="11"/>
  <c r="D24" i="11"/>
  <c r="D21" i="11"/>
  <c r="D37" i="11"/>
  <c r="D31" i="11"/>
  <c r="D19" i="10"/>
  <c r="D91" i="10"/>
  <c r="D94" i="11" l="1"/>
  <c r="D35" i="11"/>
  <c r="D92" i="10"/>
  <c r="D93" i="10"/>
  <c r="D61" i="11" l="1"/>
  <c r="D85" i="11"/>
  <c r="D32" i="11"/>
  <c r="D91" i="11"/>
  <c r="D90" i="11" l="1"/>
  <c r="D87" i="11"/>
  <c r="D88" i="11" l="1"/>
  <c r="D95" i="11"/>
  <c r="D65" i="10"/>
  <c r="D80" i="11" l="1"/>
  <c r="D93" i="11"/>
  <c r="D92" i="11"/>
  <c r="D45" i="10"/>
  <c r="D44" i="10"/>
  <c r="D73" i="11" l="1"/>
  <c r="D53" i="10"/>
  <c r="D21" i="10"/>
  <c r="D58" i="10"/>
  <c r="D57" i="10"/>
  <c r="D83" i="11" l="1"/>
  <c r="D89" i="11"/>
  <c r="D54" i="10"/>
  <c r="D59" i="10"/>
  <c r="D46" i="10"/>
  <c r="D61" i="10" l="1"/>
  <c r="D8" i="10"/>
  <c r="D55" i="10"/>
  <c r="D60" i="10"/>
  <c r="D15" i="10"/>
  <c r="D62" i="10" l="1"/>
  <c r="D63" i="10"/>
  <c r="D69" i="10" l="1"/>
  <c r="D67" i="10"/>
  <c r="D68" i="10" l="1"/>
  <c r="D47" i="10"/>
  <c r="D70" i="10" l="1"/>
  <c r="D71" i="10" l="1"/>
  <c r="D73" i="10" l="1"/>
  <c r="D72" i="10"/>
  <c r="D10" i="10"/>
  <c r="D22" i="10"/>
  <c r="D27" i="10"/>
  <c r="D77" i="10" l="1"/>
  <c r="D76" i="10"/>
  <c r="D29" i="10"/>
  <c r="D28" i="10"/>
  <c r="D31" i="10" l="1"/>
  <c r="D32" i="10"/>
  <c r="D78" i="10"/>
  <c r="D79" i="10" l="1"/>
  <c r="D34" i="10" l="1"/>
  <c r="D80" i="10"/>
  <c r="D17" i="10" l="1"/>
  <c r="D13" i="10" l="1"/>
  <c r="D81" i="10" l="1"/>
  <c r="D38" i="10"/>
  <c r="D36" i="10"/>
  <c r="D82" i="10" l="1"/>
  <c r="D83" i="10"/>
  <c r="D20" i="10"/>
  <c r="D41" i="10" l="1"/>
  <c r="D84" i="10" l="1"/>
  <c r="D85" i="10" l="1"/>
  <c r="D86" i="10" l="1"/>
  <c r="D87" i="10"/>
</calcChain>
</file>

<file path=xl/sharedStrings.xml><?xml version="1.0" encoding="utf-8"?>
<sst xmlns="http://schemas.openxmlformats.org/spreadsheetml/2006/main" count="4797" uniqueCount="743">
  <si>
    <t>NodeColor</t>
  </si>
  <si>
    <t>HexColor</t>
  </si>
  <si>
    <t>FactorType</t>
  </si>
  <si>
    <t>FactorName</t>
  </si>
  <si>
    <t>Attribute</t>
  </si>
  <si>
    <t>Tracking</t>
  </si>
  <si>
    <t>Path</t>
  </si>
  <si>
    <t>#802AB7</t>
  </si>
  <si>
    <t>Kantar Purple</t>
  </si>
  <si>
    <t>Kantar Blue</t>
  </si>
  <si>
    <t>#0060FF</t>
  </si>
  <si>
    <t>Kantar Sand</t>
  </si>
  <si>
    <t>#AEAE9F</t>
  </si>
  <si>
    <t>#00E5BA</t>
  </si>
  <si>
    <t>Kantar Teal</t>
  </si>
  <si>
    <t>#00B600</t>
  </si>
  <si>
    <t>Kantar Green</t>
  </si>
  <si>
    <t>Kantar Yellow</t>
  </si>
  <si>
    <t>#FEDB00</t>
  </si>
  <si>
    <t>#FF5000</t>
  </si>
  <si>
    <t>Kantar Orange</t>
  </si>
  <si>
    <t>#FA0028</t>
  </si>
  <si>
    <t>Kantar Red</t>
  </si>
  <si>
    <t>Kantar Magenta</t>
  </si>
  <si>
    <t>#C700D3</t>
  </si>
  <si>
    <t>Path = Right</t>
  </si>
  <si>
    <t>Tracking = Left</t>
  </si>
  <si>
    <t>#D9D9D9</t>
  </si>
  <si>
    <t>Kantar Light Grey</t>
  </si>
  <si>
    <t>Es una marca que se adecua a mi estilo</t>
  </si>
  <si>
    <t>Es una marca con la que me identifico</t>
  </si>
  <si>
    <t>Buena experiencia en tienda física</t>
  </si>
  <si>
    <t>Buena atención a cliente en tienda física</t>
  </si>
  <si>
    <t>Ofrece productos de buena calidad</t>
  </si>
  <si>
    <t>Buena experiencia en tienda en línea</t>
  </si>
  <si>
    <t>Tiene artículos de moda</t>
  </si>
  <si>
    <t>Opciones para todos los presupuestos</t>
  </si>
  <si>
    <t>Vende productos exclusivos</t>
  </si>
  <si>
    <t>Esta innovando constantemente</t>
  </si>
  <si>
    <t>Experta en decoración</t>
  </si>
  <si>
    <t>Me inspira a decorar mi hogar</t>
  </si>
  <si>
    <t>Vende artículos con diseño original</t>
  </si>
  <si>
    <t>Me acompaña en el proceso de compra hasta la entrega</t>
  </si>
  <si>
    <t>Variedad de productos para decorar mi hogar</t>
  </si>
  <si>
    <t>Emo-Funcional 34.9%</t>
  </si>
  <si>
    <t>Experiencia 12%</t>
  </si>
  <si>
    <t>Expertise 21%</t>
  </si>
  <si>
    <t>Presupuesto 15.7%</t>
  </si>
  <si>
    <t>Tendencia 16.4%</t>
  </si>
  <si>
    <t>Calidad y experiencia en tienda 22.5% (4.9%)</t>
  </si>
  <si>
    <t>Variedad y tendencia que encuentro en línea 23% (5%)</t>
  </si>
  <si>
    <t>Para mi estilo y presupuesto 20.3% (4.4%)</t>
  </si>
  <si>
    <t>Productos innovadores y exclusivos 15.8% (3.4%)</t>
  </si>
  <si>
    <t>Expertise 3.8% (0.8%)</t>
  </si>
  <si>
    <t>Diseño original 14.6% (3.2%)</t>
  </si>
  <si>
    <t>Makes an occasion more special</t>
  </si>
  <si>
    <t>Is sophisticated</t>
  </si>
  <si>
    <t>Is good to be seen drinking</t>
  </si>
  <si>
    <t>Represents a balanced lifestyle choice</t>
  </si>
  <si>
    <t>Is made from natural ingredients</t>
  </si>
  <si>
    <t>It is open and honest about what it is made of</t>
  </si>
  <si>
    <t>It is a socially responsible brand</t>
  </si>
  <si>
    <t>Is a brand that represents our traditions and heritage</t>
  </si>
  <si>
    <t>Represents my national pride</t>
  </si>
  <si>
    <t>Is the beer that combines the best with mexican flavors</t>
  </si>
  <si>
    <t>You like to share with your friends</t>
  </si>
  <si>
    <t>Adds energy to your social occasion</t>
  </si>
  <si>
    <t>You like to savour</t>
  </si>
  <si>
    <t>Is good to drink when you want to relax</t>
  </si>
  <si>
    <t>Goes well with food/ meals</t>
  </si>
  <si>
    <t>Is more refreshing than others</t>
  </si>
  <si>
    <t>Has a smooth taste</t>
  </si>
  <si>
    <t>Is a successful international brand</t>
  </si>
  <si>
    <t>Is brewed with care</t>
  </si>
  <si>
    <t>Is a high quality brand</t>
  </si>
  <si>
    <t>Social commitment</t>
  </si>
  <si>
    <t>Traditions and national pride</t>
  </si>
  <si>
    <t>Smooth taste</t>
  </si>
  <si>
    <t>Successful international brand</t>
  </si>
  <si>
    <t>Brewed with care</t>
  </si>
  <si>
    <t>High quality brand</t>
  </si>
  <si>
    <t>Relax &amp; social occasions</t>
  </si>
  <si>
    <t>International</t>
  </si>
  <si>
    <t>Quality + Special occasions</t>
  </si>
  <si>
    <t>Smooth</t>
  </si>
  <si>
    <t>Intrinsic + Gathering</t>
  </si>
  <si>
    <t>High &amp; cared quality</t>
  </si>
  <si>
    <t>Smooth + Intrinsics</t>
  </si>
  <si>
    <t>Sophisticated &amp; balance</t>
  </si>
  <si>
    <t>It came in the presentation that I was looking for</t>
  </si>
  <si>
    <t>It came in the pack size I wanted and others didn't</t>
  </si>
  <si>
    <t>It was on sale, special, or promotion</t>
  </si>
  <si>
    <t>It included a gift or free sample</t>
  </si>
  <si>
    <t>It was a new product</t>
  </si>
  <si>
    <t>Other brand (s) I usually buy were not available</t>
  </si>
  <si>
    <t>It was featured or listed on a menu</t>
  </si>
  <si>
    <t>It was in a different section of the store than usual</t>
  </si>
  <si>
    <t>It had promotional material displayed</t>
  </si>
  <si>
    <t>It was recommended to me</t>
  </si>
  <si>
    <t>It was easily available at the places I go to</t>
  </si>
  <si>
    <t>It was at a good price</t>
  </si>
  <si>
    <t>It was refrigerated</t>
  </si>
  <si>
    <t>It was easy to find</t>
  </si>
  <si>
    <t>Recommended</t>
  </si>
  <si>
    <t>Refrigerated</t>
  </si>
  <si>
    <t>Easy to find</t>
  </si>
  <si>
    <t>Pack availability</t>
  </si>
  <si>
    <t>Price perception</t>
  </si>
  <si>
    <t>Trade visibility</t>
  </si>
  <si>
    <t>Others</t>
  </si>
  <si>
    <t>Balanced lifestyle</t>
  </si>
  <si>
    <t>Indulgent scape with friends</t>
  </si>
  <si>
    <t>Sponsors the sportsteam, festival, events that I like</t>
  </si>
  <si>
    <t>Refreshing and relaxing meals</t>
  </si>
  <si>
    <t>POS Awareness</t>
  </si>
  <si>
    <t>Special activations</t>
  </si>
  <si>
    <t>Restaurant</t>
  </si>
  <si>
    <t>Bar</t>
  </si>
  <si>
    <t>Discotheque</t>
  </si>
  <si>
    <t>Supermarket</t>
  </si>
  <si>
    <t>Warehouse shop</t>
  </si>
  <si>
    <t>Online</t>
  </si>
  <si>
    <t>Mom &amp; pop store</t>
  </si>
  <si>
    <t>Convenience</t>
  </si>
  <si>
    <t>Modelorama or Tecate Six</t>
  </si>
  <si>
    <t>Beverage Focused</t>
  </si>
  <si>
    <t xml:space="preserve">Neighbourhood stores </t>
  </si>
  <si>
    <t>Modern</t>
  </si>
  <si>
    <t>On premise</t>
  </si>
  <si>
    <t>TT Off premise</t>
  </si>
  <si>
    <t>Relaxing/ unwinding alone</t>
  </si>
  <si>
    <t>Relaxing/ unwinding with others</t>
  </si>
  <si>
    <t>Eating a meal or a snack outside of home</t>
  </si>
  <si>
    <t>Attending a party or special celebration outside of home</t>
  </si>
  <si>
    <t>Doing everyday activities like chores/ cooking/ studying</t>
  </si>
  <si>
    <t>Men's socialization OOH</t>
  </si>
  <si>
    <t>Socializing at home</t>
  </si>
  <si>
    <t>Eating out with friends</t>
  </si>
  <si>
    <t>Everyday activities</t>
  </si>
  <si>
    <t>Living</t>
  </si>
  <si>
    <t>Meal</t>
  </si>
  <si>
    <t>Party</t>
  </si>
  <si>
    <t>Relax alone</t>
  </si>
  <si>
    <t>Relax family</t>
  </si>
  <si>
    <t>Social mixed gender</t>
  </si>
  <si>
    <t>Social same gender</t>
  </si>
  <si>
    <t>Retailer</t>
  </si>
  <si>
    <t xml:space="preserve">Relaxing / Unwind </t>
  </si>
  <si>
    <t>Celebrating</t>
  </si>
  <si>
    <t>Food at home</t>
  </si>
  <si>
    <t>Socializing with male friends/ family out of home</t>
  </si>
  <si>
    <t>Meal or snack at home</t>
  </si>
  <si>
    <t>Evening or pre-dinner drink before meal</t>
  </si>
  <si>
    <t>Party or special celebration at home</t>
  </si>
  <si>
    <t>Socializing with male friends/ family at home</t>
  </si>
  <si>
    <t>Socializing with mix of male and female friends/ family at home</t>
  </si>
  <si>
    <t>Socializing with mix of male and female friends/ family out of home</t>
  </si>
  <si>
    <t>Where I go</t>
  </si>
  <si>
    <t>Equilibrium for social moments</t>
  </si>
  <si>
    <t>Importance weights to Meaningful</t>
  </si>
  <si>
    <t>Importance weights to Different</t>
  </si>
  <si>
    <t>Importance weights to Salient</t>
  </si>
  <si>
    <t>Importance weights to Demand Power</t>
  </si>
  <si>
    <t>Importance weights to Pricing Power</t>
  </si>
  <si>
    <t>Importance weights to Meaningful %</t>
  </si>
  <si>
    <t>Importance weights to Different %</t>
  </si>
  <si>
    <t>Importance weights to Salient %</t>
  </si>
  <si>
    <t>Importance weights to Demand Power %</t>
  </si>
  <si>
    <t>Importance weights to Pricing Power %</t>
  </si>
  <si>
    <t>Brewed with care (11.2%)</t>
  </si>
  <si>
    <t>High quality brand (0.0%)</t>
  </si>
  <si>
    <t>Refreshing and relaxing meals (15.2%)</t>
  </si>
  <si>
    <t>Indulgent scape with friends (23.3%)</t>
  </si>
  <si>
    <t>Smooth taste (4.6%)</t>
  </si>
  <si>
    <t>Social commitment (9.0%)</t>
  </si>
  <si>
    <t>Equilibrium for social moments (21.6%)</t>
  </si>
  <si>
    <t>Successful international brand (0.0%)</t>
  </si>
  <si>
    <t>Traditions and national pride (15.1%)</t>
  </si>
  <si>
    <t>Group</t>
  </si>
  <si>
    <t>Pacifico Factors Labels</t>
  </si>
  <si>
    <t>Sum of Imp to Power Att</t>
  </si>
  <si>
    <t>ACT</t>
  </si>
  <si>
    <t>IMG</t>
  </si>
  <si>
    <t>OCC</t>
  </si>
  <si>
    <t>POS</t>
  </si>
  <si>
    <t>TBCA</t>
  </si>
  <si>
    <t>In a store</t>
  </si>
  <si>
    <t>On-offline media</t>
  </si>
  <si>
    <t>Open TV</t>
  </si>
  <si>
    <t>Paid TV</t>
  </si>
  <si>
    <t>Attribute Labels</t>
  </si>
  <si>
    <t>You like to savor</t>
  </si>
  <si>
    <t>Is the beer that combines the best with Mexican flavors</t>
  </si>
  <si>
    <t>Party or special celebration outside of home</t>
  </si>
  <si>
    <t>Meal or a snack outside of home</t>
  </si>
  <si>
    <t>Socializing with mix of male and female friends/family out of home</t>
  </si>
  <si>
    <t>Socializing with mix of male and female friends/family at home</t>
  </si>
  <si>
    <t>At a music venue/ music event</t>
  </si>
  <si>
    <t>At a sporting event/ stadium</t>
  </si>
  <si>
    <t>In a bar/ restaurant</t>
  </si>
  <si>
    <t>Billboard/ Outdoor Advertising</t>
  </si>
  <si>
    <t>Newspapers/ magazines</t>
  </si>
  <si>
    <t>Online Video</t>
  </si>
  <si>
    <t>Social Media</t>
  </si>
  <si>
    <t>TV</t>
  </si>
  <si>
    <t>Paid TV - Non-Sports Programming</t>
  </si>
  <si>
    <t>Factores</t>
  </si>
  <si>
    <t>Grupo</t>
  </si>
  <si>
    <t>Factores Normalizados</t>
  </si>
  <si>
    <t>Labels</t>
  </si>
  <si>
    <t>Att Label</t>
  </si>
  <si>
    <t>Balanced special occasions</t>
  </si>
  <si>
    <t>Indulgent escape with friends</t>
  </si>
  <si>
    <t>Attractive packaging </t>
  </si>
  <si>
    <t>Convenient presentations </t>
  </si>
  <si>
    <t>Ideal size  </t>
  </si>
  <si>
    <t>Fair value </t>
  </si>
  <si>
    <t>Easy to find </t>
  </si>
  <si>
    <t>It has offers or promotions  </t>
  </si>
  <si>
    <t>Engaging advertising </t>
  </si>
  <si>
    <t>It is popular  </t>
  </si>
  <si>
    <t>It is sophisticated </t>
  </si>
  <si>
    <t>You identify </t>
  </si>
  <si>
    <t>Fun </t>
  </si>
  <si>
    <t>Great career </t>
  </si>
  <si>
    <t>Irresistible </t>
  </si>
  <si>
    <t>Offers something different </t>
  </si>
  <si>
    <t>Rebellious/irreverent style </t>
  </si>
  <si>
    <t>Reliable </t>
  </si>
  <si>
    <t>Remember your childhood </t>
  </si>
  <si>
    <t>Stimulates your senses </t>
  </si>
  <si>
    <t>Sugarless options </t>
  </si>
  <si>
    <t>Tastes more like fruit </t>
  </si>
  <si>
    <t>Natural ingredients  </t>
  </si>
  <si>
    <t>Light and balanced </t>
  </si>
  <si>
    <t>Variety of flavors  </t>
  </si>
  <si>
    <t>Flavor </t>
  </si>
  <si>
    <t>High quality  </t>
  </si>
  <si>
    <t>Leaves a pleasant sensation </t>
  </si>
  <si>
    <t>Recharges you with energy </t>
  </si>
  <si>
    <t>Refreshing </t>
  </si>
  <si>
    <t>Helps you relax your body and mind  </t>
  </si>
  <si>
    <t>Quenches thirst </t>
  </si>
  <si>
    <t>Mixer </t>
  </si>
  <si>
    <t>Natural flavor </t>
  </si>
  <si>
    <t>To enhance moments  </t>
  </si>
  <si>
    <t>Is for a celebratory occasion </t>
  </si>
  <si>
    <t>To accompany meals </t>
  </si>
  <si>
    <t>To share with friends </t>
  </si>
  <si>
    <t>To share with the whole family </t>
  </si>
  <si>
    <t>For everyday  </t>
  </si>
  <si>
    <t>Is for when I go from one place to another  </t>
  </si>
  <si>
    <t>Related to moments of entertainment </t>
  </si>
  <si>
    <t>I like to be seen consuming it </t>
  </si>
  <si>
    <t>Innovative </t>
  </si>
  <si>
    <t>Modern </t>
  </si>
  <si>
    <t>For someone like me  </t>
  </si>
  <si>
    <t>When I want to treat myself </t>
  </si>
  <si>
    <t>Helps you see the Good side of life  </t>
  </si>
  <si>
    <t>For enjoying with I am alone</t>
  </si>
  <si>
    <t>Convenient and attractive package</t>
  </si>
  <si>
    <t>Accessible</t>
  </si>
  <si>
    <t xml:space="preserve">Attractive deals and marketing appeal </t>
  </si>
  <si>
    <t>Popular</t>
  </si>
  <si>
    <t>Sophisticated </t>
  </si>
  <si>
    <t>Unique irresistible sensation</t>
  </si>
  <si>
    <t>Delicious quality</t>
  </si>
  <si>
    <t>Mixology</t>
  </si>
  <si>
    <t>Special occasions</t>
  </si>
  <si>
    <t>For sharing at meals</t>
  </si>
  <si>
    <t xml:space="preserve">Daily commute </t>
  </si>
  <si>
    <t>Positive identity</t>
  </si>
  <si>
    <t>Modern and innovative</t>
  </si>
  <si>
    <t>For me to indulge</t>
  </si>
  <si>
    <t>Traditional and reliable</t>
  </si>
  <si>
    <t>NA</t>
  </si>
  <si>
    <t>Natural ingredients</t>
  </si>
  <si>
    <t xml:space="preserve">Balanced and energizing refreshment </t>
  </si>
  <si>
    <t>For entertainment</t>
  </si>
  <si>
    <t>Emocional</t>
  </si>
  <si>
    <t>Funcionales</t>
  </si>
  <si>
    <t>Ocasiones</t>
  </si>
  <si>
    <t>Posicionamiento</t>
  </si>
  <si>
    <t>Activador</t>
  </si>
  <si>
    <t xml:space="preserve">Reflect my fun and sophisticated style </t>
  </si>
  <si>
    <t xml:space="preserve">Unique irresistible sensation </t>
  </si>
  <si>
    <t>Irreverent style</t>
  </si>
  <si>
    <t>Childhood memories</t>
  </si>
  <si>
    <t>Low-sugar variety</t>
  </si>
  <si>
    <t>Fuity taste</t>
  </si>
  <si>
    <t xml:space="preserve">Natural relaxation </t>
  </si>
  <si>
    <t xml:space="preserve">Social and family enjoyment </t>
  </si>
  <si>
    <t>For a celebration</t>
  </si>
  <si>
    <t xml:space="preserve">Meals </t>
  </si>
  <si>
    <t xml:space="preserve">For entertainment </t>
  </si>
  <si>
    <t>Reflects my identity</t>
  </si>
  <si>
    <t xml:space="preserve">For my own indulgence </t>
  </si>
  <si>
    <t>Bright side of life</t>
  </si>
  <si>
    <t>My fun rebollious chilhood</t>
  </si>
  <si>
    <t>Worry-free refreshment</t>
  </si>
  <si>
    <t>Light and pleasant recharge</t>
  </si>
  <si>
    <t>Relaxation</t>
  </si>
  <si>
    <t>For my daily routine</t>
  </si>
  <si>
    <t>For commuting</t>
  </si>
  <si>
    <t>Ideal size - 1.4% (33.7%)</t>
  </si>
  <si>
    <t>Convenient presentations - 1.4% (33.7%)</t>
  </si>
  <si>
    <t>Attractive packaging - 1.3% (32.6%)</t>
  </si>
  <si>
    <t>Attractive deals and marketing appeal</t>
  </si>
  <si>
    <t>Engaging advertising - 1.6% (50.4%)</t>
  </si>
  <si>
    <t>It has offers or promotions - 1.6% (49.6%)</t>
  </si>
  <si>
    <t>Fair value - 1.2% (50.5%)</t>
  </si>
  <si>
    <t>Easy to find - 1.2% (49.5%)</t>
  </si>
  <si>
    <t>My fun rebellious childhood</t>
  </si>
  <si>
    <t>Fun - 0.8% (26.0%)</t>
  </si>
  <si>
    <t>You identify - 0.7% (24.9%)</t>
  </si>
  <si>
    <t>Remember your childhood - 0.7% (24.6%)</t>
  </si>
  <si>
    <t>Rebellious irreverent style - 0.7% (24.5%)</t>
  </si>
  <si>
    <t>Irresistible - 0.7% (34.4%)</t>
  </si>
  <si>
    <t>Stimulates your senses - 0.7% (33.1%)</t>
  </si>
  <si>
    <t>Offers something different - 0.7% (32.5%)</t>
  </si>
  <si>
    <t>Sophisticated</t>
  </si>
  <si>
    <t>It is sophisticated - 1.2% (100.0%)</t>
  </si>
  <si>
    <t>Reliable</t>
  </si>
  <si>
    <t>Reliable - 1.1% (100.0%)</t>
  </si>
  <si>
    <t>It is popular - 0.1% (50.4%)</t>
  </si>
  <si>
    <t>Great career - 0.1% (49.6%)</t>
  </si>
  <si>
    <t>Flavor - 1.4% (35.0%)</t>
  </si>
  <si>
    <t>High quality - 1.3% (33.7%)</t>
  </si>
  <si>
    <t>Variety of flavors - 1.2% (31.2%)</t>
  </si>
  <si>
    <t>Leaves a pleasant sensation - 0.8% (33.7%)</t>
  </si>
  <si>
    <t>Light and balanced - 0.8% (33.4%)</t>
  </si>
  <si>
    <t>Recharges you with energy - 0.8% (32.9%)</t>
  </si>
  <si>
    <t>Natural flavor - 0.5% (34.8%)</t>
  </si>
  <si>
    <t>Tastes more like fruit - 0.4% (33.0%)</t>
  </si>
  <si>
    <t>Natural ingredients - 0.4% (32.2%)</t>
  </si>
  <si>
    <t>Helps you relax your body and mind - 1.3% (100.0%)</t>
  </si>
  <si>
    <t>Quenches thirst - 0.1% (34.6%)</t>
  </si>
  <si>
    <t>Refreshing - 0.1% (34.5%)</t>
  </si>
  <si>
    <t>Sweetness options - 0.1% (30.8%)</t>
  </si>
  <si>
    <t>Mixer - 0.2% (100.0%)</t>
  </si>
  <si>
    <t>When I want to treat myself - 3.1% (50.2%)</t>
  </si>
  <si>
    <t>For someone like me - 3.1% (49.8%)</t>
  </si>
  <si>
    <t>Innovative - 1.6% (50.0%)</t>
  </si>
  <si>
    <t>Modern - 1.6% (50.0%)</t>
  </si>
  <si>
    <t>I like to be seen consuming it - 1.2% (50.1%)</t>
  </si>
  <si>
    <t>Helps you see the good side of life - 1.2% (49.9%)</t>
  </si>
  <si>
    <t>Meet Needs</t>
  </si>
  <si>
    <t>Meet Needs - 18.2% (35.1%)</t>
  </si>
  <si>
    <t>Affinity</t>
  </si>
  <si>
    <t>Affinity - 15.6% (30.1%)</t>
  </si>
  <si>
    <t>Worth</t>
  </si>
  <si>
    <t>Worth - 7.3% (14.2%)</t>
  </si>
  <si>
    <t>Dynamic</t>
  </si>
  <si>
    <t>Dynamic - 6.5% (12.7%)</t>
  </si>
  <si>
    <t>Unique</t>
  </si>
  <si>
    <t>Unique - 4.1% (8.0%)</t>
  </si>
  <si>
    <t>Consideration T2B</t>
  </si>
  <si>
    <t>Consideration T2B - 0.0% (0.0%)</t>
  </si>
  <si>
    <t>To share with friends - 1.6% (34.6%)</t>
  </si>
  <si>
    <t>To share with the whole family - 1.6% (33.0%)</t>
  </si>
  <si>
    <t>To accompany meals - 1.5% (32.5%)</t>
  </si>
  <si>
    <t>To enhance moments - 1.3% (50.5%)</t>
  </si>
  <si>
    <t>Is for a celebratory occasion - 1.3% (49.5%)</t>
  </si>
  <si>
    <t>For enjoying when I am alone - 0.8% (50.2%)</t>
  </si>
  <si>
    <t>For everyday - 0.8% (49.8%)</t>
  </si>
  <si>
    <t>Related to moments of entertainment - 0.6% (100.0%)</t>
  </si>
  <si>
    <t>Is for when I go from one place to another - 0.5% (100.0%)</t>
  </si>
  <si>
    <t>Accessible - 1.9% (38.9%)</t>
  </si>
  <si>
    <t>Attractive deals and marketing appeal - 2.1% (42.9%)</t>
  </si>
  <si>
    <t>Balanced and energizing refreshment - 2.7% (45.0%)</t>
  </si>
  <si>
    <t>Convenient and attractive package - 2.1% (38.9%)</t>
  </si>
  <si>
    <t>Daily commute - 3.6% (24.7%)</t>
  </si>
  <si>
    <t>Distinguished - 2.2% (26.8%)</t>
  </si>
  <si>
    <t>For entertainment - &lt;1% (&lt;1%)</t>
  </si>
  <si>
    <t>For me to indulge - 5.5% (54.5%)</t>
  </si>
  <si>
    <t>For sharing at meals - 5.9% (40.4%)</t>
  </si>
  <si>
    <t>Modern and innovative - 2.0% (19.8%)</t>
  </si>
  <si>
    <t>Positive identity - 2.6% (19.8%)</t>
  </si>
  <si>
    <t>Relaxation And Recharge - 1.4% (25.0%)</t>
  </si>
  <si>
    <t>Special occasions - 5.1% (34.9%)</t>
  </si>
  <si>
    <t>Sugarless options​ - &lt;1% (12.5%)</t>
  </si>
  <si>
    <t>Natural ingredients - &lt;1% (5%)</t>
  </si>
  <si>
    <t>Popular - &lt;1% (4.9%)</t>
  </si>
  <si>
    <t>Traditional and reliable - 1.7% (20.7%)</t>
  </si>
  <si>
    <t>Unique and fun sensation - 3.9% (47.6%)</t>
  </si>
  <si>
    <t>Variety flavors - &lt;1% (12.5%)</t>
  </si>
  <si>
    <t>Full ATT Label</t>
  </si>
  <si>
    <t>Factor</t>
  </si>
  <si>
    <t>Factor Label</t>
  </si>
  <si>
    <t>Convenient and attractive package - 4.1% (42.7%)</t>
  </si>
  <si>
    <t>Attractive deals and marketing appeal - 3.2% (33.0%)</t>
  </si>
  <si>
    <t>Accessible - 2.4% (24.3%)</t>
  </si>
  <si>
    <t>My fun rebellious childhood - 3.0% (38.8%)</t>
  </si>
  <si>
    <t>Unique irresistible sensation - 2.1% (27.9%)</t>
  </si>
  <si>
    <t>Sophisticated - 1.2% (15.9%)</t>
  </si>
  <si>
    <t>Reliable - 1.1% (14.5%)</t>
  </si>
  <si>
    <t>Popular - 0.2% (3.0%)</t>
  </si>
  <si>
    <t>Delicious quality - 3.9% (42.1%)</t>
  </si>
  <si>
    <t>Light and pleasant recharge - 2.3% (25.2%)</t>
  </si>
  <si>
    <t>Natural ingredients - 1.3% (14.1%)</t>
  </si>
  <si>
    <t>Relaxation - 1.3% (13.7%)</t>
  </si>
  <si>
    <t>Worry-free refreshment - 0.3% (3.0%)</t>
  </si>
  <si>
    <t>Mixology - 0.2% (1.9%)</t>
  </si>
  <si>
    <t>For me to indulge - 6.1% (52.4%)</t>
  </si>
  <si>
    <t>Modern and innovative - 3.1% (26.6%)</t>
  </si>
  <si>
    <t>Positive identity - 2.5% (21.0%)</t>
  </si>
  <si>
    <t>For sharing at meals - 4.7% (47.4%)</t>
  </si>
  <si>
    <t>Special occasions - 2.6% (26.3%)</t>
  </si>
  <si>
    <t>For my daily routine - 1.5% (15.6%)</t>
  </si>
  <si>
    <t>For entertainment - 0.6% (6.0%)</t>
  </si>
  <si>
    <t>For commuting - 0.5% (4.6%)</t>
  </si>
  <si>
    <t xml:space="preserve">Related to moments of entertainment </t>
  </si>
  <si>
    <t xml:space="preserve">For everyday </t>
  </si>
  <si>
    <t>Sweetness options</t>
  </si>
  <si>
    <t>Refreshing</t>
  </si>
  <si>
    <t>Quenches thirst</t>
  </si>
  <si>
    <t>Fair value</t>
  </si>
  <si>
    <t>Engaging advertising</t>
  </si>
  <si>
    <t>It has offers or promotions</t>
  </si>
  <si>
    <t>Attractive packaging</t>
  </si>
  <si>
    <t>Convenient presentations</t>
  </si>
  <si>
    <t>Ideal size</t>
  </si>
  <si>
    <t>Flavor</t>
  </si>
  <si>
    <t>High quality</t>
  </si>
  <si>
    <t>Variety of flavors</t>
  </si>
  <si>
    <t>Is for when I go from one place to another</t>
  </si>
  <si>
    <t>For someone like me</t>
  </si>
  <si>
    <t>When I want to treat myself</t>
  </si>
  <si>
    <t>For enjoying when I am alone</t>
  </si>
  <si>
    <t>To accompany meals</t>
  </si>
  <si>
    <t>To share with friends</t>
  </si>
  <si>
    <t>To share with the whole family</t>
  </si>
  <si>
    <t>Light and balanced</t>
  </si>
  <si>
    <t>Leaves a pleasant sensation</t>
  </si>
  <si>
    <t>Recharges you with energy</t>
  </si>
  <si>
    <t>Mixer</t>
  </si>
  <si>
    <t>Innovative</t>
  </si>
  <si>
    <t>Fun</t>
  </si>
  <si>
    <t>Rebellious irreverent style</t>
  </si>
  <si>
    <t>Remember your childhood</t>
  </si>
  <si>
    <t>You identify</t>
  </si>
  <si>
    <t>Natural flavor</t>
  </si>
  <si>
    <t>Tastes more like fruit</t>
  </si>
  <si>
    <t>Great career</t>
  </si>
  <si>
    <t>It is popular</t>
  </si>
  <si>
    <t>Helps you see the good side of life</t>
  </si>
  <si>
    <t>I like to be seen consuming it</t>
  </si>
  <si>
    <t>Helps you relax your body and mind</t>
  </si>
  <si>
    <t>It is sophisticated</t>
  </si>
  <si>
    <t>Is for a celebratory occasion</t>
  </si>
  <si>
    <t>To enhance moments</t>
  </si>
  <si>
    <t>Irresistible</t>
  </si>
  <si>
    <t>Offers something different</t>
  </si>
  <si>
    <t>Stimulates your senses</t>
  </si>
  <si>
    <t>N/A</t>
  </si>
  <si>
    <t>Meals</t>
  </si>
  <si>
    <t>Accessible (3.5%)</t>
  </si>
  <si>
    <t>Balanced Recharge</t>
  </si>
  <si>
    <t>Balanced Recharge (3.3%)</t>
  </si>
  <si>
    <t>Bright Side Of Life</t>
  </si>
  <si>
    <t>Bright Side Of Life (1.8%)</t>
  </si>
  <si>
    <t>Convenient And Attractive Package</t>
  </si>
  <si>
    <t>Convenient And Attractive Package (5.4%)</t>
  </si>
  <si>
    <t>Different</t>
  </si>
  <si>
    <t>Different (13.3%)</t>
  </si>
  <si>
    <t>Enhancing My Journey</t>
  </si>
  <si>
    <t>Enhancing My Journey (3.5%)</t>
  </si>
  <si>
    <t>Flavor And Quality</t>
  </si>
  <si>
    <t>Flavor And Quality (2.7%)</t>
  </si>
  <si>
    <t>For Me To Indulge</t>
  </si>
  <si>
    <t>For Me To Indulge (5.1%)</t>
  </si>
  <si>
    <t>Good To Be Seen Drinking</t>
  </si>
  <si>
    <t>Good To Be Seen Drinking (1.8%)</t>
  </si>
  <si>
    <t>Great Career</t>
  </si>
  <si>
    <t>Great Career (0.8%)</t>
  </si>
  <si>
    <t>Low Sugar Variety</t>
  </si>
  <si>
    <t>Low Sugar Variety (1.7%)</t>
  </si>
  <si>
    <t>Meals (2.2%)</t>
  </si>
  <si>
    <t>Meaningful</t>
  </si>
  <si>
    <t>Meaningful (21.4%)</t>
  </si>
  <si>
    <t>Modern And Innovative</t>
  </si>
  <si>
    <t>Modern And Innovative (4.4%)</t>
  </si>
  <si>
    <t>My Sophisticated Style</t>
  </si>
  <si>
    <t>My Sophisticated Style (2.4%)</t>
  </si>
  <si>
    <t>Natural Ingredients</t>
  </si>
  <si>
    <t>Natural Ingredients (1.6%)</t>
  </si>
  <si>
    <t>Pleasant Sensation</t>
  </si>
  <si>
    <t>Pleasant Sensation (1.6%)</t>
  </si>
  <si>
    <t>Popular And Reliable</t>
  </si>
  <si>
    <t>Popular And Reliable (2.3%)</t>
  </si>
  <si>
    <t>Refreshing (0.8%)</t>
  </si>
  <si>
    <t>Relaxation (2.3%)</t>
  </si>
  <si>
    <t>Social And Family Enjoyment</t>
  </si>
  <si>
    <t>Social And Family Enjoyment (1.7%)</t>
  </si>
  <si>
    <t>Unique Irresistible Sensation</t>
  </si>
  <si>
    <t>Unique Irresistible Sensation (2.1%)</t>
  </si>
  <si>
    <t>Worth (14.3%)</t>
  </si>
  <si>
    <t>Factor Label w Imp</t>
  </si>
  <si>
    <t>Factor Label w Norm Imp</t>
  </si>
  <si>
    <t>Accessible - 3.5% (39.3%)</t>
  </si>
  <si>
    <t>Balanced Recharge - 3.3% (23.5%)</t>
  </si>
  <si>
    <t>Bright Side Of Life - 1.8% (13.5%)</t>
  </si>
  <si>
    <t>Convenient And Attractive Package - 5.4% (60.7%)</t>
  </si>
  <si>
    <t>Different - 13.3% (27.2%)</t>
  </si>
  <si>
    <t>Enhancing My Journey - 3.5% (46.7%)</t>
  </si>
  <si>
    <t>Flavor And Quality - 2.7% (19.1%)</t>
  </si>
  <si>
    <t>For Me To Indulge - 5.1% (39.2%)</t>
  </si>
  <si>
    <t>Good To Be Seen Drinking - 1.8% (13.7%)</t>
  </si>
  <si>
    <t>Great Career - 0.8% (11.1%)</t>
  </si>
  <si>
    <t>Low Sugar Variety - 1.7% (12.1%)</t>
  </si>
  <si>
    <t>Meals - 2.2% (29.9%)</t>
  </si>
  <si>
    <t>Meaningful - 21.4% (43.6%)</t>
  </si>
  <si>
    <t>Modern And Innovative - 4.4% (33.7%)</t>
  </si>
  <si>
    <t>My Sophisticated Style - 2.4% (31.6%)</t>
  </si>
  <si>
    <t>Natural Ingredients - 1.6% (11.8%)</t>
  </si>
  <si>
    <t>Pleasant Sensation - 1.6% (11.3%)</t>
  </si>
  <si>
    <t>Popular And Reliable - 2.3% (29.8%)</t>
  </si>
  <si>
    <t>Refreshing - 0.8% (5.8%)</t>
  </si>
  <si>
    <t>Relaxation - 2.3% (16.4%)</t>
  </si>
  <si>
    <t>Social And Family Enjoyment - 1.7% (23.3%)</t>
  </si>
  <si>
    <t>Unique Irresistible Sensation - 2.1% (27.5%)</t>
  </si>
  <si>
    <t>Worth - 14.3% (29.2%)</t>
  </si>
  <si>
    <t>Provides facilities to spend quality time with my companions</t>
  </si>
  <si>
    <t>Allows you to disconnect from the routine</t>
  </si>
  <si>
    <t>It is a prestigious hotel chain</t>
  </si>
  <si>
    <t>Its hotels offer an adequate selection of food and beverages</t>
  </si>
  <si>
    <t>Its hotels are ideal for the whole family</t>
  </si>
  <si>
    <t>Adapts to my lifestyle and needs</t>
  </si>
  <si>
    <t>Its hotels have a pleasant atmosphere</t>
  </si>
  <si>
    <t>Helps create experiences to always remember</t>
  </si>
  <si>
    <t>Provides experiences for my physical and mental wellbeing</t>
  </si>
  <si>
    <t>Equipped with appropriate technology for my trip</t>
  </si>
  <si>
    <t>The hotel staff is friendly and attentive</t>
  </si>
  <si>
    <t>It is a brand with tradition</t>
  </si>
  <si>
    <t>Cares about the environment and takes action to protect it</t>
  </si>
  <si>
    <t>Has the best loyalty frequent guest program</t>
  </si>
  <si>
    <t>Shared Experience &amp; Comfort</t>
  </si>
  <si>
    <t>Lifestyle Alignment</t>
  </si>
  <si>
    <t>Holistic Stay Experience</t>
  </si>
  <si>
    <t>Tradition</t>
  </si>
  <si>
    <t>Environmental Care</t>
  </si>
  <si>
    <t>Loyalty Program</t>
  </si>
  <si>
    <t xml:space="preserve">Comparación </t>
  </si>
  <si>
    <t>CATEGORIA</t>
  </si>
  <si>
    <t xml:space="preserve">Offers good entertainment options </t>
  </si>
  <si>
    <t>PLAYA</t>
  </si>
  <si>
    <t>TOTAL</t>
  </si>
  <si>
    <t>Had availability for my travel dates</t>
  </si>
  <si>
    <t>It was on the location I was looking for</t>
  </si>
  <si>
    <t>Offered the experience I was looking for</t>
  </si>
  <si>
    <t>It has good reviews from customers</t>
  </si>
  <si>
    <t>It has good reviews specifically on Tripadvisor</t>
  </si>
  <si>
    <t>The hotel website was informative and easy to use</t>
  </si>
  <si>
    <t>It was on promotion</t>
  </si>
  <si>
    <t>It was within the price range I was looking for</t>
  </si>
  <si>
    <t>The photos looked tempting</t>
  </si>
  <si>
    <t>It had a good flight plus hotel offer</t>
  </si>
  <si>
    <t>Distinguished Style - 2.4% (31.6%)</t>
  </si>
  <si>
    <t>Trusted And Reliable - 2.3% (29.8%)</t>
  </si>
  <si>
    <t>Great Legacy - 0.8% (11.1%)</t>
  </si>
  <si>
    <t>Cares about me and the environment (22.8%)</t>
  </si>
  <si>
    <t>Family escape from routine (7.3%)</t>
  </si>
  <si>
    <t>Infrastructure that suits my needs (17.8%)</t>
  </si>
  <si>
    <t>Loyalty program (13.7%)</t>
  </si>
  <si>
    <t>Memorable legacy and prestige (20.0%)</t>
  </si>
  <si>
    <t>Hospitality and culinary experience (18.4%)</t>
  </si>
  <si>
    <t>Availability (16.2%)</t>
  </si>
  <si>
    <t>Experience and location I wanted (31.7%)</t>
  </si>
  <si>
    <t>Informative websites and reviews (14.8%)</t>
  </si>
  <si>
    <t>On promotion (7.9%)</t>
  </si>
  <si>
    <t>Tempting promotional package (29.4%)</t>
  </si>
  <si>
    <t>All in one entertainment (25.9%)</t>
  </si>
  <si>
    <t>Perfect for me and my family (24.7%)</t>
  </si>
  <si>
    <t>Cares about me and the environment (21.5%)</t>
  </si>
  <si>
    <t>Attention, tradition and prestige (18.3%)</t>
  </si>
  <si>
    <t>Loyalty program (6.3%)</t>
  </si>
  <si>
    <t>Escape (3.3%)</t>
  </si>
  <si>
    <t>Presence and accesibility (25.3%)</t>
  </si>
  <si>
    <t>Promotion and reliability (23.3%)</t>
  </si>
  <si>
    <t>Options and visual stimulation (23.0%)</t>
  </si>
  <si>
    <t>Experience preview (23.0%)</t>
  </si>
  <si>
    <t>On promotion (5.5%)</t>
  </si>
  <si>
    <t>Goes well with food meals</t>
  </si>
  <si>
    <t>Intrinsic and gathering</t>
  </si>
  <si>
    <t>Visible sophistication</t>
  </si>
  <si>
    <t>Successful brand</t>
  </si>
  <si>
    <t>Superior standards</t>
  </si>
  <si>
    <t>Honest about their natural ingredients</t>
  </si>
  <si>
    <t>Socially responsible</t>
  </si>
  <si>
    <t>Quality and special occasions</t>
  </si>
  <si>
    <t>Is good for the whole family</t>
  </si>
  <si>
    <t>Is a brand I trust</t>
  </si>
  <si>
    <t>Is good value for money</t>
  </si>
  <si>
    <t>Is for someone like me</t>
  </si>
  <si>
    <t>Helps me take better care of my family</t>
  </si>
  <si>
    <t>Is worth paying more for</t>
  </si>
  <si>
    <t>Helps me eliminate skin impurities</t>
  </si>
  <si>
    <t>Makes me feel clean throughout the day</t>
  </si>
  <si>
    <t>Provides long lasting antibacterial protection</t>
  </si>
  <si>
    <t>Kills germs provides antibacterial protection</t>
  </si>
  <si>
    <t>Nourishes my skin</t>
  </si>
  <si>
    <t>Moisturizes my skin</t>
  </si>
  <si>
    <t>Contains natural ingredients that cares for the skin</t>
  </si>
  <si>
    <t>Is expert in skin health</t>
  </si>
  <si>
    <t>Has a PH neutral formula</t>
  </si>
  <si>
    <t>Helps prevent skin problems</t>
  </si>
  <si>
    <t>Has the scents that I like the most</t>
  </si>
  <si>
    <t>Fragrance that helps me start the day with energy</t>
  </si>
  <si>
    <t>Helps me feel more attractive</t>
  </si>
  <si>
    <t>Has aromas that improve my mood</t>
  </si>
  <si>
    <t>Does not dry out nor irritate the skin</t>
  </si>
  <si>
    <t>Provides the care my skin needs</t>
  </si>
  <si>
    <t>Is modern up to date</t>
  </si>
  <si>
    <t>Is innovative</t>
  </si>
  <si>
    <t>Has a packaging that conveys an attractive fragrance</t>
  </si>
  <si>
    <t>Has attractive packaging</t>
  </si>
  <si>
    <t>Leaves the skin feeling fresh</t>
  </si>
  <si>
    <t>Helps me have healthy skin</t>
  </si>
  <si>
    <t>Revitalizes my skin</t>
  </si>
  <si>
    <t>Gives me a pleasurable experience</t>
  </si>
  <si>
    <t>Is recommended by dermatologists</t>
  </si>
  <si>
    <t>Makes me feel like an expert in skin care</t>
  </si>
  <si>
    <t>Family trust and value</t>
  </si>
  <si>
    <t>Benefits and identification</t>
  </si>
  <si>
    <t>Advanced skin defense</t>
  </si>
  <si>
    <t>Innovation and modernity</t>
  </si>
  <si>
    <t>Technology and recommendation</t>
  </si>
  <si>
    <t>Sensory and emotional experience</t>
  </si>
  <si>
    <t>Antibacterial</t>
  </si>
  <si>
    <t>Natural nourishing and moisturizing</t>
  </si>
  <si>
    <t>Expert in skin health</t>
  </si>
  <si>
    <t>PH neutral that prevents skin problems</t>
  </si>
  <si>
    <t>Fragrances for starting the day</t>
  </si>
  <si>
    <t>For my dry skin</t>
  </si>
  <si>
    <t>Attractive package that show the fragrance</t>
  </si>
  <si>
    <t>Fresh and healthy skin</t>
  </si>
  <si>
    <t>Pleasant skin revitalization</t>
  </si>
  <si>
    <t>Experts recommendation I follow</t>
  </si>
  <si>
    <t>Trusted family care</t>
  </si>
  <si>
    <t>Antibacterial - 7.5</t>
  </si>
  <si>
    <t>Attractive package that show the fragrance - 11.6</t>
  </si>
  <si>
    <t>Expert in skin health - 1.8</t>
  </si>
  <si>
    <t>Experts recommendation I follow - 19.7</t>
  </si>
  <si>
    <t>For my dry skin - 8.3</t>
  </si>
  <si>
    <t>Fragrances for starting the day - 9.9</t>
  </si>
  <si>
    <t>Fresh and healthy skin - 10.9</t>
  </si>
  <si>
    <t>Modern and innovative - 4.8</t>
  </si>
  <si>
    <t>Natural nourishing and moisturizing - 1.2</t>
  </si>
  <si>
    <t>PH neutral that prevents skin problems - 0.4</t>
  </si>
  <si>
    <t>Pleasant skin revitalization - 3.5</t>
  </si>
  <si>
    <t>Trusted family care - 20.5</t>
  </si>
  <si>
    <t>Advanced skin defense - 10.5</t>
  </si>
  <si>
    <t>Benefits and identification - 18.9</t>
  </si>
  <si>
    <t>Family trust and value - 17.2</t>
  </si>
  <si>
    <t>Innovation and modernity - 23.5</t>
  </si>
  <si>
    <t>Sensory and emotional experience - 18.5</t>
  </si>
  <si>
    <t>Technology and recommendation - 11.5</t>
  </si>
  <si>
    <t>Me da la mejor asesoría</t>
  </si>
  <si>
    <t xml:space="preserve">Ofrece más dinero por mi prenda </t>
  </si>
  <si>
    <t xml:space="preserve">Me brinda la mejor atención </t>
  </si>
  <si>
    <t>Entiende lo que necesito</t>
  </si>
  <si>
    <t>Cuida mejor la prenda/ te la regresan en buen estado</t>
  </si>
  <si>
    <t>Me genera más confianza</t>
  </si>
  <si>
    <t>Ofrece una gran variedad de planes de pago</t>
  </si>
  <si>
    <t>Me ofrece más refrendos al empeñar</t>
  </si>
  <si>
    <t>Ofrece los mejores plazos para liquidar</t>
  </si>
  <si>
    <t>Tiene requisitos fáciles de cumplir</t>
  </si>
  <si>
    <t>Me queda más cerca/ tiene muchas sucursales</t>
  </si>
  <si>
    <t>Tiene un amplio horario de servicio</t>
  </si>
  <si>
    <t>Me cobra menos al empeñar</t>
  </si>
  <si>
    <t>Es la marca experta en oro</t>
  </si>
  <si>
    <t>Asesoría experta para la toma de decisiones - 41.3%</t>
  </si>
  <si>
    <t>Confianza y flexibilidad - 20.0%</t>
  </si>
  <si>
    <t>Mejores condiciones y recompensas - 20.0%</t>
  </si>
  <si>
    <t>Cobro - 5.7%</t>
  </si>
  <si>
    <t>Comodidad y accesibilidad - 8.0%</t>
  </si>
  <si>
    <t>Expertos en oro - 4.9%</t>
  </si>
  <si>
    <t>Cuidado al cliente - 22%</t>
  </si>
  <si>
    <t>Expertos en oro y planes de pago - 20%</t>
  </si>
  <si>
    <t>Sensación de control - 19%</t>
  </si>
  <si>
    <t>Planes de recompensas y lealtad - 16%</t>
  </si>
  <si>
    <t>Pagos y cobro - 11%</t>
  </si>
  <si>
    <t>Conveniencia y Asesoría - 11%</t>
  </si>
  <si>
    <t>Después de empeñar, brinda atención para ayudarme a recuperarla</t>
  </si>
  <si>
    <t>Tengo el control porque decido cómo armar mi empeño</t>
  </si>
  <si>
    <t>Ofrece los mejores planes de lealtad</t>
  </si>
  <si>
    <t>Tiene lo último de la moda</t>
  </si>
  <si>
    <t>Tiene una amplia variedad de productos de calidad</t>
  </si>
  <si>
    <t>Tiene un ambiente e instalaciones agradables</t>
  </si>
  <si>
    <t>Encuentra variedad de tallas</t>
  </si>
  <si>
    <t>Es una tienda innovadora</t>
  </si>
  <si>
    <t>Tiene los mejores precios</t>
  </si>
  <si>
    <t>Tiene las mejores promociones</t>
  </si>
  <si>
    <t>Es una marca actual y vigente</t>
  </si>
  <si>
    <t>Su publicidad me dice algo relevante de la marca</t>
  </si>
  <si>
    <t>Es una tienda autorizada y respaldada por marcas de calidad</t>
  </si>
  <si>
    <t>Es una marca que me transmite confianza tanto en tienda como en línea</t>
  </si>
  <si>
    <t>Me da mayor estatus social</t>
  </si>
  <si>
    <t>Me ayuda a reflejar mi éxito</t>
  </si>
  <si>
    <t>El personal me apoya a comparar en línea si el producto no está disponible en tienda</t>
  </si>
  <si>
    <t>Su sitio online tiene las mejores descripciones de productos</t>
  </si>
  <si>
    <t>Ofrece las mejores garantías</t>
  </si>
  <si>
    <t>Es una marca que se preocupa por el medio ambiente</t>
  </si>
  <si>
    <t>Acepta devoluciones fácilmente</t>
  </si>
  <si>
    <t>Cuenta con la mejor tarjeta de crédito</t>
  </si>
  <si>
    <t>Tiene los mejores tiempos de entrega</t>
  </si>
  <si>
    <t>Me ha acompañado a lo largo de mi vida</t>
  </si>
  <si>
    <t>Hace posible que viva mejor cada día</t>
  </si>
  <si>
    <t>El personal resuelve problemas y dudas</t>
  </si>
  <si>
    <t>Es un lugar donde le atienden rápido</t>
  </si>
  <si>
    <t>Conexión emocional</t>
  </si>
  <si>
    <t>Es una tienda para mí / con la que me identifico</t>
  </si>
  <si>
    <t>Ofrece un servicio cálido, cercano, respetuoso y atento</t>
  </si>
  <si>
    <t>Funcional</t>
  </si>
  <si>
    <t>Es un lugar donde encuentro todo lo que necesito y/o busco</t>
  </si>
  <si>
    <t>Digital</t>
  </si>
  <si>
    <t>Su página web / app es segura, fácil y sencilla de navegar</t>
  </si>
  <si>
    <t>La tienda online tiene reseñas de otros clientes, con calificaciones e imágenes reales que la hacen confiable</t>
  </si>
  <si>
    <t>Servicios</t>
  </si>
  <si>
    <t>Tiene las opciones de pago adecuadas (crédito, efectivo, pagos digitales)</t>
  </si>
  <si>
    <t>Precios</t>
  </si>
  <si>
    <t>Ropa/calzado y accesorios valen el precio que se paga</t>
  </si>
  <si>
    <t>Orden</t>
  </si>
  <si>
    <t>Confianza &amp; Cercanía</t>
  </si>
  <si>
    <t>Es una tienda que me invita a visitarla</t>
  </si>
  <si>
    <t>Conexión Emocional</t>
  </si>
  <si>
    <t>Conveniente</t>
  </si>
  <si>
    <t>Facilidad &amp; Flexibilidad</t>
  </si>
  <si>
    <t>Practicidad</t>
  </si>
  <si>
    <t>Me permite hacer compras de manera práctica y cómoda</t>
  </si>
  <si>
    <t>Estatus Renovado</t>
  </si>
  <si>
    <t>En su última campaña, la marca transmite una sensación de renovación</t>
  </si>
  <si>
    <t>Confianza, calidad y vanguardia</t>
  </si>
  <si>
    <t>Conveniencia online</t>
  </si>
  <si>
    <t>Estatus vigente y renovado</t>
  </si>
  <si>
    <t>Facilidad flexibilidad y ágil</t>
  </si>
  <si>
    <t>Medio Ambiente</t>
  </si>
  <si>
    <t>Servicio de calidad en tienda física</t>
  </si>
  <si>
    <t>Facilidad y Flexibilidad</t>
  </si>
  <si>
    <t>Confianza y cercanía</t>
  </si>
  <si>
    <t>La tienda online tiene reseñas reales que la hacen confiable</t>
  </si>
  <si>
    <t xml:space="preserve">El personal me apoya a comparar en línea si el producto no está </t>
  </si>
  <si>
    <t>HexColorAtt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</si>
</sst>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rgb="FFFF0000"/>
      <name val="Aptos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 tint="0.499984740745262"/>
      </right>
      <top style="thin">
        <color theme="0" tint="-0.149998474074526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9" fontId="8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1" xfId="0" applyFont="1" applyBorder="1"/>
    <xf numFmtId="10" fontId="0" fillId="0" borderId="0" xfId="0" applyNumberFormat="1"/>
    <xf numFmtId="164" fontId="0" fillId="0" borderId="0" xfId="0" applyNumberFormat="1"/>
    <xf numFmtId="0" fontId="6" fillId="0" borderId="1" xfId="0" applyFont="1" applyBorder="1"/>
    <xf numFmtId="0" fontId="0" fillId="0" borderId="1" xfId="0" applyBorder="1"/>
    <xf numFmtId="0" fontId="0" fillId="0" borderId="2" xfId="0" applyBorder="1"/>
    <xf numFmtId="9" fontId="0" fillId="0" borderId="0" xfId="2" applyFont="1"/>
    <xf numFmtId="164" fontId="0" fillId="0" borderId="0" xfId="2" applyNumberFormat="1" applyFont="1"/>
    <xf numFmtId="0" fontId="10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1" xfId="0" applyBorder="1" applyAlignment="1">
      <alignment vertical="top"/>
    </xf>
    <xf numFmtId="0" fontId="5" fillId="0" borderId="2" xfId="0" applyFont="1" applyBorder="1"/>
    <xf numFmtId="0" fontId="4" fillId="0" borderId="2" xfId="0" applyFont="1" applyBorder="1"/>
    <xf numFmtId="0" fontId="4" fillId="0" borderId="0" xfId="0" applyFont="1"/>
  </cellXfs>
  <cellStyles count="5">
    <cellStyle name="Comma 2" xfId="4" xr:uid="{956FCC41-76C7-4E2C-B5DF-23B59396B05C}"/>
    <cellStyle name="Normal" xfId="0" builtinId="0"/>
    <cellStyle name="Normal 2" xfId="1" xr:uid="{CAF73115-CCE1-4AB2-ADD9-73DA7BBA49FC}"/>
    <cellStyle name="Normal 2 2" xfId="3" xr:uid="{A239345B-7D91-4287-BE19-1EBC56CB6359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6</xdr:col>
      <xdr:colOff>11509</xdr:colOff>
      <xdr:row>107</xdr:row>
      <xdr:rowOff>115273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5928E-E006-F24C-E118-992910FC3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3525500"/>
          <a:ext cx="14213284" cy="69732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59121-1036-480D-A5B1-158F6CEB06C9}" name="Table1" displayName="Table1" ref="A1:B11" totalsRowShown="0">
  <autoFilter ref="A1:B11" xr:uid="{1D959121-1036-480D-A5B1-158F6CEB06C9}"/>
  <tableColumns count="2">
    <tableColumn id="1" xr3:uid="{CA921E6B-2DC8-4FF2-945E-02251834DD3F}" name="NodeColor"/>
    <tableColumn id="2" xr3:uid="{CDF5BEFE-0674-41D8-A86B-BB7FF99C8906}" name="Hex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E898-D8BF-4072-945C-855067F138D5}">
  <dimension ref="A1:M63"/>
  <sheetViews>
    <sheetView tabSelected="1" topLeftCell="A27" zoomScaleNormal="100" workbookViewId="0">
      <selection sqref="A1:F63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6" width="64.7109375" customWidth="1"/>
    <col min="9" max="9" width="13.7109375" bestFit="1" customWidth="1"/>
    <col min="12" max="12" width="22" bestFit="1" customWidth="1"/>
  </cols>
  <sheetData>
    <row r="1" spans="1:13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742</v>
      </c>
      <c r="G1" s="3" t="s">
        <v>722</v>
      </c>
      <c r="I1" t="s">
        <v>25</v>
      </c>
    </row>
    <row r="2" spans="1:13" x14ac:dyDescent="0.25">
      <c r="A2" s="5" t="s">
        <v>6</v>
      </c>
      <c r="B2" s="5" t="s">
        <v>735</v>
      </c>
      <c r="C2" s="5" t="s">
        <v>20</v>
      </c>
      <c r="D2" s="5" t="str">
        <f>_xlfn.IFNA(VLOOKUP(C2,Table1[],2,FALSE),"")</f>
        <v>#FF5000</v>
      </c>
      <c r="E2" s="5" t="s">
        <v>703</v>
      </c>
      <c r="F2" s="21" t="s">
        <v>19</v>
      </c>
      <c r="G2">
        <v>41</v>
      </c>
      <c r="H2" s="2"/>
      <c r="I2" t="s">
        <v>26</v>
      </c>
    </row>
    <row r="3" spans="1:13" x14ac:dyDescent="0.25">
      <c r="A3" s="5" t="s">
        <v>6</v>
      </c>
      <c r="B3" s="5" t="s">
        <v>735</v>
      </c>
      <c r="C3" s="5" t="s">
        <v>20</v>
      </c>
      <c r="D3" s="5" t="str">
        <f>_xlfn.IFNA(VLOOKUP(C3,Table1[],2,FALSE),"")</f>
        <v>#FF5000</v>
      </c>
      <c r="E3" s="5" t="s">
        <v>704</v>
      </c>
      <c r="F3" s="21" t="s">
        <v>19</v>
      </c>
      <c r="G3">
        <v>59</v>
      </c>
      <c r="H3" s="2"/>
      <c r="L3" t="s">
        <v>723</v>
      </c>
    </row>
    <row r="4" spans="1:13" x14ac:dyDescent="0.25">
      <c r="A4" s="5" t="s">
        <v>6</v>
      </c>
      <c r="B4" s="5" t="s">
        <v>737</v>
      </c>
      <c r="C4" s="5" t="s">
        <v>17</v>
      </c>
      <c r="D4" s="5" t="str">
        <f>_xlfn.IFNA(VLOOKUP(C4,Table1[],2,FALSE),"")</f>
        <v>#FEDB00</v>
      </c>
      <c r="E4" s="5" t="s">
        <v>741</v>
      </c>
      <c r="F4" s="21" t="s">
        <v>18</v>
      </c>
      <c r="G4">
        <v>52</v>
      </c>
      <c r="H4" s="2"/>
      <c r="L4" t="s">
        <v>723</v>
      </c>
    </row>
    <row r="5" spans="1:13" x14ac:dyDescent="0.25">
      <c r="A5" s="5" t="s">
        <v>6</v>
      </c>
      <c r="B5" s="5" t="s">
        <v>737</v>
      </c>
      <c r="C5" s="5" t="s">
        <v>17</v>
      </c>
      <c r="D5" s="5" t="str">
        <f>_xlfn.IFNA(VLOOKUP(C5,Table1[],2,FALSE),"")</f>
        <v>#FEDB00</v>
      </c>
      <c r="E5" s="5" t="s">
        <v>708</v>
      </c>
      <c r="F5" s="21" t="s">
        <v>18</v>
      </c>
      <c r="G5">
        <v>38</v>
      </c>
      <c r="H5" s="2"/>
      <c r="L5" t="s">
        <v>723</v>
      </c>
    </row>
    <row r="6" spans="1:13" x14ac:dyDescent="0.25">
      <c r="A6" s="5" t="s">
        <v>6</v>
      </c>
      <c r="B6" s="5" t="s">
        <v>732</v>
      </c>
      <c r="C6" s="5" t="s">
        <v>8</v>
      </c>
      <c r="D6" s="5" t="str">
        <f>_xlfn.IFNA(VLOOKUP(C6,Table1[],2,FALSE),"")</f>
        <v>#802AB7</v>
      </c>
      <c r="E6" s="9" t="s">
        <v>689</v>
      </c>
      <c r="F6" s="21" t="s">
        <v>7</v>
      </c>
      <c r="G6">
        <v>34</v>
      </c>
      <c r="H6" s="2"/>
      <c r="L6" t="s">
        <v>723</v>
      </c>
    </row>
    <row r="7" spans="1:13" x14ac:dyDescent="0.25">
      <c r="A7" s="5" t="s">
        <v>6</v>
      </c>
      <c r="B7" s="4" t="s">
        <v>710</v>
      </c>
      <c r="C7" s="5" t="s">
        <v>14</v>
      </c>
      <c r="D7" s="5" t="str">
        <f>_xlfn.IFNA(VLOOKUP(C7,Table1[],2,FALSE),"")</f>
        <v>#00E5BA</v>
      </c>
      <c r="E7" s="9" t="s">
        <v>714</v>
      </c>
      <c r="F7" s="21" t="s">
        <v>13</v>
      </c>
      <c r="G7">
        <v>48</v>
      </c>
      <c r="H7" s="2"/>
      <c r="L7" t="s">
        <v>723</v>
      </c>
    </row>
    <row r="8" spans="1:13" x14ac:dyDescent="0.25">
      <c r="A8" s="5" t="s">
        <v>6</v>
      </c>
      <c r="B8" s="5" t="s">
        <v>737</v>
      </c>
      <c r="C8" s="5" t="s">
        <v>17</v>
      </c>
      <c r="D8" s="5" t="str">
        <f>_xlfn.IFNA(VLOOKUP(C8,Table1[],2,FALSE),"")</f>
        <v>#FEDB00</v>
      </c>
      <c r="E8" s="5" t="s">
        <v>709</v>
      </c>
      <c r="F8" s="21" t="s">
        <v>18</v>
      </c>
      <c r="G8">
        <v>37</v>
      </c>
      <c r="H8" s="2"/>
      <c r="L8" t="s">
        <v>723</v>
      </c>
      <c r="M8" t="s">
        <v>724</v>
      </c>
    </row>
    <row r="9" spans="1:13" x14ac:dyDescent="0.25">
      <c r="A9" s="5" t="s">
        <v>6</v>
      </c>
      <c r="B9" s="5" t="s">
        <v>734</v>
      </c>
      <c r="C9" s="5" t="s">
        <v>9</v>
      </c>
      <c r="D9" s="5" t="str">
        <f>_xlfn.IFNA(VLOOKUP(C9,Table1[],2,FALSE),"")</f>
        <v>#0060FF</v>
      </c>
      <c r="E9" s="5" t="s">
        <v>693</v>
      </c>
      <c r="F9" s="21" t="s">
        <v>10</v>
      </c>
      <c r="G9">
        <v>57</v>
      </c>
      <c r="H9" s="2"/>
      <c r="L9" t="s">
        <v>723</v>
      </c>
    </row>
    <row r="10" spans="1:13" x14ac:dyDescent="0.25">
      <c r="A10" s="5" t="s">
        <v>6</v>
      </c>
      <c r="B10" s="4" t="s">
        <v>732</v>
      </c>
      <c r="C10" s="5" t="s">
        <v>8</v>
      </c>
      <c r="D10" s="5" t="str">
        <f>_xlfn.IFNA(VLOOKUP(C10,Table1[],2,FALSE),"")</f>
        <v>#802AB7</v>
      </c>
      <c r="E10" s="9" t="s">
        <v>696</v>
      </c>
      <c r="F10" s="21" t="s">
        <v>7</v>
      </c>
      <c r="G10">
        <v>49</v>
      </c>
      <c r="H10" s="2"/>
      <c r="L10" t="s">
        <v>725</v>
      </c>
    </row>
    <row r="11" spans="1:13" x14ac:dyDescent="0.25">
      <c r="A11" s="5" t="s">
        <v>6</v>
      </c>
      <c r="B11" s="5" t="s">
        <v>736</v>
      </c>
      <c r="C11" s="5" t="s">
        <v>28</v>
      </c>
      <c r="D11" s="5" t="str">
        <f>_xlfn.IFNA(VLOOKUP(C11,Table1[],2,FALSE),"")</f>
        <v>#D9D9D9</v>
      </c>
      <c r="E11" s="5" t="s">
        <v>702</v>
      </c>
      <c r="F11" s="21" t="s">
        <v>27</v>
      </c>
      <c r="G11">
        <v>43</v>
      </c>
      <c r="H11" s="2"/>
      <c r="L11" t="s">
        <v>725</v>
      </c>
    </row>
    <row r="12" spans="1:13" x14ac:dyDescent="0.25">
      <c r="A12" s="5" t="s">
        <v>6</v>
      </c>
      <c r="B12" s="4" t="s">
        <v>732</v>
      </c>
      <c r="C12" s="5" t="s">
        <v>8</v>
      </c>
      <c r="D12" s="5" t="str">
        <f>_xlfn.IFNA(VLOOKUP(C12,Table1[],2,FALSE),"")</f>
        <v>#802AB7</v>
      </c>
      <c r="E12" s="9" t="s">
        <v>695</v>
      </c>
      <c r="F12" s="21" t="s">
        <v>7</v>
      </c>
      <c r="G12">
        <v>51</v>
      </c>
      <c r="H12" s="2"/>
      <c r="L12" t="s">
        <v>725</v>
      </c>
    </row>
    <row r="13" spans="1:13" x14ac:dyDescent="0.25">
      <c r="A13" s="5" t="s">
        <v>6</v>
      </c>
      <c r="B13" s="5" t="s">
        <v>732</v>
      </c>
      <c r="C13" s="5" t="s">
        <v>8</v>
      </c>
      <c r="D13" s="5" t="str">
        <f>_xlfn.IFNA(VLOOKUP(C13,Table1[],2,FALSE),"")</f>
        <v>#802AB7</v>
      </c>
      <c r="E13" s="9" t="s">
        <v>690</v>
      </c>
      <c r="F13" s="21" t="s">
        <v>7</v>
      </c>
      <c r="G13">
        <v>32</v>
      </c>
      <c r="H13" s="2"/>
      <c r="L13" t="s">
        <v>726</v>
      </c>
    </row>
    <row r="14" spans="1:13" x14ac:dyDescent="0.25">
      <c r="A14" s="5" t="s">
        <v>6</v>
      </c>
      <c r="B14" s="4" t="s">
        <v>710</v>
      </c>
      <c r="C14" s="5" t="s">
        <v>14</v>
      </c>
      <c r="D14" s="5" t="str">
        <f>_xlfn.IFNA(VLOOKUP(C14,Table1[],2,FALSE),"")</f>
        <v>#00E5BA</v>
      </c>
      <c r="E14" s="9" t="s">
        <v>711</v>
      </c>
      <c r="F14" s="21" t="s">
        <v>13</v>
      </c>
      <c r="G14">
        <v>60</v>
      </c>
      <c r="H14" s="2"/>
      <c r="L14" t="s">
        <v>726</v>
      </c>
    </row>
    <row r="15" spans="1:13" x14ac:dyDescent="0.25">
      <c r="A15" s="5" t="s">
        <v>6</v>
      </c>
      <c r="B15" s="4" t="s">
        <v>710</v>
      </c>
      <c r="C15" s="5" t="s">
        <v>14</v>
      </c>
      <c r="D15" s="5" t="str">
        <f>_xlfn.IFNA(VLOOKUP(C15,Table1[],2,FALSE),"")</f>
        <v>#00E5BA</v>
      </c>
      <c r="E15" s="9" t="s">
        <v>707</v>
      </c>
      <c r="F15" s="21" t="s">
        <v>13</v>
      </c>
      <c r="G15">
        <v>62</v>
      </c>
      <c r="H15" s="2"/>
      <c r="L15" t="s">
        <v>726</v>
      </c>
    </row>
    <row r="16" spans="1:13" x14ac:dyDescent="0.25">
      <c r="A16" s="5" t="s">
        <v>6</v>
      </c>
      <c r="B16" s="4" t="s">
        <v>733</v>
      </c>
      <c r="C16" s="5" t="s">
        <v>16</v>
      </c>
      <c r="D16" s="5" t="str">
        <f>_xlfn.IFNA(VLOOKUP(C16,Table1[],2,FALSE),"")</f>
        <v>#00B600</v>
      </c>
      <c r="E16" s="9" t="s">
        <v>740</v>
      </c>
      <c r="F16" s="21" t="s">
        <v>15</v>
      </c>
      <c r="G16">
        <v>36</v>
      </c>
      <c r="H16" s="2"/>
      <c r="L16" t="s">
        <v>726</v>
      </c>
    </row>
    <row r="17" spans="1:13" x14ac:dyDescent="0.25">
      <c r="A17" s="5" t="s">
        <v>6</v>
      </c>
      <c r="B17" s="5" t="s">
        <v>734</v>
      </c>
      <c r="C17" s="5" t="s">
        <v>9</v>
      </c>
      <c r="D17" s="5" t="str">
        <f>_xlfn.IFNA(VLOOKUP(C17,Table1[],2,FALSE),"")</f>
        <v>#0060FF</v>
      </c>
      <c r="E17" s="5" t="s">
        <v>698</v>
      </c>
      <c r="F17" s="21" t="s">
        <v>10</v>
      </c>
      <c r="G17">
        <v>56</v>
      </c>
      <c r="H17" s="2"/>
      <c r="L17" t="s">
        <v>726</v>
      </c>
    </row>
    <row r="18" spans="1:13" x14ac:dyDescent="0.25">
      <c r="A18" s="5" t="s">
        <v>6</v>
      </c>
      <c r="B18" s="5" t="s">
        <v>734</v>
      </c>
      <c r="C18" s="5" t="s">
        <v>9</v>
      </c>
      <c r="D18" s="5" t="str">
        <f>_xlfn.IFNA(VLOOKUP(C18,Table1[],2,FALSE),"")</f>
        <v>#0060FF</v>
      </c>
      <c r="E18" s="5" t="s">
        <v>697</v>
      </c>
      <c r="F18" s="21" t="s">
        <v>10</v>
      </c>
      <c r="G18">
        <v>40</v>
      </c>
      <c r="H18" s="2"/>
      <c r="L18" t="s">
        <v>727</v>
      </c>
    </row>
    <row r="19" spans="1:13" x14ac:dyDescent="0.25">
      <c r="A19" s="5" t="s">
        <v>6</v>
      </c>
      <c r="B19" s="4" t="s">
        <v>710</v>
      </c>
      <c r="C19" s="5" t="s">
        <v>14</v>
      </c>
      <c r="D19" s="5" t="str">
        <f>_xlfn.IFNA(VLOOKUP(C19,Table1[],2,FALSE),"")</f>
        <v>#00E5BA</v>
      </c>
      <c r="E19" s="9" t="s">
        <v>706</v>
      </c>
      <c r="F19" s="21" t="s">
        <v>13</v>
      </c>
      <c r="G19">
        <v>61</v>
      </c>
      <c r="H19" s="2"/>
      <c r="L19" t="s">
        <v>727</v>
      </c>
    </row>
    <row r="20" spans="1:13" x14ac:dyDescent="0.25">
      <c r="A20" s="5" t="s">
        <v>6</v>
      </c>
      <c r="B20" s="4" t="s">
        <v>733</v>
      </c>
      <c r="C20" s="5" t="s">
        <v>16</v>
      </c>
      <c r="D20" s="5" t="str">
        <f>_xlfn.IFNA(VLOOKUP(C20,Table1[],2,FALSE),"")</f>
        <v>#00B600</v>
      </c>
      <c r="E20" s="9" t="s">
        <v>701</v>
      </c>
      <c r="F20" s="21" t="s">
        <v>15</v>
      </c>
      <c r="G20">
        <v>39</v>
      </c>
      <c r="H20" s="2"/>
      <c r="L20" t="s">
        <v>728</v>
      </c>
    </row>
    <row r="21" spans="1:13" x14ac:dyDescent="0.25">
      <c r="A21" s="5" t="s">
        <v>6</v>
      </c>
      <c r="B21" s="5" t="s">
        <v>737</v>
      </c>
      <c r="C21" s="5" t="s">
        <v>17</v>
      </c>
      <c r="D21" s="5" t="str">
        <f>_xlfn.IFNA(VLOOKUP(C21,Table1[],2,FALSE),"")</f>
        <v>#FEDB00</v>
      </c>
      <c r="E21" s="5" t="s">
        <v>712</v>
      </c>
      <c r="F21" s="21" t="s">
        <v>18</v>
      </c>
      <c r="G21">
        <v>54</v>
      </c>
      <c r="H21" s="2"/>
      <c r="L21" t="s">
        <v>728</v>
      </c>
      <c r="M21" t="s">
        <v>729</v>
      </c>
    </row>
    <row r="22" spans="1:13" x14ac:dyDescent="0.25">
      <c r="A22" s="5" t="s">
        <v>6</v>
      </c>
      <c r="B22" s="5" t="s">
        <v>720</v>
      </c>
      <c r="C22" s="5" t="s">
        <v>22</v>
      </c>
      <c r="D22" s="5" t="str">
        <f>_xlfn.IFNA(VLOOKUP(C22,Table1[],2,FALSE),"")</f>
        <v>#FA0028</v>
      </c>
      <c r="E22" s="5" t="s">
        <v>721</v>
      </c>
      <c r="F22" s="21" t="s">
        <v>21</v>
      </c>
      <c r="G22">
        <v>44</v>
      </c>
      <c r="H22" s="2"/>
      <c r="L22" t="s">
        <v>728</v>
      </c>
    </row>
    <row r="23" spans="1:13" x14ac:dyDescent="0.25">
      <c r="A23" s="5" t="s">
        <v>6</v>
      </c>
      <c r="B23" s="5" t="s">
        <v>733</v>
      </c>
      <c r="C23" s="5" t="s">
        <v>16</v>
      </c>
      <c r="D23" s="5" t="str">
        <f>_xlfn.IFNA(VLOOKUP(C23,Table1[],2,FALSE),"")</f>
        <v>#00B600</v>
      </c>
      <c r="E23" s="9" t="s">
        <v>716</v>
      </c>
      <c r="F23" s="21" t="s">
        <v>15</v>
      </c>
      <c r="G23">
        <v>46</v>
      </c>
      <c r="H23" s="2"/>
      <c r="L23" t="s">
        <v>730</v>
      </c>
    </row>
    <row r="24" spans="1:13" x14ac:dyDescent="0.25">
      <c r="A24" s="5" t="s">
        <v>6</v>
      </c>
      <c r="B24" s="5" t="s">
        <v>734</v>
      </c>
      <c r="C24" s="5" t="s">
        <v>9</v>
      </c>
      <c r="D24" s="5" t="str">
        <f>_xlfn.IFNA(VLOOKUP(C24,Table1[],2,FALSE),"")</f>
        <v>#0060FF</v>
      </c>
      <c r="E24" s="5" t="s">
        <v>694</v>
      </c>
      <c r="F24" s="21" t="s">
        <v>10</v>
      </c>
      <c r="G24">
        <v>58</v>
      </c>
      <c r="H24" s="2"/>
      <c r="L24" t="s">
        <v>730</v>
      </c>
      <c r="M24" t="s">
        <v>731</v>
      </c>
    </row>
    <row r="25" spans="1:13" x14ac:dyDescent="0.25">
      <c r="A25" s="5" t="s">
        <v>6</v>
      </c>
      <c r="B25" s="5" t="s">
        <v>733</v>
      </c>
      <c r="C25" s="5" t="s">
        <v>16</v>
      </c>
      <c r="D25" s="5" t="str">
        <f>_xlfn.IFNA(VLOOKUP(C25,Table1[],2,FALSE),"")</f>
        <v>#00B600</v>
      </c>
      <c r="E25" s="9" t="s">
        <v>700</v>
      </c>
      <c r="F25" s="21" t="s">
        <v>15</v>
      </c>
      <c r="G25">
        <v>47</v>
      </c>
      <c r="H25" s="2"/>
    </row>
    <row r="26" spans="1:13" x14ac:dyDescent="0.25">
      <c r="A26" s="5" t="s">
        <v>6</v>
      </c>
      <c r="B26" s="5" t="s">
        <v>720</v>
      </c>
      <c r="C26" s="5" t="s">
        <v>22</v>
      </c>
      <c r="D26" s="5" t="str">
        <f>_xlfn.IFNA(VLOOKUP(C26,Table1[],2,FALSE),"")</f>
        <v>#FA0028</v>
      </c>
      <c r="E26" s="5" t="s">
        <v>692</v>
      </c>
      <c r="F26" s="21" t="s">
        <v>21</v>
      </c>
      <c r="G26">
        <v>53</v>
      </c>
      <c r="H26" s="2"/>
    </row>
    <row r="27" spans="1:13" x14ac:dyDescent="0.25">
      <c r="A27" s="5" t="s">
        <v>6</v>
      </c>
      <c r="B27" s="4" t="s">
        <v>732</v>
      </c>
      <c r="C27" s="5" t="s">
        <v>8</v>
      </c>
      <c r="D27" s="5" t="str">
        <f>_xlfn.IFNA(VLOOKUP(C27,Table1[],2,FALSE),"")</f>
        <v>#802AB7</v>
      </c>
      <c r="E27" s="9" t="s">
        <v>719</v>
      </c>
      <c r="F27" s="21" t="s">
        <v>7</v>
      </c>
      <c r="G27">
        <v>35</v>
      </c>
      <c r="H27" s="2"/>
    </row>
    <row r="28" spans="1:13" x14ac:dyDescent="0.25">
      <c r="A28" s="5" t="s">
        <v>6</v>
      </c>
      <c r="B28" s="5" t="s">
        <v>732</v>
      </c>
      <c r="C28" s="5" t="s">
        <v>8</v>
      </c>
      <c r="D28" s="5" t="str">
        <f>_xlfn.IFNA(VLOOKUP(C28,Table1[],2,FALSE),"")</f>
        <v>#802AB7</v>
      </c>
      <c r="E28" s="9" t="s">
        <v>686</v>
      </c>
      <c r="F28" s="21" t="s">
        <v>7</v>
      </c>
      <c r="G28">
        <v>33</v>
      </c>
      <c r="H28" s="2"/>
    </row>
    <row r="29" spans="1:13" x14ac:dyDescent="0.25">
      <c r="A29" s="5" t="s">
        <v>6</v>
      </c>
      <c r="B29" s="5" t="s">
        <v>720</v>
      </c>
      <c r="C29" s="5" t="s">
        <v>22</v>
      </c>
      <c r="D29" s="5" t="str">
        <f>_xlfn.IFNA(VLOOKUP(C29,Table1[],2,FALSE),"")</f>
        <v>#FA0028</v>
      </c>
      <c r="E29" s="5" t="s">
        <v>691</v>
      </c>
      <c r="F29" s="21" t="s">
        <v>21</v>
      </c>
      <c r="G29">
        <v>45</v>
      </c>
      <c r="H29" s="2"/>
    </row>
    <row r="30" spans="1:13" x14ac:dyDescent="0.25">
      <c r="A30" s="5" t="s">
        <v>6</v>
      </c>
      <c r="B30" s="5" t="s">
        <v>735</v>
      </c>
      <c r="C30" s="5" t="s">
        <v>20</v>
      </c>
      <c r="D30" s="5" t="str">
        <f>_xlfn.IFNA(VLOOKUP(C30,Table1[],2,FALSE),"")</f>
        <v>#FF5000</v>
      </c>
      <c r="E30" s="5" t="s">
        <v>705</v>
      </c>
      <c r="F30" s="21" t="s">
        <v>19</v>
      </c>
      <c r="G30">
        <v>42</v>
      </c>
      <c r="H30" s="2"/>
    </row>
    <row r="31" spans="1:13" x14ac:dyDescent="0.25">
      <c r="A31" s="5" t="s">
        <v>6</v>
      </c>
      <c r="B31" s="5" t="s">
        <v>737</v>
      </c>
      <c r="C31" s="5" t="s">
        <v>17</v>
      </c>
      <c r="D31" s="5" t="str">
        <f>_xlfn.IFNA(VLOOKUP(C31,Table1[],2,FALSE),"")</f>
        <v>#FEDB00</v>
      </c>
      <c r="E31" s="5" t="s">
        <v>688</v>
      </c>
      <c r="F31" s="21" t="s">
        <v>18</v>
      </c>
      <c r="G31">
        <v>55</v>
      </c>
      <c r="H31" s="2"/>
    </row>
    <row r="32" spans="1:13" x14ac:dyDescent="0.25">
      <c r="A32" s="5" t="s">
        <v>6</v>
      </c>
      <c r="B32" s="4" t="s">
        <v>732</v>
      </c>
      <c r="C32" s="5" t="s">
        <v>8</v>
      </c>
      <c r="D32" s="5" t="str">
        <f>_xlfn.IFNA(VLOOKUP(C32,Table1[],2,FALSE),"")</f>
        <v>#802AB7</v>
      </c>
      <c r="E32" s="9" t="s">
        <v>687</v>
      </c>
      <c r="F32" s="21" t="s">
        <v>7</v>
      </c>
      <c r="G32">
        <v>50</v>
      </c>
      <c r="H32" s="2"/>
    </row>
    <row r="33" spans="1:9" x14ac:dyDescent="0.25">
      <c r="A33" s="8" t="s">
        <v>5</v>
      </c>
      <c r="B33" s="4" t="s">
        <v>738</v>
      </c>
      <c r="C33" s="5" t="s">
        <v>17</v>
      </c>
      <c r="D33" s="5" t="str">
        <f>_xlfn.IFNA(VLOOKUP(C33,Table1[],2,FALSE),"")</f>
        <v>#FEDB00</v>
      </c>
      <c r="E33" s="5" t="s">
        <v>703</v>
      </c>
      <c r="F33" s="21" t="s">
        <v>19</v>
      </c>
      <c r="G33">
        <v>15</v>
      </c>
      <c r="H33" s="2"/>
    </row>
    <row r="34" spans="1:9" x14ac:dyDescent="0.25">
      <c r="A34" s="8" t="s">
        <v>5</v>
      </c>
      <c r="B34" s="4" t="s">
        <v>738</v>
      </c>
      <c r="C34" s="5" t="s">
        <v>17</v>
      </c>
      <c r="D34" s="5" t="str">
        <f>_xlfn.IFNA(VLOOKUP(C34,Table1[],2,FALSE),"")</f>
        <v>#FEDB00</v>
      </c>
      <c r="E34" s="5" t="s">
        <v>704</v>
      </c>
      <c r="F34" s="21" t="s">
        <v>19</v>
      </c>
      <c r="G34">
        <v>14</v>
      </c>
    </row>
    <row r="35" spans="1:9" ht="15" customHeight="1" x14ac:dyDescent="0.25">
      <c r="A35" s="8" t="s">
        <v>5</v>
      </c>
      <c r="B35" s="4" t="s">
        <v>275</v>
      </c>
      <c r="C35" s="5" t="s">
        <v>11</v>
      </c>
      <c r="D35" s="5" t="str">
        <f>_xlfn.IFNA(VLOOKUP(C35,Table1[],2,FALSE),"")</f>
        <v>#AEAE9F</v>
      </c>
      <c r="E35" s="5" t="s">
        <v>741</v>
      </c>
      <c r="F35" s="21" t="s">
        <v>18</v>
      </c>
      <c r="G35">
        <v>28</v>
      </c>
      <c r="H35" s="6"/>
      <c r="I35" s="7"/>
    </row>
    <row r="36" spans="1:9" ht="15" customHeight="1" x14ac:dyDescent="0.25">
      <c r="A36" s="8" t="s">
        <v>5</v>
      </c>
      <c r="B36" s="4" t="s">
        <v>275</v>
      </c>
      <c r="C36" s="5" t="s">
        <v>11</v>
      </c>
      <c r="D36" s="5" t="str">
        <f>_xlfn.IFNA(VLOOKUP(C36,Table1[],2,FALSE),"")</f>
        <v>#AEAE9F</v>
      </c>
      <c r="E36" s="5" t="s">
        <v>708</v>
      </c>
      <c r="F36" s="21" t="s">
        <v>18</v>
      </c>
      <c r="G36">
        <v>13</v>
      </c>
      <c r="H36" s="6"/>
      <c r="I36" s="7"/>
    </row>
    <row r="37" spans="1:9" ht="15" customHeight="1" x14ac:dyDescent="0.25">
      <c r="A37" s="8" t="s">
        <v>5</v>
      </c>
      <c r="B37" s="4" t="s">
        <v>275</v>
      </c>
      <c r="C37" s="5" t="s">
        <v>11</v>
      </c>
      <c r="D37" s="5" t="str">
        <f>_xlfn.IFNA(VLOOKUP(C37,Table1[],2,FALSE),"")</f>
        <v>#AEAE9F</v>
      </c>
      <c r="E37" s="9" t="s">
        <v>689</v>
      </c>
      <c r="F37" s="21" t="s">
        <v>7</v>
      </c>
      <c r="G37">
        <v>7</v>
      </c>
      <c r="H37" s="6"/>
      <c r="I37" s="7"/>
    </row>
    <row r="38" spans="1:9" ht="15" customHeight="1" x14ac:dyDescent="0.25">
      <c r="A38" s="8" t="s">
        <v>5</v>
      </c>
      <c r="B38" s="4" t="s">
        <v>275</v>
      </c>
      <c r="C38" s="5" t="s">
        <v>11</v>
      </c>
      <c r="D38" s="5" t="str">
        <f>_xlfn.IFNA(VLOOKUP(C38,Table1[],2,FALSE),"")</f>
        <v>#AEAE9F</v>
      </c>
      <c r="E38" s="9" t="s">
        <v>714</v>
      </c>
      <c r="F38" s="21" t="s">
        <v>13</v>
      </c>
      <c r="G38">
        <v>2</v>
      </c>
      <c r="H38" s="6"/>
      <c r="I38" s="7"/>
    </row>
    <row r="39" spans="1:9" ht="15" customHeight="1" x14ac:dyDescent="0.25">
      <c r="A39" s="8" t="s">
        <v>5</v>
      </c>
      <c r="B39" s="4" t="s">
        <v>275</v>
      </c>
      <c r="C39" s="5" t="s">
        <v>11</v>
      </c>
      <c r="D39" s="5" t="str">
        <f>_xlfn.IFNA(VLOOKUP(C39,Table1[],2,FALSE),"")</f>
        <v>#AEAE9F</v>
      </c>
      <c r="E39" s="5" t="s">
        <v>709</v>
      </c>
      <c r="F39" s="21" t="s">
        <v>18</v>
      </c>
      <c r="G39">
        <v>9</v>
      </c>
      <c r="H39" s="6"/>
      <c r="I39" s="7"/>
    </row>
    <row r="40" spans="1:9" ht="15" customHeight="1" x14ac:dyDescent="0.25">
      <c r="A40" s="8" t="s">
        <v>5</v>
      </c>
      <c r="B40" s="4" t="s">
        <v>739</v>
      </c>
      <c r="C40" s="5" t="s">
        <v>8</v>
      </c>
      <c r="D40" s="5" t="str">
        <f>_xlfn.IFNA(VLOOKUP(C40,Table1[],2,FALSE),"")</f>
        <v>#802AB7</v>
      </c>
      <c r="E40" s="5" t="s">
        <v>693</v>
      </c>
      <c r="F40" s="21" t="s">
        <v>10</v>
      </c>
      <c r="G40">
        <v>5</v>
      </c>
      <c r="H40" s="6"/>
      <c r="I40" s="7"/>
    </row>
    <row r="41" spans="1:9" ht="15" customHeight="1" x14ac:dyDescent="0.25">
      <c r="A41" s="8" t="s">
        <v>5</v>
      </c>
      <c r="B41" s="4" t="s">
        <v>739</v>
      </c>
      <c r="C41" s="5" t="s">
        <v>8</v>
      </c>
      <c r="D41" s="5" t="str">
        <f>_xlfn.IFNA(VLOOKUP(C41,Table1[],2,FALSE),"")</f>
        <v>#802AB7</v>
      </c>
      <c r="E41" s="9" t="s">
        <v>696</v>
      </c>
      <c r="F41" s="21" t="s">
        <v>7</v>
      </c>
      <c r="G41">
        <v>3</v>
      </c>
      <c r="H41" s="6"/>
      <c r="I41" s="7"/>
    </row>
    <row r="42" spans="1:9" ht="15" customHeight="1" x14ac:dyDescent="0.25">
      <c r="A42" s="8" t="s">
        <v>5</v>
      </c>
      <c r="B42" s="4" t="s">
        <v>275</v>
      </c>
      <c r="C42" s="5" t="s">
        <v>11</v>
      </c>
      <c r="D42" s="5" t="str">
        <f>_xlfn.IFNA(VLOOKUP(C42,Table1[],2,FALSE),"")</f>
        <v>#AEAE9F</v>
      </c>
      <c r="E42" s="5" t="s">
        <v>702</v>
      </c>
      <c r="F42" s="21" t="s">
        <v>27</v>
      </c>
      <c r="G42">
        <v>20</v>
      </c>
    </row>
    <row r="43" spans="1:9" ht="15" customHeight="1" x14ac:dyDescent="0.25">
      <c r="A43" s="8" t="s">
        <v>5</v>
      </c>
      <c r="B43" s="4" t="s">
        <v>739</v>
      </c>
      <c r="C43" s="5" t="s">
        <v>8</v>
      </c>
      <c r="D43" s="5" t="str">
        <f>_xlfn.IFNA(VLOOKUP(C43,Table1[],2,FALSE),"")</f>
        <v>#802AB7</v>
      </c>
      <c r="E43" s="9" t="s">
        <v>695</v>
      </c>
      <c r="F43" s="21" t="s">
        <v>7</v>
      </c>
      <c r="G43">
        <v>11</v>
      </c>
    </row>
    <row r="44" spans="1:9" ht="15" customHeight="1" x14ac:dyDescent="0.25">
      <c r="A44" s="8" t="s">
        <v>5</v>
      </c>
      <c r="B44" s="4" t="s">
        <v>275</v>
      </c>
      <c r="C44" s="5" t="s">
        <v>11</v>
      </c>
      <c r="D44" s="5" t="str">
        <f>_xlfn.IFNA(VLOOKUP(C44,Table1[],2,FALSE),"")</f>
        <v>#AEAE9F</v>
      </c>
      <c r="E44" s="9" t="s">
        <v>690</v>
      </c>
      <c r="F44" s="21" t="s">
        <v>7</v>
      </c>
      <c r="G44">
        <v>12</v>
      </c>
    </row>
    <row r="45" spans="1:9" ht="15" customHeight="1" x14ac:dyDescent="0.25">
      <c r="A45" s="8" t="s">
        <v>5</v>
      </c>
      <c r="B45" s="4" t="s">
        <v>710</v>
      </c>
      <c r="C45" s="5" t="s">
        <v>14</v>
      </c>
      <c r="D45" s="5" t="str">
        <f>_xlfn.IFNA(VLOOKUP(C45,Table1[],2,FALSE),"")</f>
        <v>#00E5BA</v>
      </c>
      <c r="E45" s="9" t="s">
        <v>711</v>
      </c>
      <c r="F45" s="21" t="s">
        <v>13</v>
      </c>
      <c r="G45">
        <v>25</v>
      </c>
    </row>
    <row r="46" spans="1:9" ht="15" customHeight="1" x14ac:dyDescent="0.25">
      <c r="A46" s="8" t="s">
        <v>5</v>
      </c>
      <c r="B46" s="4" t="s">
        <v>275</v>
      </c>
      <c r="C46" s="5" t="s">
        <v>11</v>
      </c>
      <c r="D46" s="5" t="str">
        <f>_xlfn.IFNA(VLOOKUP(C46,Table1[],2,FALSE),"")</f>
        <v>#AEAE9F</v>
      </c>
      <c r="E46" s="9" t="s">
        <v>707</v>
      </c>
      <c r="F46" s="21" t="s">
        <v>13</v>
      </c>
      <c r="G46">
        <v>1</v>
      </c>
    </row>
    <row r="47" spans="1:9" ht="15" customHeight="1" x14ac:dyDescent="0.25">
      <c r="A47" s="8" t="s">
        <v>5</v>
      </c>
      <c r="B47" s="4" t="s">
        <v>726</v>
      </c>
      <c r="C47" s="5" t="s">
        <v>16</v>
      </c>
      <c r="D47" s="5" t="str">
        <f>_xlfn.IFNA(VLOOKUP(C47,Table1[],2,FALSE),"")</f>
        <v>#00B600</v>
      </c>
      <c r="E47" s="9" t="s">
        <v>740</v>
      </c>
      <c r="F47" s="21" t="s">
        <v>15</v>
      </c>
      <c r="G47">
        <v>17</v>
      </c>
    </row>
    <row r="48" spans="1:9" ht="15" customHeight="1" x14ac:dyDescent="0.25">
      <c r="A48" s="8" t="s">
        <v>5</v>
      </c>
      <c r="B48" s="4" t="s">
        <v>275</v>
      </c>
      <c r="C48" s="5" t="s">
        <v>11</v>
      </c>
      <c r="D48" s="5" t="str">
        <f>_xlfn.IFNA(VLOOKUP(C48,Table1[],2,FALSE),"")</f>
        <v>#AEAE9F</v>
      </c>
      <c r="E48" s="5" t="s">
        <v>698</v>
      </c>
      <c r="F48" s="21" t="s">
        <v>10</v>
      </c>
      <c r="G48">
        <v>4</v>
      </c>
    </row>
    <row r="49" spans="1:7" ht="15" customHeight="1" x14ac:dyDescent="0.25">
      <c r="A49" s="8" t="s">
        <v>5</v>
      </c>
      <c r="B49" s="4" t="s">
        <v>730</v>
      </c>
      <c r="C49" s="5" t="s">
        <v>23</v>
      </c>
      <c r="D49" s="5" t="str">
        <f>_xlfn.IFNA(VLOOKUP(C49,Table1[],2,FALSE),"")</f>
        <v>#C700D3</v>
      </c>
      <c r="E49" s="5" t="s">
        <v>697</v>
      </c>
      <c r="F49" s="21" t="s">
        <v>10</v>
      </c>
      <c r="G49">
        <v>23</v>
      </c>
    </row>
    <row r="50" spans="1:7" ht="15" customHeight="1" x14ac:dyDescent="0.25">
      <c r="A50" s="8" t="s">
        <v>5</v>
      </c>
      <c r="B50" s="4" t="s">
        <v>710</v>
      </c>
      <c r="C50" s="5" t="s">
        <v>14</v>
      </c>
      <c r="D50" s="5" t="str">
        <f>_xlfn.IFNA(VLOOKUP(C50,Table1[],2,FALSE),"")</f>
        <v>#00E5BA</v>
      </c>
      <c r="E50" s="9" t="s">
        <v>706</v>
      </c>
      <c r="F50" s="21" t="s">
        <v>13</v>
      </c>
      <c r="G50">
        <v>27</v>
      </c>
    </row>
    <row r="51" spans="1:7" ht="15" customHeight="1" x14ac:dyDescent="0.25">
      <c r="A51" s="8" t="s">
        <v>5</v>
      </c>
      <c r="B51" s="4" t="s">
        <v>275</v>
      </c>
      <c r="C51" s="5" t="s">
        <v>11</v>
      </c>
      <c r="D51" s="5" t="str">
        <f>_xlfn.IFNA(VLOOKUP(C51,Table1[],2,FALSE),"")</f>
        <v>#AEAE9F</v>
      </c>
      <c r="E51" s="9" t="s">
        <v>701</v>
      </c>
      <c r="F51" s="21" t="s">
        <v>15</v>
      </c>
      <c r="G51">
        <v>22</v>
      </c>
    </row>
    <row r="52" spans="1:7" ht="15" customHeight="1" x14ac:dyDescent="0.25">
      <c r="A52" s="8" t="s">
        <v>5</v>
      </c>
      <c r="B52" s="4" t="s">
        <v>275</v>
      </c>
      <c r="C52" s="5" t="s">
        <v>11</v>
      </c>
      <c r="D52" s="5" t="str">
        <f>_xlfn.IFNA(VLOOKUP(C52,Table1[],2,FALSE),"")</f>
        <v>#AEAE9F</v>
      </c>
      <c r="E52" s="5" t="s">
        <v>712</v>
      </c>
      <c r="F52" s="21" t="s">
        <v>18</v>
      </c>
      <c r="G52">
        <v>30</v>
      </c>
    </row>
    <row r="53" spans="1:7" ht="15" customHeight="1" x14ac:dyDescent="0.25">
      <c r="A53" s="8" t="s">
        <v>5</v>
      </c>
      <c r="B53" s="4" t="s">
        <v>720</v>
      </c>
      <c r="C53" s="5" t="s">
        <v>22</v>
      </c>
      <c r="D53" s="5" t="str">
        <f>_xlfn.IFNA(VLOOKUP(C53,Table1[],2,FALSE),"")</f>
        <v>#FA0028</v>
      </c>
      <c r="E53" s="5" t="s">
        <v>721</v>
      </c>
      <c r="F53" s="21" t="s">
        <v>21</v>
      </c>
      <c r="G53">
        <v>21</v>
      </c>
    </row>
    <row r="54" spans="1:7" ht="15" customHeight="1" x14ac:dyDescent="0.25">
      <c r="A54" s="8" t="s">
        <v>5</v>
      </c>
      <c r="B54" s="4" t="s">
        <v>726</v>
      </c>
      <c r="C54" s="5" t="s">
        <v>16</v>
      </c>
      <c r="D54" s="5" t="str">
        <f>_xlfn.IFNA(VLOOKUP(C54,Table1[],2,FALSE),"")</f>
        <v>#00B600</v>
      </c>
      <c r="E54" s="9" t="s">
        <v>716</v>
      </c>
      <c r="F54" s="21" t="s">
        <v>15</v>
      </c>
      <c r="G54">
        <v>19</v>
      </c>
    </row>
    <row r="55" spans="1:7" ht="15" customHeight="1" x14ac:dyDescent="0.25">
      <c r="A55" s="8" t="s">
        <v>5</v>
      </c>
      <c r="B55" s="4" t="s">
        <v>275</v>
      </c>
      <c r="C55" s="5" t="s">
        <v>11</v>
      </c>
      <c r="D55" s="5" t="str">
        <f>_xlfn.IFNA(VLOOKUP(C55,Table1[],2,FALSE),"")</f>
        <v>#AEAE9F</v>
      </c>
      <c r="E55" s="5" t="s">
        <v>694</v>
      </c>
      <c r="F55" s="21" t="s">
        <v>10</v>
      </c>
      <c r="G55">
        <v>10</v>
      </c>
    </row>
    <row r="56" spans="1:7" x14ac:dyDescent="0.25">
      <c r="A56" s="8" t="s">
        <v>5</v>
      </c>
      <c r="B56" s="4" t="s">
        <v>726</v>
      </c>
      <c r="C56" s="5" t="s">
        <v>16</v>
      </c>
      <c r="D56" s="5" t="str">
        <f>_xlfn.IFNA(VLOOKUP(C56,Table1[],2,FALSE),"")</f>
        <v>#00B600</v>
      </c>
      <c r="E56" s="9" t="s">
        <v>700</v>
      </c>
      <c r="F56" s="21" t="s">
        <v>15</v>
      </c>
      <c r="G56">
        <v>24</v>
      </c>
    </row>
    <row r="57" spans="1:7" x14ac:dyDescent="0.25">
      <c r="A57" s="8" t="s">
        <v>5</v>
      </c>
      <c r="B57" s="4" t="s">
        <v>720</v>
      </c>
      <c r="C57" s="5" t="s">
        <v>22</v>
      </c>
      <c r="D57" s="5" t="str">
        <f>_xlfn.IFNA(VLOOKUP(C57,Table1[],2,FALSE),"")</f>
        <v>#FA0028</v>
      </c>
      <c r="E57" s="5" t="s">
        <v>692</v>
      </c>
      <c r="F57" s="21" t="s">
        <v>21</v>
      </c>
      <c r="G57">
        <v>29</v>
      </c>
    </row>
    <row r="58" spans="1:7" x14ac:dyDescent="0.25">
      <c r="A58" s="8" t="s">
        <v>5</v>
      </c>
      <c r="B58" s="4" t="s">
        <v>275</v>
      </c>
      <c r="C58" s="5" t="s">
        <v>11</v>
      </c>
      <c r="D58" s="5" t="str">
        <f>_xlfn.IFNA(VLOOKUP(C58,Table1[],2,FALSE),"")</f>
        <v>#AEAE9F</v>
      </c>
      <c r="E58" s="9" t="s">
        <v>719</v>
      </c>
      <c r="F58" s="21" t="s">
        <v>7</v>
      </c>
      <c r="G58">
        <v>16</v>
      </c>
    </row>
    <row r="59" spans="1:7" x14ac:dyDescent="0.25">
      <c r="A59" s="8" t="s">
        <v>5</v>
      </c>
      <c r="B59" s="4" t="s">
        <v>739</v>
      </c>
      <c r="C59" s="5" t="s">
        <v>8</v>
      </c>
      <c r="D59" s="5" t="str">
        <f>_xlfn.IFNA(VLOOKUP(C59,Table1[],2,FALSE),"")</f>
        <v>#802AB7</v>
      </c>
      <c r="E59" s="9" t="s">
        <v>686</v>
      </c>
      <c r="F59" s="21" t="s">
        <v>7</v>
      </c>
      <c r="G59">
        <v>6</v>
      </c>
    </row>
    <row r="60" spans="1:7" x14ac:dyDescent="0.25">
      <c r="A60" s="8" t="s">
        <v>5</v>
      </c>
      <c r="B60" s="4" t="s">
        <v>720</v>
      </c>
      <c r="C60" s="5" t="s">
        <v>22</v>
      </c>
      <c r="D60" s="5" t="str">
        <f>_xlfn.IFNA(VLOOKUP(C60,Table1[],2,FALSE),"")</f>
        <v>#FA0028</v>
      </c>
      <c r="E60" s="5" t="s">
        <v>691</v>
      </c>
      <c r="F60" s="21" t="s">
        <v>21</v>
      </c>
      <c r="G60">
        <v>26</v>
      </c>
    </row>
    <row r="61" spans="1:7" x14ac:dyDescent="0.25">
      <c r="A61" s="8" t="s">
        <v>5</v>
      </c>
      <c r="B61" s="4" t="s">
        <v>726</v>
      </c>
      <c r="C61" s="5" t="s">
        <v>16</v>
      </c>
      <c r="D61" s="5" t="str">
        <f>_xlfn.IFNA(VLOOKUP(C61,Table1[],2,FALSE),"")</f>
        <v>#00B600</v>
      </c>
      <c r="E61" s="5" t="s">
        <v>705</v>
      </c>
      <c r="F61" s="21" t="s">
        <v>19</v>
      </c>
      <c r="G61">
        <v>18</v>
      </c>
    </row>
    <row r="62" spans="1:7" x14ac:dyDescent="0.25">
      <c r="A62" s="8" t="s">
        <v>5</v>
      </c>
      <c r="B62" s="4" t="s">
        <v>739</v>
      </c>
      <c r="C62" s="5" t="s">
        <v>8</v>
      </c>
      <c r="D62" s="5" t="str">
        <f>_xlfn.IFNA(VLOOKUP(C62,Table1[],2,FALSE),"")</f>
        <v>#802AB7</v>
      </c>
      <c r="E62" s="5" t="s">
        <v>688</v>
      </c>
      <c r="F62" s="21" t="s">
        <v>18</v>
      </c>
      <c r="G62">
        <v>31</v>
      </c>
    </row>
    <row r="63" spans="1:7" x14ac:dyDescent="0.25">
      <c r="A63" s="8" t="s">
        <v>5</v>
      </c>
      <c r="B63" s="4" t="s">
        <v>739</v>
      </c>
      <c r="C63" s="5" t="s">
        <v>8</v>
      </c>
      <c r="D63" s="5" t="str">
        <f>_xlfn.IFNA(VLOOKUP(C63,Table1[],2,FALSE),"")</f>
        <v>#802AB7</v>
      </c>
      <c r="E63" s="9" t="s">
        <v>687</v>
      </c>
      <c r="F63" s="21" t="s">
        <v>7</v>
      </c>
      <c r="G63">
        <v>8</v>
      </c>
    </row>
  </sheetData>
  <autoFilter ref="A1:G63" xr:uid="{F7021037-6C9D-4F51-AE6D-BB4EBAE016DA}">
    <sortState xmlns:xlrd2="http://schemas.microsoft.com/office/spreadsheetml/2017/richdata2" ref="A2:G63">
      <sortCondition ref="A1:A63"/>
    </sortState>
  </autoFilter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A1AA347-81FE-47F6-8953-D47A079FE3A7}">
          <x14:formula1>
            <xm:f>CATA!$A:$A</xm:f>
          </x14:formula1>
          <xm:sqref>C2:C63</xm:sqref>
        </x14:dataValidation>
        <x14:dataValidation type="list" allowBlank="1" showInputMessage="1" showErrorMessage="1" xr:uid="{0A0D6900-2222-4034-8CBA-7EE9E702590D}">
          <x14:formula1>
            <xm:f>CATA!$A$1:$A$4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1037-6C9D-4F51-AE6D-BB4EBAE016DA}">
  <dimension ref="A1:J63"/>
  <sheetViews>
    <sheetView zoomScaleNormal="100" workbookViewId="0">
      <selection activeCell="B2" sqref="B2:E32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10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722</v>
      </c>
      <c r="H1" t="s">
        <v>25</v>
      </c>
    </row>
    <row r="2" spans="1:10" x14ac:dyDescent="0.25">
      <c r="A2" s="5" t="s">
        <v>6</v>
      </c>
      <c r="B2" s="4" t="s">
        <v>710</v>
      </c>
      <c r="C2" s="5" t="s">
        <v>14</v>
      </c>
      <c r="D2" s="5" t="str">
        <f>_xlfn.IFNA(VLOOKUP(C2,Table1[],2,FALSE),"")</f>
        <v>#00E5BA</v>
      </c>
      <c r="E2" s="9" t="s">
        <v>711</v>
      </c>
      <c r="F2">
        <v>32</v>
      </c>
      <c r="G2" s="2"/>
      <c r="H2" t="s">
        <v>26</v>
      </c>
    </row>
    <row r="3" spans="1:10" x14ac:dyDescent="0.25">
      <c r="A3" s="5" t="s">
        <v>6</v>
      </c>
      <c r="B3" s="4" t="s">
        <v>710</v>
      </c>
      <c r="C3" s="5" t="s">
        <v>14</v>
      </c>
      <c r="D3" s="5" t="str">
        <f>_xlfn.IFNA(VLOOKUP(C3,Table1[],2,FALSE),"")</f>
        <v>#00E5BA</v>
      </c>
      <c r="E3" s="9" t="s">
        <v>706</v>
      </c>
      <c r="F3">
        <v>33</v>
      </c>
      <c r="G3" s="2"/>
    </row>
    <row r="4" spans="1:10" x14ac:dyDescent="0.25">
      <c r="A4" s="5" t="s">
        <v>6</v>
      </c>
      <c r="B4" s="4" t="s">
        <v>710</v>
      </c>
      <c r="C4" s="5" t="s">
        <v>14</v>
      </c>
      <c r="D4" s="5" t="str">
        <f>_xlfn.IFNA(VLOOKUP(C4,Table1[],2,FALSE),"")</f>
        <v>#00E5BA</v>
      </c>
      <c r="E4" s="9" t="s">
        <v>707</v>
      </c>
      <c r="F4">
        <v>34</v>
      </c>
      <c r="G4" s="2"/>
    </row>
    <row r="5" spans="1:10" x14ac:dyDescent="0.25">
      <c r="A5" s="5" t="s">
        <v>6</v>
      </c>
      <c r="B5" s="4" t="s">
        <v>710</v>
      </c>
      <c r="C5" s="5" t="s">
        <v>14</v>
      </c>
      <c r="D5" s="5" t="str">
        <f>_xlfn.IFNA(VLOOKUP(C5,Table1[],2,FALSE),"")</f>
        <v>#00E5BA</v>
      </c>
      <c r="E5" s="9" t="s">
        <v>714</v>
      </c>
      <c r="F5">
        <v>35</v>
      </c>
      <c r="G5" s="2"/>
    </row>
    <row r="6" spans="1:10" x14ac:dyDescent="0.25">
      <c r="A6" s="5" t="s">
        <v>6</v>
      </c>
      <c r="B6" s="4" t="s">
        <v>732</v>
      </c>
      <c r="C6" s="5" t="s">
        <v>8</v>
      </c>
      <c r="D6" s="5" t="str">
        <f>_xlfn.IFNA(VLOOKUP(C6,Table1[],2,FALSE),"")</f>
        <v>#802AB7</v>
      </c>
      <c r="E6" s="9" t="s">
        <v>696</v>
      </c>
      <c r="F6">
        <v>36</v>
      </c>
      <c r="G6" s="2"/>
    </row>
    <row r="7" spans="1:10" x14ac:dyDescent="0.25">
      <c r="A7" s="5" t="s">
        <v>6</v>
      </c>
      <c r="B7" s="4" t="s">
        <v>732</v>
      </c>
      <c r="C7" s="5" t="s">
        <v>8</v>
      </c>
      <c r="D7" s="5" t="str">
        <f>_xlfn.IFNA(VLOOKUP(C7,Table1[],2,FALSE),"")</f>
        <v>#802AB7</v>
      </c>
      <c r="E7" s="9" t="s">
        <v>687</v>
      </c>
      <c r="F7">
        <v>37</v>
      </c>
      <c r="G7" s="2"/>
    </row>
    <row r="8" spans="1:10" x14ac:dyDescent="0.25">
      <c r="A8" s="5" t="s">
        <v>6</v>
      </c>
      <c r="B8" s="4" t="s">
        <v>732</v>
      </c>
      <c r="C8" s="5" t="s">
        <v>8</v>
      </c>
      <c r="D8" s="5" t="str">
        <f>_xlfn.IFNA(VLOOKUP(C8,Table1[],2,FALSE),"")</f>
        <v>#802AB7</v>
      </c>
      <c r="E8" s="9" t="s">
        <v>695</v>
      </c>
      <c r="F8">
        <v>38</v>
      </c>
      <c r="G8" s="2"/>
    </row>
    <row r="9" spans="1:10" x14ac:dyDescent="0.25">
      <c r="A9" s="5" t="s">
        <v>6</v>
      </c>
      <c r="B9" s="5" t="s">
        <v>732</v>
      </c>
      <c r="C9" s="5" t="s">
        <v>8</v>
      </c>
      <c r="D9" s="5" t="str">
        <f>_xlfn.IFNA(VLOOKUP(C9,Table1[],2,FALSE),"")</f>
        <v>#802AB7</v>
      </c>
      <c r="E9" s="9" t="s">
        <v>690</v>
      </c>
      <c r="F9">
        <v>39</v>
      </c>
      <c r="G9" s="2"/>
    </row>
    <row r="10" spans="1:10" x14ac:dyDescent="0.25">
      <c r="A10" s="5" t="s">
        <v>6</v>
      </c>
      <c r="B10" s="5" t="s">
        <v>732</v>
      </c>
      <c r="C10" s="5" t="s">
        <v>8</v>
      </c>
      <c r="D10" s="5" t="str">
        <f>_xlfn.IFNA(VLOOKUP(C10,Table1[],2,FALSE),"")</f>
        <v>#802AB7</v>
      </c>
      <c r="E10" s="9" t="s">
        <v>686</v>
      </c>
      <c r="F10">
        <v>40</v>
      </c>
      <c r="G10" s="2"/>
      <c r="I10" t="s">
        <v>279</v>
      </c>
      <c r="J10" t="s">
        <v>711</v>
      </c>
    </row>
    <row r="11" spans="1:10" x14ac:dyDescent="0.25">
      <c r="A11" s="5" t="s">
        <v>6</v>
      </c>
      <c r="B11" s="5" t="s">
        <v>732</v>
      </c>
      <c r="C11" s="5" t="s">
        <v>8</v>
      </c>
      <c r="D11" s="5" t="str">
        <f>_xlfn.IFNA(VLOOKUP(C11,Table1[],2,FALSE),"")</f>
        <v>#802AB7</v>
      </c>
      <c r="E11" s="9" t="s">
        <v>689</v>
      </c>
      <c r="F11">
        <v>41</v>
      </c>
      <c r="G11" s="2"/>
      <c r="I11" t="s">
        <v>279</v>
      </c>
      <c r="J11" t="s">
        <v>707</v>
      </c>
    </row>
    <row r="12" spans="1:10" x14ac:dyDescent="0.25">
      <c r="A12" s="5" t="s">
        <v>6</v>
      </c>
      <c r="B12" s="4" t="s">
        <v>732</v>
      </c>
      <c r="C12" s="5" t="s">
        <v>8</v>
      </c>
      <c r="D12" s="5" t="str">
        <f>_xlfn.IFNA(VLOOKUP(C12,Table1[],2,FALSE),"")</f>
        <v>#802AB7</v>
      </c>
      <c r="E12" s="9" t="s">
        <v>719</v>
      </c>
      <c r="F12">
        <v>42</v>
      </c>
      <c r="I12" t="s">
        <v>279</v>
      </c>
      <c r="J12" t="s">
        <v>706</v>
      </c>
    </row>
    <row r="13" spans="1:10" x14ac:dyDescent="0.25">
      <c r="A13" s="5" t="s">
        <v>6</v>
      </c>
      <c r="B13" s="4" t="s">
        <v>733</v>
      </c>
      <c r="C13" s="5" t="s">
        <v>16</v>
      </c>
      <c r="D13" s="5" t="str">
        <f>_xlfn.IFNA(VLOOKUP(C13,Table1[],2,FALSE),"")</f>
        <v>#00B600</v>
      </c>
      <c r="E13" s="9" t="s">
        <v>717</v>
      </c>
      <c r="F13">
        <v>43</v>
      </c>
      <c r="G13" s="2"/>
      <c r="I13" t="s">
        <v>279</v>
      </c>
      <c r="J13" t="s">
        <v>696</v>
      </c>
    </row>
    <row r="14" spans="1:10" x14ac:dyDescent="0.25">
      <c r="A14" s="5" t="s">
        <v>6</v>
      </c>
      <c r="B14" s="5" t="s">
        <v>733</v>
      </c>
      <c r="C14" s="5" t="s">
        <v>16</v>
      </c>
      <c r="D14" s="5" t="str">
        <f>_xlfn.IFNA(VLOOKUP(C14,Table1[],2,FALSE),"")</f>
        <v>#00B600</v>
      </c>
      <c r="E14" s="9" t="s">
        <v>716</v>
      </c>
      <c r="F14">
        <v>44</v>
      </c>
      <c r="G14" s="2"/>
      <c r="I14" t="s">
        <v>279</v>
      </c>
      <c r="J14" t="s">
        <v>712</v>
      </c>
    </row>
    <row r="15" spans="1:10" x14ac:dyDescent="0.25">
      <c r="A15" s="5" t="s">
        <v>6</v>
      </c>
      <c r="B15" s="5" t="s">
        <v>733</v>
      </c>
      <c r="C15" s="5" t="s">
        <v>16</v>
      </c>
      <c r="D15" s="5" t="str">
        <f>_xlfn.IFNA(VLOOKUP(C15,Table1[],2,FALSE),"")</f>
        <v>#00B600</v>
      </c>
      <c r="E15" s="9" t="s">
        <v>700</v>
      </c>
      <c r="F15">
        <v>45</v>
      </c>
      <c r="G15" s="2"/>
      <c r="I15" t="s">
        <v>279</v>
      </c>
      <c r="J15" t="s">
        <v>698</v>
      </c>
    </row>
    <row r="16" spans="1:10" x14ac:dyDescent="0.25">
      <c r="A16" s="5" t="s">
        <v>6</v>
      </c>
      <c r="B16" s="4" t="s">
        <v>733</v>
      </c>
      <c r="C16" s="5" t="s">
        <v>16</v>
      </c>
      <c r="D16" s="5" t="str">
        <f>_xlfn.IFNA(VLOOKUP(C16,Table1[],2,FALSE),"")</f>
        <v>#00B600</v>
      </c>
      <c r="E16" s="9" t="s">
        <v>701</v>
      </c>
      <c r="F16">
        <v>46</v>
      </c>
      <c r="G16" s="2"/>
      <c r="I16" t="s">
        <v>279</v>
      </c>
      <c r="J16" t="s">
        <v>702</v>
      </c>
    </row>
    <row r="17" spans="1:10" x14ac:dyDescent="0.25">
      <c r="A17" s="5" t="s">
        <v>6</v>
      </c>
      <c r="B17" s="5" t="s">
        <v>734</v>
      </c>
      <c r="C17" s="5" t="s">
        <v>9</v>
      </c>
      <c r="D17" s="5" t="str">
        <f>_xlfn.IFNA(VLOOKUP(C17,Table1[],2,FALSE),"")</f>
        <v>#0060FF</v>
      </c>
      <c r="E17" s="5" t="s">
        <v>697</v>
      </c>
      <c r="F17">
        <v>47</v>
      </c>
      <c r="G17" s="2"/>
      <c r="I17" t="s">
        <v>279</v>
      </c>
      <c r="J17" t="s">
        <v>688</v>
      </c>
    </row>
    <row r="18" spans="1:10" x14ac:dyDescent="0.25">
      <c r="A18" s="5" t="s">
        <v>6</v>
      </c>
      <c r="B18" s="5" t="s">
        <v>734</v>
      </c>
      <c r="C18" s="5" t="s">
        <v>9</v>
      </c>
      <c r="D18" s="5" t="str">
        <f>_xlfn.IFNA(VLOOKUP(C18,Table1[],2,FALSE),"")</f>
        <v>#0060FF</v>
      </c>
      <c r="E18" s="5" t="s">
        <v>698</v>
      </c>
      <c r="F18">
        <v>48</v>
      </c>
      <c r="G18" s="2"/>
      <c r="I18" t="s">
        <v>279</v>
      </c>
      <c r="J18" t="s">
        <v>697</v>
      </c>
    </row>
    <row r="19" spans="1:10" x14ac:dyDescent="0.25">
      <c r="A19" s="5" t="s">
        <v>6</v>
      </c>
      <c r="B19" s="5" t="s">
        <v>734</v>
      </c>
      <c r="C19" s="5" t="s">
        <v>9</v>
      </c>
      <c r="D19" s="5" t="str">
        <f>_xlfn.IFNA(VLOOKUP(C19,Table1[],2,FALSE),"")</f>
        <v>#0060FF</v>
      </c>
      <c r="E19" s="5" t="s">
        <v>693</v>
      </c>
      <c r="F19">
        <v>49</v>
      </c>
      <c r="G19" s="2"/>
    </row>
    <row r="20" spans="1:10" x14ac:dyDescent="0.25">
      <c r="A20" s="5" t="s">
        <v>6</v>
      </c>
      <c r="B20" s="5" t="s">
        <v>734</v>
      </c>
      <c r="C20" s="5" t="s">
        <v>9</v>
      </c>
      <c r="D20" s="5" t="str">
        <f>_xlfn.IFNA(VLOOKUP(C20,Table1[],2,FALSE),"")</f>
        <v>#0060FF</v>
      </c>
      <c r="E20" s="5" t="s">
        <v>694</v>
      </c>
      <c r="F20">
        <v>50</v>
      </c>
      <c r="G20" s="2"/>
      <c r="I20" t="s">
        <v>713</v>
      </c>
      <c r="J20" t="s">
        <v>714</v>
      </c>
    </row>
    <row r="21" spans="1:10" x14ac:dyDescent="0.25">
      <c r="A21" s="5" t="s">
        <v>6</v>
      </c>
      <c r="B21" s="5" t="s">
        <v>735</v>
      </c>
      <c r="C21" s="5" t="s">
        <v>20</v>
      </c>
      <c r="D21" s="5" t="str">
        <f>_xlfn.IFNA(VLOOKUP(C21,Table1[],2,FALSE),"")</f>
        <v>#FF5000</v>
      </c>
      <c r="E21" s="5" t="s">
        <v>704</v>
      </c>
      <c r="F21">
        <v>51</v>
      </c>
      <c r="G21" s="2"/>
      <c r="I21" t="s">
        <v>713</v>
      </c>
      <c r="J21" t="s">
        <v>687</v>
      </c>
    </row>
    <row r="22" spans="1:10" x14ac:dyDescent="0.25">
      <c r="A22" s="5" t="s">
        <v>6</v>
      </c>
      <c r="B22" s="5" t="s">
        <v>735</v>
      </c>
      <c r="C22" s="5" t="s">
        <v>20</v>
      </c>
      <c r="D22" s="5" t="str">
        <f>_xlfn.IFNA(VLOOKUP(C22,Table1[],2,FALSE),"")</f>
        <v>#FF5000</v>
      </c>
      <c r="E22" s="5" t="s">
        <v>703</v>
      </c>
      <c r="F22">
        <v>52</v>
      </c>
      <c r="G22" s="2"/>
      <c r="I22" t="s">
        <v>713</v>
      </c>
      <c r="J22" t="s">
        <v>693</v>
      </c>
    </row>
    <row r="23" spans="1:10" x14ac:dyDescent="0.25">
      <c r="A23" s="5" t="s">
        <v>6</v>
      </c>
      <c r="B23" s="5" t="s">
        <v>735</v>
      </c>
      <c r="C23" s="5" t="s">
        <v>20</v>
      </c>
      <c r="D23" s="5" t="str">
        <f>_xlfn.IFNA(VLOOKUP(C23,Table1[],2,FALSE),"")</f>
        <v>#FF5000</v>
      </c>
      <c r="E23" s="5" t="s">
        <v>705</v>
      </c>
      <c r="F23">
        <v>53</v>
      </c>
      <c r="G23" s="2"/>
      <c r="I23" t="s">
        <v>713</v>
      </c>
      <c r="J23" t="s">
        <v>694</v>
      </c>
    </row>
    <row r="24" spans="1:10" x14ac:dyDescent="0.25">
      <c r="A24" s="5" t="s">
        <v>6</v>
      </c>
      <c r="B24" s="5" t="s">
        <v>736</v>
      </c>
      <c r="C24" s="5" t="s">
        <v>28</v>
      </c>
      <c r="D24" s="5" t="str">
        <f>_xlfn.IFNA(VLOOKUP(C24,Table1[],2,FALSE),"")</f>
        <v>#D9D9D9</v>
      </c>
      <c r="E24" s="5" t="s">
        <v>702</v>
      </c>
      <c r="F24">
        <v>54</v>
      </c>
      <c r="G24" s="2"/>
      <c r="I24" t="s">
        <v>713</v>
      </c>
      <c r="J24" t="s">
        <v>695</v>
      </c>
    </row>
    <row r="25" spans="1:10" x14ac:dyDescent="0.25">
      <c r="A25" s="5" t="s">
        <v>6</v>
      </c>
      <c r="B25" s="5" t="s">
        <v>720</v>
      </c>
      <c r="C25" s="5" t="s">
        <v>22</v>
      </c>
      <c r="D25" s="5" t="str">
        <f>_xlfn.IFNA(VLOOKUP(C25,Table1[],2,FALSE),"")</f>
        <v>#FA0028</v>
      </c>
      <c r="E25" s="5" t="s">
        <v>721</v>
      </c>
      <c r="F25">
        <v>55</v>
      </c>
      <c r="G25" s="2"/>
      <c r="I25" t="s">
        <v>713</v>
      </c>
      <c r="J25" t="s">
        <v>690</v>
      </c>
    </row>
    <row r="26" spans="1:10" x14ac:dyDescent="0.25">
      <c r="A26" s="5" t="s">
        <v>6</v>
      </c>
      <c r="B26" s="5" t="s">
        <v>720</v>
      </c>
      <c r="C26" s="5" t="s">
        <v>22</v>
      </c>
      <c r="D26" s="5" t="str">
        <f>_xlfn.IFNA(VLOOKUP(C26,Table1[],2,FALSE),"")</f>
        <v>#FA0028</v>
      </c>
      <c r="E26" s="5" t="s">
        <v>691</v>
      </c>
      <c r="F26">
        <v>56</v>
      </c>
      <c r="G26" s="2"/>
      <c r="I26" t="s">
        <v>713</v>
      </c>
      <c r="J26" t="s">
        <v>689</v>
      </c>
    </row>
    <row r="27" spans="1:10" x14ac:dyDescent="0.25">
      <c r="A27" s="5" t="s">
        <v>6</v>
      </c>
      <c r="B27" s="5" t="s">
        <v>720</v>
      </c>
      <c r="C27" s="5" t="s">
        <v>22</v>
      </c>
      <c r="D27" s="5" t="str">
        <f>_xlfn.IFNA(VLOOKUP(C27,Table1[],2,FALSE),"")</f>
        <v>#FA0028</v>
      </c>
      <c r="E27" s="5" t="s">
        <v>692</v>
      </c>
      <c r="F27">
        <v>57</v>
      </c>
      <c r="G27" s="2"/>
      <c r="I27" t="s">
        <v>713</v>
      </c>
      <c r="J27" t="s">
        <v>704</v>
      </c>
    </row>
    <row r="28" spans="1:10" x14ac:dyDescent="0.25">
      <c r="A28" s="5" t="s">
        <v>6</v>
      </c>
      <c r="B28" s="5" t="s">
        <v>737</v>
      </c>
      <c r="C28" s="5" t="s">
        <v>17</v>
      </c>
      <c r="D28" s="5" t="str">
        <f>_xlfn.IFNA(VLOOKUP(C28,Table1[],2,FALSE),"")</f>
        <v>#FEDB00</v>
      </c>
      <c r="E28" s="5" t="s">
        <v>712</v>
      </c>
      <c r="F28">
        <v>58</v>
      </c>
      <c r="G28" s="2"/>
      <c r="I28" t="s">
        <v>713</v>
      </c>
      <c r="J28" t="s">
        <v>686</v>
      </c>
    </row>
    <row r="29" spans="1:10" x14ac:dyDescent="0.25">
      <c r="A29" s="5" t="s">
        <v>6</v>
      </c>
      <c r="B29" s="5" t="s">
        <v>737</v>
      </c>
      <c r="C29" s="5" t="s">
        <v>17</v>
      </c>
      <c r="D29" s="5" t="str">
        <f>_xlfn.IFNA(VLOOKUP(C29,Table1[],2,FALSE),"")</f>
        <v>#FEDB00</v>
      </c>
      <c r="E29" s="5" t="s">
        <v>688</v>
      </c>
      <c r="F29">
        <v>59</v>
      </c>
      <c r="G29" s="2"/>
    </row>
    <row r="30" spans="1:10" x14ac:dyDescent="0.25">
      <c r="A30" s="5" t="s">
        <v>6</v>
      </c>
      <c r="B30" s="5" t="s">
        <v>737</v>
      </c>
      <c r="C30" s="5" t="s">
        <v>17</v>
      </c>
      <c r="D30" s="5" t="str">
        <f>_xlfn.IFNA(VLOOKUP(C30,Table1[],2,FALSE),"")</f>
        <v>#FEDB00</v>
      </c>
      <c r="E30" s="5" t="s">
        <v>709</v>
      </c>
      <c r="F30">
        <v>60</v>
      </c>
      <c r="G30" s="2"/>
      <c r="I30" t="s">
        <v>715</v>
      </c>
      <c r="J30" t="s">
        <v>716</v>
      </c>
    </row>
    <row r="31" spans="1:10" x14ac:dyDescent="0.25">
      <c r="A31" s="5" t="s">
        <v>6</v>
      </c>
      <c r="B31" s="5" t="s">
        <v>737</v>
      </c>
      <c r="C31" s="5" t="s">
        <v>17</v>
      </c>
      <c r="D31" s="5" t="str">
        <f>_xlfn.IFNA(VLOOKUP(C31,Table1[],2,FALSE),"")</f>
        <v>#FEDB00</v>
      </c>
      <c r="E31" s="5" t="s">
        <v>708</v>
      </c>
      <c r="F31">
        <v>61</v>
      </c>
      <c r="G31" s="2"/>
      <c r="I31" t="s">
        <v>715</v>
      </c>
      <c r="J31" t="s">
        <v>700</v>
      </c>
    </row>
    <row r="32" spans="1:10" x14ac:dyDescent="0.25">
      <c r="A32" s="5" t="s">
        <v>6</v>
      </c>
      <c r="B32" s="5" t="s">
        <v>737</v>
      </c>
      <c r="C32" s="5" t="s">
        <v>17</v>
      </c>
      <c r="D32" s="5" t="str">
        <f>_xlfn.IFNA(VLOOKUP(C32,Table1[],2,FALSE),"")</f>
        <v>#FEDB00</v>
      </c>
      <c r="E32" s="5" t="s">
        <v>699</v>
      </c>
      <c r="F32">
        <v>62</v>
      </c>
      <c r="G32" s="2"/>
      <c r="I32" t="s">
        <v>715</v>
      </c>
      <c r="J32" t="s">
        <v>717</v>
      </c>
    </row>
    <row r="33" spans="1:10" x14ac:dyDescent="0.25">
      <c r="A33" s="8" t="s">
        <v>5</v>
      </c>
      <c r="B33" s="4" t="s">
        <v>715</v>
      </c>
      <c r="C33" s="5" t="s">
        <v>16</v>
      </c>
      <c r="D33" s="5" t="str">
        <f>_xlfn.IFNA(VLOOKUP(C33,Table1[],2,FALSE),"")</f>
        <v>#00B600</v>
      </c>
      <c r="E33" s="9" t="s">
        <v>717</v>
      </c>
      <c r="F33">
        <v>12</v>
      </c>
      <c r="G33" s="2"/>
    </row>
    <row r="34" spans="1:10" x14ac:dyDescent="0.25">
      <c r="A34" s="8" t="s">
        <v>5</v>
      </c>
      <c r="B34" s="4" t="s">
        <v>715</v>
      </c>
      <c r="C34" s="5" t="s">
        <v>16</v>
      </c>
      <c r="D34" s="5" t="str">
        <f>_xlfn.IFNA(VLOOKUP(C34,Table1[],2,FALSE),"")</f>
        <v>#00B600</v>
      </c>
      <c r="E34" s="9" t="s">
        <v>716</v>
      </c>
      <c r="F34">
        <v>13</v>
      </c>
      <c r="I34" t="s">
        <v>718</v>
      </c>
      <c r="J34" t="s">
        <v>705</v>
      </c>
    </row>
    <row r="35" spans="1:10" ht="15" customHeight="1" x14ac:dyDescent="0.25">
      <c r="A35" s="8" t="s">
        <v>5</v>
      </c>
      <c r="B35" s="4" t="s">
        <v>715</v>
      </c>
      <c r="C35" s="5" t="s">
        <v>16</v>
      </c>
      <c r="D35" s="5" t="str">
        <f>_xlfn.IFNA(VLOOKUP(C35,Table1[],2,FALSE),"")</f>
        <v>#00B600</v>
      </c>
      <c r="E35" s="9" t="s">
        <v>700</v>
      </c>
      <c r="F35">
        <v>14</v>
      </c>
      <c r="G35" s="6"/>
      <c r="H35" s="7"/>
      <c r="I35" t="s">
        <v>718</v>
      </c>
      <c r="J35" t="s">
        <v>703</v>
      </c>
    </row>
    <row r="36" spans="1:10" ht="15" customHeight="1" x14ac:dyDescent="0.25">
      <c r="A36" s="8" t="s">
        <v>5</v>
      </c>
      <c r="B36" s="4" t="s">
        <v>279</v>
      </c>
      <c r="C36" s="5" t="s">
        <v>14</v>
      </c>
      <c r="D36" s="5" t="str">
        <f>_xlfn.IFNA(VLOOKUP(C36,Table1[],2,FALSE),"")</f>
        <v>#00E5BA</v>
      </c>
      <c r="E36" s="9" t="s">
        <v>711</v>
      </c>
      <c r="F36">
        <v>1</v>
      </c>
      <c r="G36" s="6"/>
      <c r="H36" s="7"/>
      <c r="I36" t="s">
        <v>718</v>
      </c>
      <c r="J36" t="s">
        <v>701</v>
      </c>
    </row>
    <row r="37" spans="1:10" ht="15" customHeight="1" x14ac:dyDescent="0.25">
      <c r="A37" s="8" t="s">
        <v>5</v>
      </c>
      <c r="B37" s="4" t="s">
        <v>279</v>
      </c>
      <c r="C37" s="5" t="s">
        <v>14</v>
      </c>
      <c r="D37" s="5" t="str">
        <f>_xlfn.IFNA(VLOOKUP(C37,Table1[],2,FALSE),"")</f>
        <v>#00E5BA</v>
      </c>
      <c r="E37" s="9" t="s">
        <v>706</v>
      </c>
      <c r="F37">
        <v>2</v>
      </c>
      <c r="G37" s="6"/>
      <c r="H37" s="7"/>
      <c r="I37" t="s">
        <v>718</v>
      </c>
      <c r="J37" t="s">
        <v>709</v>
      </c>
    </row>
    <row r="38" spans="1:10" ht="15" customHeight="1" x14ac:dyDescent="0.25">
      <c r="A38" s="8" t="s">
        <v>5</v>
      </c>
      <c r="B38" s="4" t="s">
        <v>279</v>
      </c>
      <c r="C38" s="5" t="s">
        <v>14</v>
      </c>
      <c r="D38" s="5" t="str">
        <f>_xlfn.IFNA(VLOOKUP(C38,Table1[],2,FALSE),"")</f>
        <v>#00E5BA</v>
      </c>
      <c r="E38" s="9" t="s">
        <v>707</v>
      </c>
      <c r="F38">
        <v>3</v>
      </c>
      <c r="G38" s="6"/>
      <c r="H38" s="7"/>
      <c r="I38" t="s">
        <v>718</v>
      </c>
      <c r="J38" t="s">
        <v>719</v>
      </c>
    </row>
    <row r="39" spans="1:10" ht="15" customHeight="1" x14ac:dyDescent="0.25">
      <c r="A39" s="8" t="s">
        <v>5</v>
      </c>
      <c r="B39" s="4" t="s">
        <v>279</v>
      </c>
      <c r="C39" s="5" t="s">
        <v>14</v>
      </c>
      <c r="D39" s="5" t="str">
        <f>_xlfn.IFNA(VLOOKUP(C39,Table1[],2,FALSE),"")</f>
        <v>#00E5BA</v>
      </c>
      <c r="E39" s="9" t="s">
        <v>696</v>
      </c>
      <c r="F39">
        <v>5</v>
      </c>
      <c r="G39" s="6"/>
      <c r="H39" s="7"/>
      <c r="I39" t="s">
        <v>718</v>
      </c>
      <c r="J39" t="s">
        <v>708</v>
      </c>
    </row>
    <row r="40" spans="1:10" ht="15" customHeight="1" x14ac:dyDescent="0.25">
      <c r="A40" s="8" t="s">
        <v>5</v>
      </c>
      <c r="B40" s="4" t="s">
        <v>279</v>
      </c>
      <c r="C40" s="5" t="s">
        <v>14</v>
      </c>
      <c r="D40" s="5" t="str">
        <f>_xlfn.IFNA(VLOOKUP(C40,Table1[],2,FALSE),"")</f>
        <v>#00E5BA</v>
      </c>
      <c r="E40" s="5" t="s">
        <v>697</v>
      </c>
      <c r="F40">
        <v>16</v>
      </c>
      <c r="G40" s="6"/>
      <c r="H40" s="7"/>
      <c r="I40" t="s">
        <v>718</v>
      </c>
      <c r="J40" t="s">
        <v>699</v>
      </c>
    </row>
    <row r="41" spans="1:10" ht="15" customHeight="1" x14ac:dyDescent="0.25">
      <c r="A41" s="8" t="s">
        <v>5</v>
      </c>
      <c r="B41" s="4" t="s">
        <v>279</v>
      </c>
      <c r="C41" s="5" t="s">
        <v>14</v>
      </c>
      <c r="D41" s="5" t="str">
        <f>_xlfn.IFNA(VLOOKUP(C41,Table1[],2,FALSE),"")</f>
        <v>#00E5BA</v>
      </c>
      <c r="E41" s="5" t="s">
        <v>698</v>
      </c>
      <c r="F41">
        <v>17</v>
      </c>
      <c r="G41" s="6"/>
      <c r="H41" s="7"/>
    </row>
    <row r="42" spans="1:10" ht="15" customHeight="1" x14ac:dyDescent="0.25">
      <c r="A42" s="8" t="s">
        <v>5</v>
      </c>
      <c r="B42" s="4" t="s">
        <v>279</v>
      </c>
      <c r="C42" s="5" t="s">
        <v>14</v>
      </c>
      <c r="D42" s="5" t="str">
        <f>_xlfn.IFNA(VLOOKUP(C42,Table1[],2,FALSE),"")</f>
        <v>#00E5BA</v>
      </c>
      <c r="E42" s="5" t="s">
        <v>702</v>
      </c>
      <c r="F42">
        <v>23</v>
      </c>
      <c r="I42" t="s">
        <v>720</v>
      </c>
      <c r="J42" t="s">
        <v>692</v>
      </c>
    </row>
    <row r="43" spans="1:10" ht="15" customHeight="1" x14ac:dyDescent="0.25">
      <c r="A43" s="8" t="s">
        <v>5</v>
      </c>
      <c r="B43" s="4" t="s">
        <v>279</v>
      </c>
      <c r="C43" s="5" t="s">
        <v>14</v>
      </c>
      <c r="D43" s="5" t="str">
        <f>_xlfn.IFNA(VLOOKUP(C43,Table1[],2,FALSE),"")</f>
        <v>#00E5BA</v>
      </c>
      <c r="E43" s="5" t="s">
        <v>712</v>
      </c>
      <c r="F43">
        <v>27</v>
      </c>
      <c r="I43" t="s">
        <v>720</v>
      </c>
      <c r="J43" t="s">
        <v>691</v>
      </c>
    </row>
    <row r="44" spans="1:10" ht="15" customHeight="1" x14ac:dyDescent="0.25">
      <c r="A44" s="8" t="s">
        <v>5</v>
      </c>
      <c r="B44" s="4" t="s">
        <v>279</v>
      </c>
      <c r="C44" s="5" t="s">
        <v>14</v>
      </c>
      <c r="D44" s="5" t="str">
        <f>_xlfn.IFNA(VLOOKUP(C44,Table1[],2,FALSE),"")</f>
        <v>#00E5BA</v>
      </c>
      <c r="E44" s="5" t="s">
        <v>688</v>
      </c>
      <c r="F44">
        <v>28</v>
      </c>
      <c r="I44" t="s">
        <v>720</v>
      </c>
      <c r="J44" t="s">
        <v>721</v>
      </c>
    </row>
    <row r="45" spans="1:10" ht="15" customHeight="1" x14ac:dyDescent="0.25">
      <c r="A45" s="8" t="s">
        <v>5</v>
      </c>
      <c r="B45" s="4" t="s">
        <v>713</v>
      </c>
      <c r="C45" s="5" t="s">
        <v>8</v>
      </c>
      <c r="D45" s="5" t="str">
        <f>_xlfn.IFNA(VLOOKUP(C45,Table1[],2,FALSE),"")</f>
        <v>#802AB7</v>
      </c>
      <c r="E45" s="9" t="s">
        <v>714</v>
      </c>
      <c r="F45">
        <v>4</v>
      </c>
    </row>
    <row r="46" spans="1:10" ht="15" customHeight="1" x14ac:dyDescent="0.25">
      <c r="A46" s="8" t="s">
        <v>5</v>
      </c>
      <c r="B46" s="4" t="s">
        <v>713</v>
      </c>
      <c r="C46" s="5" t="s">
        <v>8</v>
      </c>
      <c r="D46" s="5" t="str">
        <f>_xlfn.IFNA(VLOOKUP(C46,Table1[],2,FALSE),"")</f>
        <v>#802AB7</v>
      </c>
      <c r="E46" s="9" t="s">
        <v>687</v>
      </c>
      <c r="F46">
        <v>6</v>
      </c>
    </row>
    <row r="47" spans="1:10" ht="15" customHeight="1" x14ac:dyDescent="0.25">
      <c r="A47" s="8" t="s">
        <v>5</v>
      </c>
      <c r="B47" s="4" t="s">
        <v>713</v>
      </c>
      <c r="C47" s="5" t="s">
        <v>8</v>
      </c>
      <c r="D47" s="5" t="str">
        <f>_xlfn.IFNA(VLOOKUP(C47,Table1[],2,FALSE),"")</f>
        <v>#802AB7</v>
      </c>
      <c r="E47" s="9" t="s">
        <v>695</v>
      </c>
      <c r="F47">
        <v>7</v>
      </c>
    </row>
    <row r="48" spans="1:10" ht="15" customHeight="1" x14ac:dyDescent="0.25">
      <c r="A48" s="8" t="s">
        <v>5</v>
      </c>
      <c r="B48" s="4" t="s">
        <v>713</v>
      </c>
      <c r="C48" s="5" t="s">
        <v>8</v>
      </c>
      <c r="D48" s="5" t="str">
        <f>_xlfn.IFNA(VLOOKUP(C48,Table1[],2,FALSE),"")</f>
        <v>#802AB7</v>
      </c>
      <c r="E48" s="9" t="s">
        <v>690</v>
      </c>
      <c r="F48">
        <v>8</v>
      </c>
    </row>
    <row r="49" spans="1:6" ht="15" customHeight="1" x14ac:dyDescent="0.25">
      <c r="A49" s="8" t="s">
        <v>5</v>
      </c>
      <c r="B49" s="4" t="s">
        <v>713</v>
      </c>
      <c r="C49" s="5" t="s">
        <v>8</v>
      </c>
      <c r="D49" s="5" t="str">
        <f>_xlfn.IFNA(VLOOKUP(C49,Table1[],2,FALSE),"")</f>
        <v>#802AB7</v>
      </c>
      <c r="E49" s="9" t="s">
        <v>686</v>
      </c>
      <c r="F49">
        <v>9</v>
      </c>
    </row>
    <row r="50" spans="1:6" ht="15" customHeight="1" x14ac:dyDescent="0.25">
      <c r="A50" s="8" t="s">
        <v>5</v>
      </c>
      <c r="B50" s="4" t="s">
        <v>713</v>
      </c>
      <c r="C50" s="5" t="s">
        <v>8</v>
      </c>
      <c r="D50" s="5" t="str">
        <f>_xlfn.IFNA(VLOOKUP(C50,Table1[],2,FALSE),"")</f>
        <v>#802AB7</v>
      </c>
      <c r="E50" s="9" t="s">
        <v>689</v>
      </c>
      <c r="F50">
        <v>10</v>
      </c>
    </row>
    <row r="51" spans="1:6" ht="15" customHeight="1" x14ac:dyDescent="0.25">
      <c r="A51" s="8" t="s">
        <v>5</v>
      </c>
      <c r="B51" s="4" t="s">
        <v>713</v>
      </c>
      <c r="C51" s="5" t="s">
        <v>8</v>
      </c>
      <c r="D51" s="5" t="str">
        <f>_xlfn.IFNA(VLOOKUP(C51,Table1[],2,FALSE),"")</f>
        <v>#802AB7</v>
      </c>
      <c r="E51" s="5" t="s">
        <v>693</v>
      </c>
      <c r="F51">
        <v>18</v>
      </c>
    </row>
    <row r="52" spans="1:6" ht="15" customHeight="1" x14ac:dyDescent="0.25">
      <c r="A52" s="8" t="s">
        <v>5</v>
      </c>
      <c r="B52" s="4" t="s">
        <v>713</v>
      </c>
      <c r="C52" s="5" t="s">
        <v>8</v>
      </c>
      <c r="D52" s="5" t="str">
        <f>_xlfn.IFNA(VLOOKUP(C52,Table1[],2,FALSE),"")</f>
        <v>#802AB7</v>
      </c>
      <c r="E52" s="5" t="s">
        <v>694</v>
      </c>
      <c r="F52">
        <v>19</v>
      </c>
    </row>
    <row r="53" spans="1:6" ht="15" customHeight="1" x14ac:dyDescent="0.25">
      <c r="A53" s="8" t="s">
        <v>5</v>
      </c>
      <c r="B53" s="4" t="s">
        <v>713</v>
      </c>
      <c r="C53" s="5" t="s">
        <v>8</v>
      </c>
      <c r="D53" s="5" t="str">
        <f>_xlfn.IFNA(VLOOKUP(C53,Table1[],2,FALSE),"")</f>
        <v>#802AB7</v>
      </c>
      <c r="E53" s="5" t="s">
        <v>704</v>
      </c>
      <c r="F53">
        <v>20</v>
      </c>
    </row>
    <row r="54" spans="1:6" ht="15" customHeight="1" x14ac:dyDescent="0.25">
      <c r="A54" s="8" t="s">
        <v>5</v>
      </c>
      <c r="B54" s="4" t="s">
        <v>720</v>
      </c>
      <c r="C54" s="5" t="s">
        <v>22</v>
      </c>
      <c r="D54" s="5" t="str">
        <f>_xlfn.IFNA(VLOOKUP(C54,Table1[],2,FALSE),"")</f>
        <v>#FA0028</v>
      </c>
      <c r="E54" s="5" t="s">
        <v>721</v>
      </c>
      <c r="F54">
        <v>24</v>
      </c>
    </row>
    <row r="55" spans="1:6" ht="15" customHeight="1" x14ac:dyDescent="0.25">
      <c r="A55" s="8" t="s">
        <v>5</v>
      </c>
      <c r="B55" s="4" t="s">
        <v>720</v>
      </c>
      <c r="C55" s="5" t="s">
        <v>22</v>
      </c>
      <c r="D55" s="5" t="str">
        <f>_xlfn.IFNA(VLOOKUP(C55,Table1[],2,FALSE),"")</f>
        <v>#FA0028</v>
      </c>
      <c r="E55" s="5" t="s">
        <v>691</v>
      </c>
      <c r="F55">
        <v>25</v>
      </c>
    </row>
    <row r="56" spans="1:6" x14ac:dyDescent="0.25">
      <c r="A56" s="8" t="s">
        <v>5</v>
      </c>
      <c r="B56" s="4" t="s">
        <v>720</v>
      </c>
      <c r="C56" s="5" t="s">
        <v>22</v>
      </c>
      <c r="D56" s="5" t="str">
        <f>_xlfn.IFNA(VLOOKUP(C56,Table1[],2,FALSE),"")</f>
        <v>#FA0028</v>
      </c>
      <c r="E56" s="5" t="s">
        <v>692</v>
      </c>
      <c r="F56">
        <v>26</v>
      </c>
    </row>
    <row r="57" spans="1:6" x14ac:dyDescent="0.25">
      <c r="A57" s="8" t="s">
        <v>5</v>
      </c>
      <c r="B57" s="4" t="s">
        <v>718</v>
      </c>
      <c r="C57" s="5" t="s">
        <v>9</v>
      </c>
      <c r="D57" s="5" t="str">
        <f>_xlfn.IFNA(VLOOKUP(C57,Table1[],2,FALSE),"")</f>
        <v>#0060FF</v>
      </c>
      <c r="E57" s="9" t="s">
        <v>719</v>
      </c>
      <c r="F57">
        <v>11</v>
      </c>
    </row>
    <row r="58" spans="1:6" x14ac:dyDescent="0.25">
      <c r="A58" s="8" t="s">
        <v>5</v>
      </c>
      <c r="B58" s="4" t="s">
        <v>718</v>
      </c>
      <c r="C58" s="5" t="s">
        <v>9</v>
      </c>
      <c r="D58" s="5" t="str">
        <f>_xlfn.IFNA(VLOOKUP(C58,Table1[],2,FALSE),"")</f>
        <v>#0060FF</v>
      </c>
      <c r="E58" s="9" t="s">
        <v>701</v>
      </c>
      <c r="F58">
        <v>15</v>
      </c>
    </row>
    <row r="59" spans="1:6" x14ac:dyDescent="0.25">
      <c r="A59" s="8" t="s">
        <v>5</v>
      </c>
      <c r="B59" s="4" t="s">
        <v>718</v>
      </c>
      <c r="C59" s="5" t="s">
        <v>9</v>
      </c>
      <c r="D59" s="5" t="str">
        <f>_xlfn.IFNA(VLOOKUP(C59,Table1[],2,FALSE),"")</f>
        <v>#0060FF</v>
      </c>
      <c r="E59" s="5" t="s">
        <v>703</v>
      </c>
      <c r="F59">
        <v>21</v>
      </c>
    </row>
    <row r="60" spans="1:6" x14ac:dyDescent="0.25">
      <c r="A60" s="8" t="s">
        <v>5</v>
      </c>
      <c r="B60" s="4" t="s">
        <v>718</v>
      </c>
      <c r="C60" s="5" t="s">
        <v>9</v>
      </c>
      <c r="D60" s="5" t="str">
        <f>_xlfn.IFNA(VLOOKUP(C60,Table1[],2,FALSE),"")</f>
        <v>#0060FF</v>
      </c>
      <c r="E60" s="5" t="s">
        <v>705</v>
      </c>
      <c r="F60">
        <v>22</v>
      </c>
    </row>
    <row r="61" spans="1:6" x14ac:dyDescent="0.25">
      <c r="A61" s="8" t="s">
        <v>5</v>
      </c>
      <c r="B61" s="4" t="s">
        <v>718</v>
      </c>
      <c r="C61" s="5" t="s">
        <v>9</v>
      </c>
      <c r="D61" s="5" t="str">
        <f>_xlfn.IFNA(VLOOKUP(C61,Table1[],2,FALSE),"")</f>
        <v>#0060FF</v>
      </c>
      <c r="E61" s="5" t="s">
        <v>709</v>
      </c>
      <c r="F61">
        <v>29</v>
      </c>
    </row>
    <row r="62" spans="1:6" x14ac:dyDescent="0.25">
      <c r="A62" s="8" t="s">
        <v>5</v>
      </c>
      <c r="B62" s="4" t="s">
        <v>718</v>
      </c>
      <c r="C62" s="5" t="s">
        <v>9</v>
      </c>
      <c r="D62" s="5" t="str">
        <f>_xlfn.IFNA(VLOOKUP(C62,Table1[],2,FALSE),"")</f>
        <v>#0060FF</v>
      </c>
      <c r="E62" s="5" t="s">
        <v>708</v>
      </c>
      <c r="F62">
        <v>30</v>
      </c>
    </row>
    <row r="63" spans="1:6" x14ac:dyDescent="0.25">
      <c r="A63" s="8" t="s">
        <v>5</v>
      </c>
      <c r="B63" s="4" t="s">
        <v>718</v>
      </c>
      <c r="C63" s="5" t="s">
        <v>9</v>
      </c>
      <c r="D63" s="5" t="str">
        <f>_xlfn.IFNA(VLOOKUP(C63,Table1[],2,FALSE),"")</f>
        <v>#0060FF</v>
      </c>
      <c r="E63" s="5" t="s">
        <v>699</v>
      </c>
      <c r="F63">
        <v>31</v>
      </c>
    </row>
  </sheetData>
  <autoFilter ref="A1:F63" xr:uid="{F7021037-6C9D-4F51-AE6D-BB4EBAE016DA}">
    <sortState xmlns:xlrd2="http://schemas.microsoft.com/office/spreadsheetml/2017/richdata2" ref="A2:F63">
      <sortCondition ref="A1:A63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2D32A63-5D3C-4066-9959-71D7045BF78C}">
          <x14:formula1>
            <xm:f>CATA!$A$1:$A$4</xm:f>
          </x14:formula1>
          <xm:sqref>C1</xm:sqref>
        </x14:dataValidation>
        <x14:dataValidation type="list" allowBlank="1" showInputMessage="1" showErrorMessage="1" xr:uid="{B8847AFB-8E98-4546-B26F-438C8EB96E71}">
          <x14:formula1>
            <xm:f>CATA!$A:$A</xm:f>
          </x14:formula1>
          <xm:sqref>C2:C63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8092-5DD0-41BE-9D18-115EA37381DB}">
  <sheetPr filterMode="1"/>
  <dimension ref="A1:K46"/>
  <sheetViews>
    <sheetView zoomScaleNormal="100" workbookViewId="0">
      <selection activeCell="B5" sqref="B5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11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11" x14ac:dyDescent="0.25">
      <c r="A2" s="5" t="s">
        <v>6</v>
      </c>
      <c r="B2" s="4" t="s">
        <v>672</v>
      </c>
      <c r="C2" s="5" t="s">
        <v>9</v>
      </c>
      <c r="D2" s="5" t="str">
        <f>_xlfn.IFNA(VLOOKUP(C2,Table1[],2,FALSE),"")</f>
        <v>#0060FF</v>
      </c>
      <c r="E2" s="9" t="s">
        <v>661</v>
      </c>
      <c r="G2" s="2"/>
      <c r="H2" t="s">
        <v>26</v>
      </c>
      <c r="K2" s="4" t="s">
        <v>44</v>
      </c>
    </row>
    <row r="3" spans="1:11" x14ac:dyDescent="0.25">
      <c r="A3" s="8" t="s">
        <v>5</v>
      </c>
      <c r="B3" s="4" t="s">
        <v>677</v>
      </c>
      <c r="C3" s="5" t="s">
        <v>17</v>
      </c>
      <c r="D3" s="5" t="str">
        <f>_xlfn.IFNA(VLOOKUP(C3,Table1[],2,FALSE),"")</f>
        <v>#FEDB00</v>
      </c>
      <c r="E3" s="9" t="s">
        <v>661</v>
      </c>
      <c r="G3" s="2"/>
      <c r="K3" s="4" t="s">
        <v>44</v>
      </c>
    </row>
    <row r="4" spans="1:11" x14ac:dyDescent="0.25">
      <c r="A4" s="5" t="s">
        <v>6</v>
      </c>
      <c r="B4" s="5" t="s">
        <v>673</v>
      </c>
      <c r="C4" s="5" t="s">
        <v>9</v>
      </c>
      <c r="D4" s="5" t="str">
        <f>_xlfn.IFNA(VLOOKUP(C4,Table1[],2,FALSE),"")</f>
        <v>#0060FF</v>
      </c>
      <c r="E4" s="9" t="s">
        <v>683</v>
      </c>
      <c r="G4" s="2"/>
      <c r="K4" s="4" t="s">
        <v>44</v>
      </c>
    </row>
    <row r="5" spans="1:11" x14ac:dyDescent="0.25">
      <c r="A5" s="8" t="s">
        <v>5</v>
      </c>
      <c r="B5" s="4" t="s">
        <v>677</v>
      </c>
      <c r="C5" s="5" t="s">
        <v>17</v>
      </c>
      <c r="D5" s="5" t="str">
        <f>_xlfn.IFNA(VLOOKUP(C5,Table1[],2,FALSE),"")</f>
        <v>#FEDB00</v>
      </c>
      <c r="E5" s="9" t="s">
        <v>683</v>
      </c>
      <c r="G5" s="2"/>
      <c r="K5" s="4" t="s">
        <v>44</v>
      </c>
    </row>
    <row r="6" spans="1:11" x14ac:dyDescent="0.25">
      <c r="A6" s="5" t="s">
        <v>6</v>
      </c>
      <c r="B6" s="4" t="s">
        <v>672</v>
      </c>
      <c r="C6" s="5" t="s">
        <v>9</v>
      </c>
      <c r="D6" s="5" t="str">
        <f>_xlfn.IFNA(VLOOKUP(C6,Table1[],2,FALSE),"")</f>
        <v>#0060FF</v>
      </c>
      <c r="E6" s="9" t="s">
        <v>660</v>
      </c>
      <c r="G6" s="2"/>
      <c r="K6" s="4" t="s">
        <v>44</v>
      </c>
    </row>
    <row r="7" spans="1:11" x14ac:dyDescent="0.25">
      <c r="A7" s="8" t="s">
        <v>5</v>
      </c>
      <c r="B7" s="4" t="s">
        <v>679</v>
      </c>
      <c r="C7" s="5" t="s">
        <v>8</v>
      </c>
      <c r="D7" s="5" t="str">
        <f>_xlfn.IFNA(VLOOKUP(C7,Table1[],2,FALSE),"")</f>
        <v>#802AB7</v>
      </c>
      <c r="E7" s="9" t="s">
        <v>660</v>
      </c>
      <c r="G7" s="2"/>
      <c r="K7" s="4" t="s">
        <v>44</v>
      </c>
    </row>
    <row r="8" spans="1:11" x14ac:dyDescent="0.25">
      <c r="A8" s="5" t="s">
        <v>6</v>
      </c>
      <c r="B8" s="5" t="s">
        <v>676</v>
      </c>
      <c r="C8" s="5" t="s">
        <v>23</v>
      </c>
      <c r="D8" s="5" t="str">
        <f>_xlfn.IFNA(VLOOKUP(C8,Table1[],2,FALSE),"")</f>
        <v>#C700D3</v>
      </c>
      <c r="E8" s="5" t="s">
        <v>670</v>
      </c>
      <c r="G8" s="2"/>
      <c r="K8" s="4" t="s">
        <v>45</v>
      </c>
    </row>
    <row r="9" spans="1:11" x14ac:dyDescent="0.25">
      <c r="A9" s="8" t="s">
        <v>5</v>
      </c>
      <c r="B9" s="4" t="s">
        <v>678</v>
      </c>
      <c r="C9" s="5" t="s">
        <v>20</v>
      </c>
      <c r="D9" s="5" t="str">
        <f>_xlfn.IFNA(VLOOKUP(C9,Table1[],2,FALSE),"")</f>
        <v>#FF5000</v>
      </c>
      <c r="E9" s="5" t="s">
        <v>670</v>
      </c>
      <c r="G9" s="2"/>
      <c r="K9" s="4" t="s">
        <v>45</v>
      </c>
    </row>
    <row r="10" spans="1:11" x14ac:dyDescent="0.25">
      <c r="A10" s="5" t="s">
        <v>6</v>
      </c>
      <c r="B10" s="4" t="s">
        <v>671</v>
      </c>
      <c r="C10" s="5" t="s">
        <v>17</v>
      </c>
      <c r="D10" s="5" t="str">
        <f>_xlfn.IFNA(VLOOKUP(C10,Table1[],2,FALSE),"")</f>
        <v>#FEDB00</v>
      </c>
      <c r="E10" s="9" t="s">
        <v>659</v>
      </c>
      <c r="G10" s="2"/>
      <c r="K10" s="4" t="s">
        <v>46</v>
      </c>
    </row>
    <row r="11" spans="1:11" x14ac:dyDescent="0.25">
      <c r="A11" s="8" t="s">
        <v>5</v>
      </c>
      <c r="B11" s="4" t="s">
        <v>677</v>
      </c>
      <c r="C11" s="5" t="s">
        <v>17</v>
      </c>
      <c r="D11" s="5" t="str">
        <f>_xlfn.IFNA(VLOOKUP(C11,Table1[],2,FALSE),"")</f>
        <v>#FEDB00</v>
      </c>
      <c r="E11" s="9" t="s">
        <v>659</v>
      </c>
      <c r="G11" s="2"/>
      <c r="K11" s="4" t="s">
        <v>46</v>
      </c>
    </row>
    <row r="12" spans="1:11" x14ac:dyDescent="0.25">
      <c r="A12" s="5" t="s">
        <v>6</v>
      </c>
      <c r="B12" s="5" t="s">
        <v>674</v>
      </c>
      <c r="C12" s="5" t="s">
        <v>16</v>
      </c>
      <c r="D12" s="5" t="str">
        <f>_xlfn.IFNA(VLOOKUP(C12,Table1[],2,FALSE),"")</f>
        <v>#00B600</v>
      </c>
      <c r="E12" s="5" t="s">
        <v>669</v>
      </c>
      <c r="K12" s="4" t="s">
        <v>47</v>
      </c>
    </row>
    <row r="13" spans="1:11" x14ac:dyDescent="0.25">
      <c r="A13" s="8" t="s">
        <v>5</v>
      </c>
      <c r="B13" s="4" t="s">
        <v>681</v>
      </c>
      <c r="C13" s="5" t="s">
        <v>16</v>
      </c>
      <c r="D13" s="5" t="str">
        <f>_xlfn.IFNA(VLOOKUP(C13,Table1[],2,FALSE),"")</f>
        <v>#00B600</v>
      </c>
      <c r="E13" s="5" t="s">
        <v>669</v>
      </c>
      <c r="G13" s="2"/>
      <c r="K13" s="4" t="s">
        <v>48</v>
      </c>
    </row>
    <row r="14" spans="1:11" x14ac:dyDescent="0.25">
      <c r="A14" s="5" t="s">
        <v>6</v>
      </c>
      <c r="B14" s="4" t="s">
        <v>671</v>
      </c>
      <c r="C14" s="5" t="s">
        <v>17</v>
      </c>
      <c r="D14" s="5" t="str">
        <f>_xlfn.IFNA(VLOOKUP(C14,Table1[],2,FALSE),"")</f>
        <v>#FEDB00</v>
      </c>
      <c r="E14" s="9" t="s">
        <v>657</v>
      </c>
      <c r="G14" s="2"/>
      <c r="K14" s="4" t="s">
        <v>48</v>
      </c>
    </row>
    <row r="15" spans="1:11" x14ac:dyDescent="0.25">
      <c r="A15" s="8" t="s">
        <v>5</v>
      </c>
      <c r="B15" s="4" t="s">
        <v>682</v>
      </c>
      <c r="C15" s="5" t="s">
        <v>23</v>
      </c>
      <c r="D15" s="5" t="str">
        <f>_xlfn.IFNA(VLOOKUP(C15,Table1[],2,FALSE),"")</f>
        <v>#C700D3</v>
      </c>
      <c r="E15" s="9" t="s">
        <v>657</v>
      </c>
      <c r="G15" s="2"/>
      <c r="K15" s="4" t="s">
        <v>48</v>
      </c>
    </row>
    <row r="16" spans="1:11" x14ac:dyDescent="0.25">
      <c r="A16" s="5" t="s">
        <v>6</v>
      </c>
      <c r="B16" s="4" t="s">
        <v>672</v>
      </c>
      <c r="C16" s="5" t="s">
        <v>9</v>
      </c>
      <c r="D16" s="5" t="str">
        <f>_xlfn.IFNA(VLOOKUP(C16,Table1[],2,FALSE),"")</f>
        <v>#0060FF</v>
      </c>
      <c r="E16" s="9" t="s">
        <v>662</v>
      </c>
      <c r="G16" s="2"/>
      <c r="K16" s="4" t="s">
        <v>48</v>
      </c>
    </row>
    <row r="17" spans="1:11" x14ac:dyDescent="0.25">
      <c r="A17" s="8" t="s">
        <v>5</v>
      </c>
      <c r="B17" s="4" t="s">
        <v>679</v>
      </c>
      <c r="C17" s="5" t="s">
        <v>8</v>
      </c>
      <c r="D17" s="5" t="str">
        <f>_xlfn.IFNA(VLOOKUP(C17,Table1[],2,FALSE),"")</f>
        <v>#802AB7</v>
      </c>
      <c r="E17" s="9" t="s">
        <v>662</v>
      </c>
      <c r="G17" s="2"/>
      <c r="K17" s="4"/>
    </row>
    <row r="18" spans="1:11" x14ac:dyDescent="0.25">
      <c r="A18" s="5" t="s">
        <v>6</v>
      </c>
      <c r="B18" s="4" t="s">
        <v>671</v>
      </c>
      <c r="C18" s="5" t="s">
        <v>17</v>
      </c>
      <c r="D18" s="5" t="str">
        <f>_xlfn.IFNA(VLOOKUP(C18,Table1[],2,FALSE),"")</f>
        <v>#FEDB00</v>
      </c>
      <c r="E18" s="9" t="s">
        <v>684</v>
      </c>
      <c r="G18" s="2"/>
      <c r="K18" s="4"/>
    </row>
    <row r="19" spans="1:11" hidden="1" x14ac:dyDescent="0.25">
      <c r="A19" s="5" t="s">
        <v>6</v>
      </c>
      <c r="B19" s="5"/>
      <c r="C19" s="5"/>
      <c r="D19" s="5"/>
      <c r="E19" s="4"/>
      <c r="G19" s="2"/>
      <c r="K19" s="4"/>
    </row>
    <row r="20" spans="1:11" hidden="1" x14ac:dyDescent="0.25">
      <c r="A20" s="5" t="s">
        <v>6</v>
      </c>
      <c r="B20" s="5"/>
      <c r="C20" s="5"/>
      <c r="D20" s="5" t="str">
        <f>_xlfn.IFNA(VLOOKUP(C20,Table1[],2,FALSE),"")</f>
        <v/>
      </c>
      <c r="E20" s="5"/>
      <c r="G20" s="2"/>
      <c r="K20" s="4"/>
    </row>
    <row r="21" spans="1:11" x14ac:dyDescent="0.25">
      <c r="A21" s="8" t="s">
        <v>5</v>
      </c>
      <c r="B21" s="4" t="s">
        <v>679</v>
      </c>
      <c r="C21" s="5" t="s">
        <v>8</v>
      </c>
      <c r="D21" s="5" t="str">
        <f>_xlfn.IFNA(VLOOKUP(C21,Table1[],2,FALSE),"")</f>
        <v>#802AB7</v>
      </c>
      <c r="E21" s="9" t="s">
        <v>684</v>
      </c>
      <c r="G21" s="2"/>
      <c r="K21" s="4"/>
    </row>
    <row r="22" spans="1:11" x14ac:dyDescent="0.25">
      <c r="A22" s="5" t="s">
        <v>6</v>
      </c>
      <c r="B22" s="5" t="s">
        <v>673</v>
      </c>
      <c r="C22" s="5" t="s">
        <v>9</v>
      </c>
      <c r="D22" s="5" t="str">
        <f>_xlfn.IFNA(VLOOKUP(C22,Table1[],2,FALSE),"")</f>
        <v>#0060FF</v>
      </c>
      <c r="E22" s="9" t="s">
        <v>664</v>
      </c>
      <c r="G22" s="2"/>
      <c r="K22" s="4"/>
    </row>
    <row r="23" spans="1:11" x14ac:dyDescent="0.25">
      <c r="A23" s="8" t="s">
        <v>5</v>
      </c>
      <c r="B23" s="4" t="s">
        <v>680</v>
      </c>
      <c r="C23" s="5" t="s">
        <v>9</v>
      </c>
      <c r="D23" s="5" t="str">
        <f>_xlfn.IFNA(VLOOKUP(C23,Table1[],2,FALSE),"")</f>
        <v>#0060FF</v>
      </c>
      <c r="E23" s="9" t="s">
        <v>664</v>
      </c>
      <c r="G23" s="2"/>
      <c r="K23" s="4"/>
    </row>
    <row r="24" spans="1:11" x14ac:dyDescent="0.25">
      <c r="A24" s="5" t="s">
        <v>6</v>
      </c>
      <c r="B24" s="20" t="s">
        <v>675</v>
      </c>
      <c r="C24" s="5" t="s">
        <v>20</v>
      </c>
      <c r="D24" s="5" t="str">
        <f>_xlfn.IFNA(VLOOKUP(C24,Table1[],2,FALSE),"")</f>
        <v>#FF5000</v>
      </c>
      <c r="E24" s="9" t="s">
        <v>667</v>
      </c>
      <c r="G24" s="2"/>
      <c r="K24" s="4" t="s">
        <v>49</v>
      </c>
    </row>
    <row r="25" spans="1:11" x14ac:dyDescent="0.25">
      <c r="A25" s="8" t="s">
        <v>5</v>
      </c>
      <c r="B25" s="19" t="s">
        <v>682</v>
      </c>
      <c r="C25" s="5" t="s">
        <v>23</v>
      </c>
      <c r="D25" s="5" t="str">
        <f>_xlfn.IFNA(VLOOKUP(C25,Table1[],2,FALSE),"")</f>
        <v>#C700D3</v>
      </c>
      <c r="E25" s="9" t="s">
        <v>667</v>
      </c>
      <c r="K25" s="4" t="s">
        <v>49</v>
      </c>
    </row>
    <row r="26" spans="1:11" x14ac:dyDescent="0.25">
      <c r="A26" s="5" t="s">
        <v>6</v>
      </c>
      <c r="B26" s="20" t="s">
        <v>673</v>
      </c>
      <c r="C26" s="5" t="s">
        <v>9</v>
      </c>
      <c r="D26" s="5" t="str">
        <f>_xlfn.IFNA(VLOOKUP(C26,Table1[],2,FALSE),"")</f>
        <v>#0060FF</v>
      </c>
      <c r="E26" s="9" t="s">
        <v>685</v>
      </c>
      <c r="G26" s="6"/>
      <c r="H26" s="7"/>
      <c r="K26" s="4" t="s">
        <v>49</v>
      </c>
    </row>
    <row r="27" spans="1:11" ht="15" customHeight="1" x14ac:dyDescent="0.25">
      <c r="A27" s="8" t="s">
        <v>5</v>
      </c>
      <c r="B27" s="19" t="s">
        <v>680</v>
      </c>
      <c r="C27" s="5" t="s">
        <v>9</v>
      </c>
      <c r="D27" s="5" t="str">
        <f>_xlfn.IFNA(VLOOKUP(C27,Table1[],2,FALSE),"")</f>
        <v>#0060FF</v>
      </c>
      <c r="E27" s="9" t="s">
        <v>685</v>
      </c>
      <c r="G27" s="6"/>
      <c r="H27" s="7"/>
      <c r="K27" s="4" t="s">
        <v>50</v>
      </c>
    </row>
    <row r="28" spans="1:11" ht="15" customHeight="1" x14ac:dyDescent="0.25">
      <c r="A28" s="5" t="s">
        <v>6</v>
      </c>
      <c r="B28" s="20" t="s">
        <v>673</v>
      </c>
      <c r="C28" s="5" t="s">
        <v>9</v>
      </c>
      <c r="D28" s="5" t="str">
        <f>_xlfn.IFNA(VLOOKUP(C28,Table1[],2,FALSE),"")</f>
        <v>#0060FF</v>
      </c>
      <c r="E28" s="9" t="s">
        <v>665</v>
      </c>
      <c r="G28" s="6"/>
      <c r="H28" s="7"/>
      <c r="K28" s="4" t="s">
        <v>50</v>
      </c>
    </row>
    <row r="29" spans="1:11" x14ac:dyDescent="0.25">
      <c r="A29" s="8" t="s">
        <v>5</v>
      </c>
      <c r="B29" s="19" t="s">
        <v>677</v>
      </c>
      <c r="C29" s="5" t="s">
        <v>17</v>
      </c>
      <c r="D29" s="5" t="str">
        <f>_xlfn.IFNA(VLOOKUP(C29,Table1[],2,FALSE),"")</f>
        <v>#FEDB00</v>
      </c>
      <c r="E29" s="9" t="s">
        <v>665</v>
      </c>
      <c r="G29" s="6"/>
      <c r="H29" s="7"/>
      <c r="K29" s="4" t="s">
        <v>50</v>
      </c>
    </row>
    <row r="30" spans="1:11" x14ac:dyDescent="0.25">
      <c r="A30" s="5" t="s">
        <v>6</v>
      </c>
      <c r="B30" s="19" t="s">
        <v>671</v>
      </c>
      <c r="C30" s="5" t="s">
        <v>17</v>
      </c>
      <c r="D30" s="5" t="str">
        <f>_xlfn.IFNA(VLOOKUP(C30,Table1[],2,FALSE),"")</f>
        <v>#FEDB00</v>
      </c>
      <c r="E30" s="9" t="s">
        <v>658</v>
      </c>
      <c r="G30" s="6"/>
      <c r="H30" s="7"/>
      <c r="K30" s="4" t="s">
        <v>50</v>
      </c>
    </row>
    <row r="31" spans="1:11" ht="15" customHeight="1" x14ac:dyDescent="0.25">
      <c r="A31" s="8" t="s">
        <v>5</v>
      </c>
      <c r="B31" s="19" t="s">
        <v>681</v>
      </c>
      <c r="C31" s="5" t="s">
        <v>16</v>
      </c>
      <c r="D31" s="5" t="str">
        <f>_xlfn.IFNA(VLOOKUP(C31,Table1[],2,FALSE),"")</f>
        <v>#00B600</v>
      </c>
      <c r="E31" s="9" t="s">
        <v>658</v>
      </c>
      <c r="G31" s="6"/>
      <c r="H31" s="7"/>
      <c r="K31" s="5" t="s">
        <v>51</v>
      </c>
    </row>
    <row r="32" spans="1:11" ht="15" customHeight="1" x14ac:dyDescent="0.25">
      <c r="A32" s="5" t="s">
        <v>6</v>
      </c>
      <c r="B32" s="19" t="s">
        <v>672</v>
      </c>
      <c r="C32" s="5" t="s">
        <v>9</v>
      </c>
      <c r="D32" s="5" t="str">
        <f>_xlfn.IFNA(VLOOKUP(C32,Table1[],2,FALSE),"")</f>
        <v>#0060FF</v>
      </c>
      <c r="E32" s="9" t="s">
        <v>663</v>
      </c>
      <c r="G32" s="6"/>
      <c r="H32" s="7"/>
      <c r="K32" s="5" t="s">
        <v>51</v>
      </c>
    </row>
    <row r="33" spans="1:11" x14ac:dyDescent="0.25">
      <c r="A33" s="8" t="s">
        <v>5</v>
      </c>
      <c r="B33" s="19" t="s">
        <v>678</v>
      </c>
      <c r="C33" s="5" t="s">
        <v>20</v>
      </c>
      <c r="D33" s="5" t="str">
        <f>_xlfn.IFNA(VLOOKUP(C33,Table1[],2,FALSE),"")</f>
        <v>#FF5000</v>
      </c>
      <c r="E33" s="9" t="s">
        <v>663</v>
      </c>
      <c r="K33" s="5" t="s">
        <v>51</v>
      </c>
    </row>
    <row r="34" spans="1:11" x14ac:dyDescent="0.25">
      <c r="A34" s="5" t="s">
        <v>6</v>
      </c>
      <c r="B34" s="20" t="s">
        <v>675</v>
      </c>
      <c r="C34" s="5" t="s">
        <v>20</v>
      </c>
      <c r="D34" s="5" t="str">
        <f>_xlfn.IFNA(VLOOKUP(C34,Table1[],2,FALSE),"")</f>
        <v>#FF5000</v>
      </c>
      <c r="E34" s="9" t="s">
        <v>666</v>
      </c>
      <c r="K34" s="4" t="s">
        <v>52</v>
      </c>
    </row>
    <row r="35" spans="1:11" ht="15" customHeight="1" x14ac:dyDescent="0.25">
      <c r="A35" s="8" t="s">
        <v>5</v>
      </c>
      <c r="B35" s="19" t="s">
        <v>682</v>
      </c>
      <c r="C35" s="5" t="s">
        <v>23</v>
      </c>
      <c r="D35" s="5" t="str">
        <f>_xlfn.IFNA(VLOOKUP(C35,Table1[],2,FALSE),"")</f>
        <v>#C700D3</v>
      </c>
      <c r="E35" s="9" t="s">
        <v>666</v>
      </c>
      <c r="K35" s="4" t="s">
        <v>52</v>
      </c>
    </row>
    <row r="36" spans="1:11" ht="15" customHeight="1" x14ac:dyDescent="0.25">
      <c r="A36" s="5" t="s">
        <v>6</v>
      </c>
      <c r="B36" s="20" t="s">
        <v>675</v>
      </c>
      <c r="C36" s="5" t="s">
        <v>20</v>
      </c>
      <c r="D36" s="5" t="str">
        <f>_xlfn.IFNA(VLOOKUP(C36,Table1[],2,FALSE),"")</f>
        <v>#FF5000</v>
      </c>
      <c r="E36" s="9" t="s">
        <v>668</v>
      </c>
      <c r="K36" s="5" t="s">
        <v>53</v>
      </c>
    </row>
    <row r="37" spans="1:11" x14ac:dyDescent="0.25">
      <c r="A37" s="8" t="s">
        <v>5</v>
      </c>
      <c r="B37" s="19" t="s">
        <v>677</v>
      </c>
      <c r="C37" s="5" t="s">
        <v>17</v>
      </c>
      <c r="D37" s="5" t="str">
        <f>_xlfn.IFNA(VLOOKUP(C37,Table1[],2,FALSE),"")</f>
        <v>#FEDB00</v>
      </c>
      <c r="E37" s="9" t="s">
        <v>668</v>
      </c>
      <c r="K37" s="5" t="s">
        <v>53</v>
      </c>
    </row>
    <row r="38" spans="1:11" ht="15" hidden="1" customHeight="1" x14ac:dyDescent="0.25">
      <c r="A38" s="8" t="s">
        <v>5</v>
      </c>
      <c r="B38" s="19"/>
      <c r="C38" s="5"/>
      <c r="D38" s="5"/>
      <c r="E38" s="4"/>
      <c r="K38" s="4" t="s">
        <v>54</v>
      </c>
    </row>
    <row r="39" spans="1:11" ht="15" hidden="1" customHeight="1" x14ac:dyDescent="0.25">
      <c r="A39" s="8" t="s">
        <v>5</v>
      </c>
      <c r="B39" s="4"/>
      <c r="C39" s="5"/>
      <c r="D39" s="5" t="str">
        <f>_xlfn.IFNA(VLOOKUP(C39,Table1[],2,FALSE),"")</f>
        <v/>
      </c>
      <c r="E39" s="4"/>
    </row>
    <row r="40" spans="1:11" ht="15" hidden="1" customHeight="1" x14ac:dyDescent="0.25">
      <c r="A40" s="8" t="s">
        <v>5</v>
      </c>
      <c r="B40" s="4"/>
      <c r="C40" s="5"/>
      <c r="D40" s="5" t="str">
        <f>_xlfn.IFNA(VLOOKUP(C40,Table1[],2,FALSE),"")</f>
        <v/>
      </c>
      <c r="E40" s="5"/>
    </row>
    <row r="41" spans="1:11" ht="15" hidden="1" customHeight="1" x14ac:dyDescent="0.25">
      <c r="A41" s="8" t="s">
        <v>5</v>
      </c>
      <c r="B41" s="4"/>
      <c r="C41" s="5"/>
      <c r="D41" s="5" t="str">
        <f>_xlfn.IFNA(VLOOKUP(C41,Table1[],2,FALSE),"")</f>
        <v/>
      </c>
      <c r="E41" s="4"/>
    </row>
    <row r="42" spans="1:11" ht="15" hidden="1" customHeight="1" x14ac:dyDescent="0.25">
      <c r="A42" s="8" t="s">
        <v>5</v>
      </c>
      <c r="B42" s="4"/>
      <c r="C42" s="5"/>
      <c r="D42" s="5" t="str">
        <f>_xlfn.IFNA(VLOOKUP(C42,Table1[],2,FALSE),"")</f>
        <v/>
      </c>
      <c r="E42" s="4"/>
    </row>
    <row r="43" spans="1:11" ht="15" customHeight="1" x14ac:dyDescent="0.25"/>
    <row r="44" spans="1:11" ht="15" customHeight="1" x14ac:dyDescent="0.25"/>
    <row r="45" spans="1:11" ht="15" customHeight="1" x14ac:dyDescent="0.25"/>
    <row r="46" spans="1:11" ht="15" customHeight="1" x14ac:dyDescent="0.25"/>
  </sheetData>
  <autoFilter ref="A1:E42" xr:uid="{419810F7-B0D2-4B07-9094-F238C90331AE}">
    <filterColumn colId="2">
      <customFilters>
        <customFilter operator="notEqual" val=" "/>
      </customFilters>
    </filterColumn>
    <sortState xmlns:xlrd2="http://schemas.microsoft.com/office/spreadsheetml/2017/richdata2" ref="A2:E37">
      <sortCondition ref="E1:E4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3E4AED5-6CA7-4886-8CB3-8C702586485E}">
          <x14:formula1>
            <xm:f>CATA!$A:$A</xm:f>
          </x14:formula1>
          <xm:sqref>C2:C42</xm:sqref>
        </x14:dataValidation>
        <x14:dataValidation type="list" allowBlank="1" showInputMessage="1" showErrorMessage="1" xr:uid="{513AFEE7-A4AB-4875-B4C8-C5C69F42363A}">
          <x14:formula1>
            <xm:f>CATA!$A$2:$A$7</xm:f>
          </x14:formula1>
          <xm:sqref>C43:C60</xm:sqref>
        </x14:dataValidation>
        <x14:dataValidation type="list" allowBlank="1" showInputMessage="1" showErrorMessage="1" xr:uid="{8D5EB8FB-491C-40E6-A24E-9B525177076E}">
          <x14:formula1>
            <xm:f>CATA!$A$1:$A$4</xm:f>
          </x14:formula1>
          <xm:sqref>C1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C93-93D9-4082-958B-CF3F68552D10}">
  <dimension ref="A1:G11"/>
  <sheetViews>
    <sheetView zoomScale="198" workbookViewId="0">
      <selection activeCell="B13" sqref="B13"/>
    </sheetView>
  </sheetViews>
  <sheetFormatPr defaultColWidth="8.85546875" defaultRowHeight="15" x14ac:dyDescent="0.25"/>
  <cols>
    <col min="1" max="1" width="13.7109375" bestFit="1" customWidth="1"/>
    <col min="2" max="2" width="13.28515625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8</v>
      </c>
      <c r="B2" t="s">
        <v>7</v>
      </c>
    </row>
    <row r="3" spans="1:7" x14ac:dyDescent="0.25">
      <c r="A3" t="s">
        <v>9</v>
      </c>
      <c r="B3" t="s">
        <v>10</v>
      </c>
    </row>
    <row r="4" spans="1:7" x14ac:dyDescent="0.25">
      <c r="A4" t="s">
        <v>11</v>
      </c>
      <c r="B4" t="s">
        <v>12</v>
      </c>
    </row>
    <row r="5" spans="1:7" x14ac:dyDescent="0.25">
      <c r="A5" t="s">
        <v>14</v>
      </c>
      <c r="B5" t="s">
        <v>13</v>
      </c>
    </row>
    <row r="6" spans="1:7" x14ac:dyDescent="0.25">
      <c r="A6" t="s">
        <v>16</v>
      </c>
      <c r="B6" t="s">
        <v>15</v>
      </c>
    </row>
    <row r="7" spans="1:7" x14ac:dyDescent="0.25">
      <c r="A7" t="s">
        <v>17</v>
      </c>
      <c r="B7" t="s">
        <v>18</v>
      </c>
    </row>
    <row r="8" spans="1:7" x14ac:dyDescent="0.25">
      <c r="A8" t="s">
        <v>20</v>
      </c>
      <c r="B8" t="s">
        <v>19</v>
      </c>
    </row>
    <row r="9" spans="1:7" x14ac:dyDescent="0.25">
      <c r="A9" t="s">
        <v>22</v>
      </c>
      <c r="B9" t="s">
        <v>21</v>
      </c>
      <c r="G9" s="1"/>
    </row>
    <row r="10" spans="1:7" x14ac:dyDescent="0.25">
      <c r="A10" t="s">
        <v>23</v>
      </c>
      <c r="B10" t="s">
        <v>24</v>
      </c>
    </row>
    <row r="11" spans="1:7" x14ac:dyDescent="0.25">
      <c r="A11" t="s">
        <v>28</v>
      </c>
      <c r="B11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0F7-B0D2-4B07-9094-F238C90331AE}">
  <dimension ref="A1:K46"/>
  <sheetViews>
    <sheetView topLeftCell="A19" zoomScaleNormal="100" workbookViewId="0">
      <selection activeCell="B2" sqref="B2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11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11" x14ac:dyDescent="0.25">
      <c r="A2" s="8" t="s">
        <v>5</v>
      </c>
      <c r="B2" s="4" t="s">
        <v>44</v>
      </c>
      <c r="C2" s="5" t="s">
        <v>16</v>
      </c>
      <c r="D2" s="5" t="str">
        <f>_xlfn.IFNA(VLOOKUP(C2,Table1[],2,FALSE),"")</f>
        <v>#00B600</v>
      </c>
      <c r="E2" s="9" t="s">
        <v>32</v>
      </c>
      <c r="G2" s="2"/>
      <c r="H2" t="s">
        <v>26</v>
      </c>
      <c r="K2" s="4" t="s">
        <v>44</v>
      </c>
    </row>
    <row r="3" spans="1:11" x14ac:dyDescent="0.25">
      <c r="A3" s="8" t="s">
        <v>5</v>
      </c>
      <c r="B3" s="4" t="s">
        <v>44</v>
      </c>
      <c r="C3" s="5" t="s">
        <v>16</v>
      </c>
      <c r="D3" s="5" t="str">
        <f>_xlfn.IFNA(VLOOKUP(C3,Table1[],2,FALSE),"")</f>
        <v>#00B600</v>
      </c>
      <c r="E3" s="9" t="s">
        <v>31</v>
      </c>
      <c r="G3" s="2"/>
      <c r="K3" s="4" t="s">
        <v>44</v>
      </c>
    </row>
    <row r="4" spans="1:11" x14ac:dyDescent="0.25">
      <c r="A4" s="8" t="s">
        <v>5</v>
      </c>
      <c r="B4" s="4" t="s">
        <v>44</v>
      </c>
      <c r="C4" s="5" t="s">
        <v>16</v>
      </c>
      <c r="D4" s="5" t="str">
        <f>_xlfn.IFNA(VLOOKUP(C4,Table1[],2,FALSE),"")</f>
        <v>#00B600</v>
      </c>
      <c r="E4" s="9" t="s">
        <v>33</v>
      </c>
      <c r="G4" s="2"/>
      <c r="K4" s="4" t="s">
        <v>44</v>
      </c>
    </row>
    <row r="5" spans="1:11" x14ac:dyDescent="0.25">
      <c r="A5" s="8" t="s">
        <v>5</v>
      </c>
      <c r="B5" s="4" t="s">
        <v>44</v>
      </c>
      <c r="C5" s="5" t="s">
        <v>16</v>
      </c>
      <c r="D5" s="5" t="str">
        <f>_xlfn.IFNA(VLOOKUP(C5,Table1[],2,FALSE),"")</f>
        <v>#00B600</v>
      </c>
      <c r="E5" s="9" t="s">
        <v>30</v>
      </c>
      <c r="G5" s="2"/>
      <c r="K5" s="4" t="s">
        <v>44</v>
      </c>
    </row>
    <row r="6" spans="1:11" x14ac:dyDescent="0.25">
      <c r="A6" s="8" t="s">
        <v>5</v>
      </c>
      <c r="B6" s="4" t="s">
        <v>44</v>
      </c>
      <c r="C6" s="5" t="s">
        <v>16</v>
      </c>
      <c r="D6" s="5" t="str">
        <f>_xlfn.IFNA(VLOOKUP(C6,Table1[],2,FALSE),"")</f>
        <v>#00B600</v>
      </c>
      <c r="E6" s="9" t="s">
        <v>42</v>
      </c>
      <c r="G6" s="2"/>
      <c r="K6" s="4" t="s">
        <v>44</v>
      </c>
    </row>
    <row r="7" spans="1:11" x14ac:dyDescent="0.25">
      <c r="A7" s="8" t="s">
        <v>5</v>
      </c>
      <c r="B7" s="4" t="s">
        <v>44</v>
      </c>
      <c r="C7" s="5" t="s">
        <v>16</v>
      </c>
      <c r="D7" s="5" t="str">
        <f>_xlfn.IFNA(VLOOKUP(C7,Table1[],2,FALSE),"")</f>
        <v>#00B600</v>
      </c>
      <c r="E7" s="9" t="s">
        <v>29</v>
      </c>
      <c r="G7" s="2"/>
      <c r="K7" s="4" t="s">
        <v>44</v>
      </c>
    </row>
    <row r="8" spans="1:11" x14ac:dyDescent="0.25">
      <c r="A8" s="8" t="s">
        <v>5</v>
      </c>
      <c r="B8" s="4" t="s">
        <v>45</v>
      </c>
      <c r="C8" s="5" t="s">
        <v>9</v>
      </c>
      <c r="D8" s="5" t="str">
        <f>_xlfn.IFNA(VLOOKUP(C8,Table1[],2,FALSE),"")</f>
        <v>#0060FF</v>
      </c>
      <c r="E8" s="9" t="s">
        <v>43</v>
      </c>
      <c r="G8" s="2"/>
      <c r="K8" s="4" t="s">
        <v>45</v>
      </c>
    </row>
    <row r="9" spans="1:11" x14ac:dyDescent="0.25">
      <c r="A9" s="8" t="s">
        <v>5</v>
      </c>
      <c r="B9" s="4" t="s">
        <v>45</v>
      </c>
      <c r="C9" s="5" t="s">
        <v>9</v>
      </c>
      <c r="D9" s="5" t="str">
        <f>_xlfn.IFNA(VLOOKUP(C9,Table1[],2,FALSE),"")</f>
        <v>#0060FF</v>
      </c>
      <c r="E9" s="9" t="s">
        <v>34</v>
      </c>
      <c r="G9" s="2"/>
      <c r="K9" s="4" t="s">
        <v>45</v>
      </c>
    </row>
    <row r="10" spans="1:11" x14ac:dyDescent="0.25">
      <c r="A10" s="8" t="s">
        <v>5</v>
      </c>
      <c r="B10" s="4" t="s">
        <v>46</v>
      </c>
      <c r="C10" s="5" t="s">
        <v>17</v>
      </c>
      <c r="D10" s="5" t="str">
        <f>_xlfn.IFNA(VLOOKUP(C10,Table1[],2,FALSE),"")</f>
        <v>#FEDB00</v>
      </c>
      <c r="E10" s="9" t="s">
        <v>40</v>
      </c>
      <c r="G10" s="2"/>
      <c r="K10" s="4" t="s">
        <v>46</v>
      </c>
    </row>
    <row r="11" spans="1:11" x14ac:dyDescent="0.25">
      <c r="A11" s="8" t="s">
        <v>5</v>
      </c>
      <c r="B11" s="4" t="s">
        <v>46</v>
      </c>
      <c r="C11" s="5" t="s">
        <v>17</v>
      </c>
      <c r="D11" s="5" t="str">
        <f>_xlfn.IFNA(VLOOKUP(C11,Table1[],2,FALSE),"")</f>
        <v>#FEDB00</v>
      </c>
      <c r="E11" s="9" t="s">
        <v>39</v>
      </c>
      <c r="G11" s="2"/>
      <c r="K11" s="4" t="s">
        <v>46</v>
      </c>
    </row>
    <row r="12" spans="1:11" x14ac:dyDescent="0.25">
      <c r="A12" s="8" t="s">
        <v>5</v>
      </c>
      <c r="B12" s="4" t="s">
        <v>47</v>
      </c>
      <c r="C12" s="5" t="s">
        <v>14</v>
      </c>
      <c r="D12" s="5" t="str">
        <f>_xlfn.IFNA(VLOOKUP(C12,Table1[],2,FALSE),"")</f>
        <v>#00E5BA</v>
      </c>
      <c r="E12" s="9" t="s">
        <v>36</v>
      </c>
      <c r="K12" s="4" t="s">
        <v>47</v>
      </c>
    </row>
    <row r="13" spans="1:11" x14ac:dyDescent="0.25">
      <c r="A13" s="8" t="s">
        <v>5</v>
      </c>
      <c r="B13" s="4" t="s">
        <v>48</v>
      </c>
      <c r="C13" s="5" t="s">
        <v>23</v>
      </c>
      <c r="D13" s="5" t="str">
        <f>_xlfn.IFNA(VLOOKUP(C13,Table1[],2,FALSE),"")</f>
        <v>#C700D3</v>
      </c>
      <c r="E13" s="9" t="s">
        <v>35</v>
      </c>
      <c r="G13" s="2"/>
      <c r="K13" s="4" t="s">
        <v>48</v>
      </c>
    </row>
    <row r="14" spans="1:11" x14ac:dyDescent="0.25">
      <c r="A14" s="8" t="s">
        <v>5</v>
      </c>
      <c r="B14" s="4" t="s">
        <v>48</v>
      </c>
      <c r="C14" s="5" t="s">
        <v>23</v>
      </c>
      <c r="D14" s="5" t="str">
        <f>_xlfn.IFNA(VLOOKUP(C14,Table1[],2,FALSE),"")</f>
        <v>#C700D3</v>
      </c>
      <c r="E14" s="9" t="s">
        <v>38</v>
      </c>
      <c r="G14" s="2"/>
      <c r="K14" s="4" t="s">
        <v>48</v>
      </c>
    </row>
    <row r="15" spans="1:11" x14ac:dyDescent="0.25">
      <c r="A15" s="8" t="s">
        <v>5</v>
      </c>
      <c r="B15" s="4" t="s">
        <v>48</v>
      </c>
      <c r="C15" s="5" t="s">
        <v>23</v>
      </c>
      <c r="D15" s="5" t="str">
        <f>_xlfn.IFNA(VLOOKUP(C15,Table1[],2,FALSE),"")</f>
        <v>#C700D3</v>
      </c>
      <c r="E15" s="9" t="s">
        <v>37</v>
      </c>
      <c r="G15" s="2"/>
      <c r="K15" s="4" t="s">
        <v>48</v>
      </c>
    </row>
    <row r="16" spans="1:11" x14ac:dyDescent="0.25">
      <c r="A16" s="8" t="s">
        <v>5</v>
      </c>
      <c r="B16" s="4" t="s">
        <v>48</v>
      </c>
      <c r="C16" s="5" t="s">
        <v>23</v>
      </c>
      <c r="D16" s="5" t="str">
        <f>_xlfn.IFNA(VLOOKUP(C16,Table1[],2,FALSE),"")</f>
        <v>#C700D3</v>
      </c>
      <c r="E16" s="9" t="s">
        <v>41</v>
      </c>
      <c r="G16" s="2"/>
      <c r="K16" s="4" t="s">
        <v>48</v>
      </c>
    </row>
    <row r="17" spans="1:11" x14ac:dyDescent="0.25">
      <c r="A17" s="8" t="s">
        <v>5</v>
      </c>
      <c r="B17" s="4"/>
      <c r="C17" s="5"/>
      <c r="D17" s="5" t="str">
        <f>_xlfn.IFNA(VLOOKUP(C17,Table1[],2,FALSE),"")</f>
        <v/>
      </c>
      <c r="E17" s="4"/>
      <c r="G17" s="2"/>
      <c r="K17" s="4"/>
    </row>
    <row r="18" spans="1:11" x14ac:dyDescent="0.25">
      <c r="A18" s="8" t="s">
        <v>5</v>
      </c>
      <c r="B18" s="4"/>
      <c r="C18" s="5"/>
      <c r="D18" s="5" t="str">
        <f>_xlfn.IFNA(VLOOKUP(C18,Table1[],2,FALSE),"")</f>
        <v/>
      </c>
      <c r="E18" s="5"/>
      <c r="G18" s="2"/>
      <c r="K18" s="4"/>
    </row>
    <row r="19" spans="1:11" x14ac:dyDescent="0.25">
      <c r="A19" s="8" t="s">
        <v>5</v>
      </c>
      <c r="B19" s="4"/>
      <c r="C19" s="5"/>
      <c r="D19" s="5" t="str">
        <f>_xlfn.IFNA(VLOOKUP(C19,Table1[],2,FALSE),"")</f>
        <v/>
      </c>
      <c r="E19" s="4"/>
      <c r="G19" s="2"/>
      <c r="K19" s="4"/>
    </row>
    <row r="20" spans="1:11" x14ac:dyDescent="0.25">
      <c r="A20" s="8" t="s">
        <v>5</v>
      </c>
      <c r="B20" s="4"/>
      <c r="C20" s="5"/>
      <c r="D20" s="5" t="str">
        <f>_xlfn.IFNA(VLOOKUP(C20,Table1[],2,FALSE),"")</f>
        <v/>
      </c>
      <c r="E20" s="4"/>
      <c r="G20" s="2"/>
      <c r="K20" s="4"/>
    </row>
    <row r="21" spans="1:11" x14ac:dyDescent="0.25">
      <c r="A21" s="8" t="s">
        <v>5</v>
      </c>
      <c r="B21" s="4"/>
      <c r="C21" s="5"/>
      <c r="D21" s="5" t="str">
        <f>_xlfn.IFNA(VLOOKUP(C21,Table1[],2,FALSE),"")</f>
        <v/>
      </c>
      <c r="E21" s="5"/>
      <c r="G21" s="2"/>
      <c r="K21" s="4"/>
    </row>
    <row r="22" spans="1:11" x14ac:dyDescent="0.25">
      <c r="A22" s="8" t="s">
        <v>5</v>
      </c>
      <c r="B22" s="4"/>
      <c r="C22" s="5"/>
      <c r="D22" s="5" t="str">
        <f>_xlfn.IFNA(VLOOKUP(C22,Table1[],2,FALSE),"")</f>
        <v/>
      </c>
      <c r="E22" s="4"/>
      <c r="G22" s="2"/>
      <c r="K22" s="4"/>
    </row>
    <row r="23" spans="1:11" x14ac:dyDescent="0.25">
      <c r="A23" s="8" t="s">
        <v>5</v>
      </c>
      <c r="B23" s="4"/>
      <c r="C23" s="5"/>
      <c r="D23" s="5" t="str">
        <f>_xlfn.IFNA(VLOOKUP(C23,Table1[],2,FALSE),"")</f>
        <v/>
      </c>
      <c r="E23" s="4"/>
      <c r="G23" s="2"/>
      <c r="K23" s="4"/>
    </row>
    <row r="24" spans="1:11" x14ac:dyDescent="0.25">
      <c r="A24" s="5" t="s">
        <v>6</v>
      </c>
      <c r="B24" s="4" t="s">
        <v>49</v>
      </c>
      <c r="C24" s="5" t="s">
        <v>16</v>
      </c>
      <c r="D24" s="5" t="str">
        <f>_xlfn.IFNA(VLOOKUP(C24,Table1[],2,FALSE),"")</f>
        <v>#00B600</v>
      </c>
      <c r="E24" s="9" t="s">
        <v>31</v>
      </c>
      <c r="G24" s="2"/>
      <c r="K24" s="4" t="s">
        <v>49</v>
      </c>
    </row>
    <row r="25" spans="1:11" x14ac:dyDescent="0.25">
      <c r="A25" s="5" t="s">
        <v>6</v>
      </c>
      <c r="B25" s="4" t="s">
        <v>49</v>
      </c>
      <c r="C25" s="5" t="s">
        <v>16</v>
      </c>
      <c r="D25" s="5" t="str">
        <f>_xlfn.IFNA(VLOOKUP(C25,Table1[],2,FALSE),"")</f>
        <v>#00B600</v>
      </c>
      <c r="E25" s="9" t="s">
        <v>32</v>
      </c>
      <c r="K25" s="4" t="s">
        <v>49</v>
      </c>
    </row>
    <row r="26" spans="1:11" ht="15" customHeight="1" x14ac:dyDescent="0.25">
      <c r="A26" s="5" t="s">
        <v>6</v>
      </c>
      <c r="B26" s="4" t="s">
        <v>49</v>
      </c>
      <c r="C26" s="5" t="s">
        <v>16</v>
      </c>
      <c r="D26" s="5" t="str">
        <f>_xlfn.IFNA(VLOOKUP(C26,Table1[],2,FALSE),"")</f>
        <v>#00B600</v>
      </c>
      <c r="E26" s="9" t="s">
        <v>33</v>
      </c>
      <c r="G26" s="6"/>
      <c r="H26" s="7"/>
      <c r="K26" s="4" t="s">
        <v>49</v>
      </c>
    </row>
    <row r="27" spans="1:11" ht="15" customHeight="1" x14ac:dyDescent="0.25">
      <c r="A27" s="5" t="s">
        <v>6</v>
      </c>
      <c r="B27" s="4" t="s">
        <v>50</v>
      </c>
      <c r="C27" s="5" t="s">
        <v>23</v>
      </c>
      <c r="D27" s="5" t="str">
        <f>_xlfn.IFNA(VLOOKUP(C27,Table1[],2,FALSE),"")</f>
        <v>#C700D3</v>
      </c>
      <c r="E27" s="9" t="s">
        <v>43</v>
      </c>
      <c r="G27" s="6"/>
      <c r="H27" s="7"/>
      <c r="K27" s="4" t="s">
        <v>50</v>
      </c>
    </row>
    <row r="28" spans="1:11" ht="15" customHeight="1" x14ac:dyDescent="0.25">
      <c r="A28" s="5" t="s">
        <v>6</v>
      </c>
      <c r="B28" s="4" t="s">
        <v>50</v>
      </c>
      <c r="C28" s="5" t="s">
        <v>23</v>
      </c>
      <c r="D28" s="5" t="str">
        <f>_xlfn.IFNA(VLOOKUP(C28,Table1[],2,FALSE),"")</f>
        <v>#C700D3</v>
      </c>
      <c r="E28" s="9" t="s">
        <v>34</v>
      </c>
      <c r="G28" s="6"/>
      <c r="H28" s="7"/>
      <c r="K28" s="4" t="s">
        <v>50</v>
      </c>
    </row>
    <row r="29" spans="1:11" ht="15" customHeight="1" x14ac:dyDescent="0.25">
      <c r="A29" s="5" t="s">
        <v>6</v>
      </c>
      <c r="B29" s="4" t="s">
        <v>50</v>
      </c>
      <c r="C29" s="5" t="s">
        <v>23</v>
      </c>
      <c r="D29" s="5" t="str">
        <f>_xlfn.IFNA(VLOOKUP(C29,Table1[],2,FALSE),"")</f>
        <v>#C700D3</v>
      </c>
      <c r="E29" s="9" t="s">
        <v>42</v>
      </c>
      <c r="G29" s="6"/>
      <c r="H29" s="7"/>
      <c r="K29" s="4" t="s">
        <v>50</v>
      </c>
    </row>
    <row r="30" spans="1:11" ht="15" customHeight="1" x14ac:dyDescent="0.25">
      <c r="A30" s="5" t="s">
        <v>6</v>
      </c>
      <c r="B30" s="4" t="s">
        <v>50</v>
      </c>
      <c r="C30" s="5" t="s">
        <v>23</v>
      </c>
      <c r="D30" s="5" t="str">
        <f>_xlfn.IFNA(VLOOKUP(C30,Table1[],2,FALSE),"")</f>
        <v>#C700D3</v>
      </c>
      <c r="E30" s="9" t="s">
        <v>35</v>
      </c>
      <c r="G30" s="6"/>
      <c r="H30" s="7"/>
      <c r="K30" s="4" t="s">
        <v>50</v>
      </c>
    </row>
    <row r="31" spans="1:11" ht="15" customHeight="1" x14ac:dyDescent="0.25">
      <c r="A31" s="5" t="s">
        <v>6</v>
      </c>
      <c r="B31" s="5" t="s">
        <v>51</v>
      </c>
      <c r="C31" s="5" t="s">
        <v>22</v>
      </c>
      <c r="D31" s="5" t="str">
        <f>_xlfn.IFNA(VLOOKUP(C31,Table1[],2,FALSE),"")</f>
        <v>#FA0028</v>
      </c>
      <c r="E31" s="9" t="s">
        <v>36</v>
      </c>
      <c r="G31" s="6"/>
      <c r="H31" s="7"/>
      <c r="K31" s="5" t="s">
        <v>51</v>
      </c>
    </row>
    <row r="32" spans="1:11" ht="15" customHeight="1" x14ac:dyDescent="0.25">
      <c r="A32" s="5" t="s">
        <v>6</v>
      </c>
      <c r="B32" s="5" t="s">
        <v>51</v>
      </c>
      <c r="C32" s="5" t="s">
        <v>22</v>
      </c>
      <c r="D32" s="5" t="str">
        <f>_xlfn.IFNA(VLOOKUP(C32,Table1[],2,FALSE),"")</f>
        <v>#FA0028</v>
      </c>
      <c r="E32" s="9" t="s">
        <v>29</v>
      </c>
      <c r="G32" s="6"/>
      <c r="H32" s="7"/>
      <c r="K32" s="5" t="s">
        <v>51</v>
      </c>
    </row>
    <row r="33" spans="1:11" ht="15" customHeight="1" x14ac:dyDescent="0.25">
      <c r="A33" s="5" t="s">
        <v>6</v>
      </c>
      <c r="B33" s="5" t="s">
        <v>51</v>
      </c>
      <c r="C33" s="5" t="s">
        <v>22</v>
      </c>
      <c r="D33" s="5" t="str">
        <f>_xlfn.IFNA(VLOOKUP(C33,Table1[],2,FALSE),"")</f>
        <v>#FA0028</v>
      </c>
      <c r="E33" s="9" t="s">
        <v>30</v>
      </c>
      <c r="K33" s="5" t="s">
        <v>51</v>
      </c>
    </row>
    <row r="34" spans="1:11" ht="15" customHeight="1" x14ac:dyDescent="0.25">
      <c r="A34" s="5" t="s">
        <v>6</v>
      </c>
      <c r="B34" s="4" t="s">
        <v>52</v>
      </c>
      <c r="C34" s="5" t="s">
        <v>9</v>
      </c>
      <c r="D34" s="5" t="str">
        <f>_xlfn.IFNA(VLOOKUP(C34,Table1[],2,FALSE),"")</f>
        <v>#0060FF</v>
      </c>
      <c r="E34" s="9" t="s">
        <v>37</v>
      </c>
      <c r="K34" s="4" t="s">
        <v>52</v>
      </c>
    </row>
    <row r="35" spans="1:11" ht="15" customHeight="1" x14ac:dyDescent="0.25">
      <c r="A35" s="5" t="s">
        <v>6</v>
      </c>
      <c r="B35" s="4" t="s">
        <v>52</v>
      </c>
      <c r="C35" s="5" t="s">
        <v>9</v>
      </c>
      <c r="D35" s="5" t="str">
        <f>_xlfn.IFNA(VLOOKUP(C35,Table1[],2,FALSE),"")</f>
        <v>#0060FF</v>
      </c>
      <c r="E35" s="9" t="s">
        <v>38</v>
      </c>
      <c r="K35" s="4" t="s">
        <v>52</v>
      </c>
    </row>
    <row r="36" spans="1:11" ht="15" customHeight="1" x14ac:dyDescent="0.25">
      <c r="A36" s="5" t="s">
        <v>6</v>
      </c>
      <c r="B36" s="5" t="s">
        <v>53</v>
      </c>
      <c r="C36" s="5" t="s">
        <v>17</v>
      </c>
      <c r="D36" s="5" t="str">
        <f>_xlfn.IFNA(VLOOKUP(C36,Table1[],2,FALSE),"")</f>
        <v>#FEDB00</v>
      </c>
      <c r="E36" s="9" t="s">
        <v>39</v>
      </c>
      <c r="K36" s="5" t="s">
        <v>53</v>
      </c>
    </row>
    <row r="37" spans="1:11" ht="15" customHeight="1" x14ac:dyDescent="0.25">
      <c r="A37" s="5" t="s">
        <v>6</v>
      </c>
      <c r="B37" s="5" t="s">
        <v>53</v>
      </c>
      <c r="C37" s="5" t="s">
        <v>17</v>
      </c>
      <c r="D37" s="5" t="str">
        <f>_xlfn.IFNA(VLOOKUP(C37,Table1[],2,FALSE),"")</f>
        <v>#FEDB00</v>
      </c>
      <c r="E37" s="9" t="s">
        <v>40</v>
      </c>
      <c r="K37" s="5" t="s">
        <v>53</v>
      </c>
    </row>
    <row r="38" spans="1:11" ht="15" customHeight="1" x14ac:dyDescent="0.25">
      <c r="A38" s="5" t="s">
        <v>6</v>
      </c>
      <c r="B38" s="4" t="s">
        <v>54</v>
      </c>
      <c r="C38" s="5" t="s">
        <v>20</v>
      </c>
      <c r="D38" s="5" t="str">
        <f>_xlfn.IFNA(VLOOKUP(C38,Table1[],2,FALSE),"")</f>
        <v>#FF5000</v>
      </c>
      <c r="E38" s="9" t="s">
        <v>41</v>
      </c>
      <c r="K38" s="4" t="s">
        <v>54</v>
      </c>
    </row>
    <row r="39" spans="1:11" ht="15" customHeight="1" x14ac:dyDescent="0.25">
      <c r="A39" s="5" t="s">
        <v>6</v>
      </c>
      <c r="B39" s="5"/>
      <c r="C39" s="5"/>
      <c r="D39" s="5" t="str">
        <f>_xlfn.IFNA(VLOOKUP(C39,Table1[],2,FALSE),"")</f>
        <v/>
      </c>
      <c r="E39" s="5"/>
    </row>
    <row r="40" spans="1:11" ht="15" customHeight="1" x14ac:dyDescent="0.25">
      <c r="A40" s="5" t="s">
        <v>6</v>
      </c>
      <c r="B40" s="5"/>
      <c r="C40" s="5"/>
      <c r="D40" s="5" t="str">
        <f>_xlfn.IFNA(VLOOKUP(C40,Table1[],2,FALSE),"")</f>
        <v/>
      </c>
      <c r="E40" s="5"/>
    </row>
    <row r="41" spans="1:11" ht="15" customHeight="1" x14ac:dyDescent="0.25">
      <c r="A41" s="5" t="s">
        <v>6</v>
      </c>
      <c r="B41" s="5"/>
      <c r="C41" s="5"/>
      <c r="D41" s="5" t="str">
        <f>_xlfn.IFNA(VLOOKUP(C41,Table1[],2,FALSE),"")</f>
        <v/>
      </c>
      <c r="E41" s="5"/>
    </row>
    <row r="42" spans="1:11" ht="15" customHeight="1" x14ac:dyDescent="0.25">
      <c r="A42" s="5" t="s">
        <v>6</v>
      </c>
      <c r="B42" s="5"/>
      <c r="C42" s="5"/>
      <c r="D42" s="5" t="str">
        <f>_xlfn.IFNA(VLOOKUP(C42,Table1[],2,FALSE),"")</f>
        <v/>
      </c>
      <c r="E42" s="5"/>
    </row>
    <row r="43" spans="1:11" ht="15" customHeight="1" x14ac:dyDescent="0.25"/>
    <row r="44" spans="1:11" ht="15" customHeight="1" x14ac:dyDescent="0.25"/>
    <row r="45" spans="1:11" ht="15" customHeight="1" x14ac:dyDescent="0.25"/>
    <row r="46" spans="1:11" ht="15" customHeight="1" x14ac:dyDescent="0.25"/>
  </sheetData>
  <autoFilter ref="A1:E42" xr:uid="{419810F7-B0D2-4B07-9094-F238C90331AE}">
    <sortState xmlns:xlrd2="http://schemas.microsoft.com/office/spreadsheetml/2017/richdata2" ref="A2:E42">
      <sortCondition descending="1" ref="A1:A4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D09AB4E-5165-4690-957F-09BF3638D8B9}">
          <x14:formula1>
            <xm:f>CATA!$A$1:$A$4</xm:f>
          </x14:formula1>
          <xm:sqref>C1</xm:sqref>
        </x14:dataValidation>
        <x14:dataValidation type="list" allowBlank="1" showInputMessage="1" showErrorMessage="1" xr:uid="{602A6896-E8B4-472A-B2B4-938444146902}">
          <x14:formula1>
            <xm:f>CATA!$A$2:$A$7</xm:f>
          </x14:formula1>
          <xm:sqref>C43:C60</xm:sqref>
        </x14:dataValidation>
        <x14:dataValidation type="list" allowBlank="1" showInputMessage="1" showErrorMessage="1" xr:uid="{A052AC63-A0DA-4F28-8564-19C7AC3133D9}">
          <x14:formula1>
            <xm:f>CATA!$A:$A</xm:f>
          </x14:formula1>
          <xm:sqref>C2:C42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A7F7-BD82-41A8-A57B-60EDF8054880}">
  <dimension ref="A1:H65"/>
  <sheetViews>
    <sheetView topLeftCell="A31" zoomScaleNormal="100" workbookViewId="0">
      <selection activeCell="B65" sqref="B65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8" x14ac:dyDescent="0.25">
      <c r="A2" s="5" t="s">
        <v>6</v>
      </c>
      <c r="B2" s="4" t="s">
        <v>639</v>
      </c>
      <c r="C2" s="5" t="s">
        <v>9</v>
      </c>
      <c r="D2" s="5" t="str">
        <f>_xlfn.IFNA(VLOOKUP(C2,Table1[],2,FALSE),"")</f>
        <v>#0060FF</v>
      </c>
      <c r="E2" s="18" t="s">
        <v>598</v>
      </c>
      <c r="G2" s="2"/>
      <c r="H2" t="s">
        <v>26</v>
      </c>
    </row>
    <row r="3" spans="1:8" x14ac:dyDescent="0.25">
      <c r="A3" s="5" t="s">
        <v>6</v>
      </c>
      <c r="B3" s="4" t="s">
        <v>639</v>
      </c>
      <c r="C3" s="5" t="s">
        <v>9</v>
      </c>
      <c r="D3" s="5" t="str">
        <f>_xlfn.IFNA(VLOOKUP(C3,Table1[],2,FALSE),"")</f>
        <v>#0060FF</v>
      </c>
      <c r="E3" s="18" t="s">
        <v>599</v>
      </c>
      <c r="G3" s="2"/>
    </row>
    <row r="4" spans="1:8" x14ac:dyDescent="0.25">
      <c r="A4" s="5" t="s">
        <v>6</v>
      </c>
      <c r="B4" s="4" t="s">
        <v>640</v>
      </c>
      <c r="C4" s="5" t="s">
        <v>23</v>
      </c>
      <c r="D4" s="5" t="str">
        <f>_xlfn.IFNA(VLOOKUP(C4,Table1[],2,FALSE),"")</f>
        <v>#C700D3</v>
      </c>
      <c r="E4" s="18" t="s">
        <v>614</v>
      </c>
      <c r="G4" s="2"/>
    </row>
    <row r="5" spans="1:8" x14ac:dyDescent="0.25">
      <c r="A5" s="5" t="s">
        <v>6</v>
      </c>
      <c r="B5" s="4" t="s">
        <v>640</v>
      </c>
      <c r="C5" s="5" t="s">
        <v>23</v>
      </c>
      <c r="D5" s="5" t="str">
        <f>_xlfn.IFNA(VLOOKUP(C5,Table1[],2,FALSE),"")</f>
        <v>#C700D3</v>
      </c>
      <c r="E5" s="18" t="s">
        <v>615</v>
      </c>
      <c r="G5" s="2"/>
    </row>
    <row r="6" spans="1:8" x14ac:dyDescent="0.25">
      <c r="A6" s="5" t="s">
        <v>6</v>
      </c>
      <c r="B6" s="4" t="s">
        <v>641</v>
      </c>
      <c r="C6" s="5" t="s">
        <v>14</v>
      </c>
      <c r="D6" s="5" t="str">
        <f>_xlfn.IFNA(VLOOKUP(C6,Table1[],2,FALSE),"")</f>
        <v>#00E5BA</v>
      </c>
      <c r="E6" s="18" t="s">
        <v>603</v>
      </c>
      <c r="G6" s="2"/>
    </row>
    <row r="7" spans="1:8" x14ac:dyDescent="0.25">
      <c r="A7" s="5" t="s">
        <v>6</v>
      </c>
      <c r="B7" s="4" t="s">
        <v>642</v>
      </c>
      <c r="C7" s="5" t="s">
        <v>9</v>
      </c>
      <c r="D7" s="5" t="str">
        <f>_xlfn.IFNA(VLOOKUP(C7,Table1[],2,FALSE),"")</f>
        <v>#0060FF</v>
      </c>
      <c r="E7" s="18" t="s">
        <v>620</v>
      </c>
      <c r="G7" s="2"/>
    </row>
    <row r="8" spans="1:8" x14ac:dyDescent="0.25">
      <c r="A8" s="5" t="s">
        <v>6</v>
      </c>
      <c r="B8" s="4" t="s">
        <v>642</v>
      </c>
      <c r="C8" s="5" t="s">
        <v>9</v>
      </c>
      <c r="D8" s="5" t="str">
        <f>_xlfn.IFNA(VLOOKUP(C8,Table1[],2,FALSE),"")</f>
        <v>#0060FF</v>
      </c>
      <c r="E8" s="18" t="s">
        <v>621</v>
      </c>
      <c r="G8" s="2"/>
    </row>
    <row r="9" spans="1:8" x14ac:dyDescent="0.25">
      <c r="A9" s="5" t="s">
        <v>6</v>
      </c>
      <c r="B9" s="4" t="s">
        <v>643</v>
      </c>
      <c r="C9" s="5" t="s">
        <v>20</v>
      </c>
      <c r="D9" s="5" t="str">
        <f>_xlfn.IFNA(VLOOKUP(C9,Table1[],2,FALSE),"")</f>
        <v>#FF5000</v>
      </c>
      <c r="E9" s="18" t="s">
        <v>610</v>
      </c>
      <c r="G9" s="2"/>
    </row>
    <row r="10" spans="1:8" x14ac:dyDescent="0.25">
      <c r="A10" s="5" t="s">
        <v>6</v>
      </c>
      <c r="B10" s="4" t="s">
        <v>643</v>
      </c>
      <c r="C10" s="5" t="s">
        <v>20</v>
      </c>
      <c r="D10" s="5" t="str">
        <f>_xlfn.IFNA(VLOOKUP(C10,Table1[],2,FALSE),"")</f>
        <v>#FF5000</v>
      </c>
      <c r="E10" s="18" t="s">
        <v>611</v>
      </c>
      <c r="G10" s="2"/>
    </row>
    <row r="11" spans="1:8" x14ac:dyDescent="0.25">
      <c r="A11" s="5" t="s">
        <v>6</v>
      </c>
      <c r="B11" s="4" t="s">
        <v>644</v>
      </c>
      <c r="C11" s="5" t="s">
        <v>17</v>
      </c>
      <c r="D11" s="5" t="str">
        <f>_xlfn.IFNA(VLOOKUP(C11,Table1[],2,FALSE),"")</f>
        <v>#FEDB00</v>
      </c>
      <c r="E11" s="18" t="s">
        <v>606</v>
      </c>
      <c r="G11" s="2"/>
    </row>
    <row r="12" spans="1:8" x14ac:dyDescent="0.25">
      <c r="A12" s="5" t="s">
        <v>6</v>
      </c>
      <c r="B12" s="4" t="s">
        <v>644</v>
      </c>
      <c r="C12" s="5" t="s">
        <v>17</v>
      </c>
      <c r="D12" s="5" t="str">
        <f>_xlfn.IFNA(VLOOKUP(C12,Table1[],2,FALSE),"")</f>
        <v>#FEDB00</v>
      </c>
      <c r="E12" s="18" t="s">
        <v>607</v>
      </c>
    </row>
    <row r="13" spans="1:8" x14ac:dyDescent="0.25">
      <c r="A13" s="5" t="s">
        <v>6</v>
      </c>
      <c r="B13" s="4" t="s">
        <v>644</v>
      </c>
      <c r="C13" s="5" t="s">
        <v>17</v>
      </c>
      <c r="D13" s="5" t="str">
        <f>_xlfn.IFNA(VLOOKUP(C13,Table1[],2,FALSE),"")</f>
        <v>#FEDB00</v>
      </c>
      <c r="E13" s="18" t="s">
        <v>608</v>
      </c>
      <c r="G13" s="2"/>
    </row>
    <row r="14" spans="1:8" x14ac:dyDescent="0.25">
      <c r="A14" s="5" t="s">
        <v>6</v>
      </c>
      <c r="B14" s="4" t="s">
        <v>644</v>
      </c>
      <c r="C14" s="5" t="s">
        <v>17</v>
      </c>
      <c r="D14" s="5" t="str">
        <f>_xlfn.IFNA(VLOOKUP(C14,Table1[],2,FALSE),"")</f>
        <v>#FEDB00</v>
      </c>
      <c r="E14" s="18" t="s">
        <v>609</v>
      </c>
      <c r="G14" s="2"/>
    </row>
    <row r="15" spans="1:8" x14ac:dyDescent="0.25">
      <c r="A15" s="5" t="s">
        <v>6</v>
      </c>
      <c r="B15" s="4" t="s">
        <v>645</v>
      </c>
      <c r="C15" s="5" t="s">
        <v>28</v>
      </c>
      <c r="D15" s="5" t="str">
        <f>_xlfn.IFNA(VLOOKUP(C15,Table1[],2,FALSE),"")</f>
        <v>#D9D9D9</v>
      </c>
      <c r="E15" s="18" t="s">
        <v>616</v>
      </c>
      <c r="G15" s="2"/>
    </row>
    <row r="16" spans="1:8" x14ac:dyDescent="0.25">
      <c r="A16" s="5" t="s">
        <v>6</v>
      </c>
      <c r="B16" s="4" t="s">
        <v>645</v>
      </c>
      <c r="C16" s="5" t="s">
        <v>28</v>
      </c>
      <c r="D16" s="5" t="str">
        <f>_xlfn.IFNA(VLOOKUP(C16,Table1[],2,FALSE),"")</f>
        <v>#D9D9D9</v>
      </c>
      <c r="E16" s="18" t="s">
        <v>617</v>
      </c>
      <c r="G16" s="2"/>
    </row>
    <row r="17" spans="1:7" x14ac:dyDescent="0.25">
      <c r="A17" s="5" t="s">
        <v>6</v>
      </c>
      <c r="B17" s="4" t="s">
        <v>646</v>
      </c>
      <c r="C17" s="5" t="s">
        <v>22</v>
      </c>
      <c r="D17" s="5" t="str">
        <f>_xlfn.IFNA(VLOOKUP(C17,Table1[],2,FALSE),"")</f>
        <v>#FA0028</v>
      </c>
      <c r="E17" s="18" t="s">
        <v>612</v>
      </c>
      <c r="G17" s="2"/>
    </row>
    <row r="18" spans="1:7" x14ac:dyDescent="0.25">
      <c r="A18" s="5" t="s">
        <v>6</v>
      </c>
      <c r="B18" s="4" t="s">
        <v>646</v>
      </c>
      <c r="C18" s="5" t="s">
        <v>22</v>
      </c>
      <c r="D18" s="5" t="str">
        <f>_xlfn.IFNA(VLOOKUP(C18,Table1[],2,FALSE),"")</f>
        <v>#FA0028</v>
      </c>
      <c r="E18" s="18" t="s">
        <v>613</v>
      </c>
      <c r="G18" s="2"/>
    </row>
    <row r="19" spans="1:7" x14ac:dyDescent="0.25">
      <c r="A19" s="5" t="s">
        <v>6</v>
      </c>
      <c r="B19" s="4" t="s">
        <v>647</v>
      </c>
      <c r="C19" s="5" t="s">
        <v>11</v>
      </c>
      <c r="D19" s="5" t="str">
        <f>_xlfn.IFNA(VLOOKUP(C19,Table1[],2,FALSE),"")</f>
        <v>#AEAE9F</v>
      </c>
      <c r="E19" s="18" t="s">
        <v>600</v>
      </c>
      <c r="G19" s="2"/>
    </row>
    <row r="20" spans="1:7" x14ac:dyDescent="0.25">
      <c r="A20" s="5" t="s">
        <v>6</v>
      </c>
      <c r="B20" s="4" t="s">
        <v>647</v>
      </c>
      <c r="C20" s="5" t="s">
        <v>11</v>
      </c>
      <c r="D20" s="5" t="str">
        <f>_xlfn.IFNA(VLOOKUP(C20,Table1[],2,FALSE),"")</f>
        <v>#AEAE9F</v>
      </c>
      <c r="E20" s="18" t="s">
        <v>601</v>
      </c>
      <c r="G20" s="2"/>
    </row>
    <row r="21" spans="1:7" x14ac:dyDescent="0.25">
      <c r="A21" s="5" t="s">
        <v>6</v>
      </c>
      <c r="B21" s="4" t="s">
        <v>647</v>
      </c>
      <c r="C21" s="5" t="s">
        <v>11</v>
      </c>
      <c r="D21" s="5" t="str">
        <f>_xlfn.IFNA(VLOOKUP(C21,Table1[],2,FALSE),"")</f>
        <v>#AEAE9F</v>
      </c>
      <c r="E21" s="18" t="s">
        <v>602</v>
      </c>
      <c r="G21" s="2"/>
    </row>
    <row r="22" spans="1:7" x14ac:dyDescent="0.25">
      <c r="A22" s="5" t="s">
        <v>6</v>
      </c>
      <c r="B22" s="4" t="s">
        <v>648</v>
      </c>
      <c r="C22" s="5" t="s">
        <v>16</v>
      </c>
      <c r="D22" s="5" t="str">
        <f>_xlfn.IFNA(VLOOKUP(C22,Table1[],2,FALSE),"")</f>
        <v>#00B600</v>
      </c>
      <c r="E22" s="18" t="s">
        <v>604</v>
      </c>
      <c r="G22" s="2"/>
    </row>
    <row r="23" spans="1:7" x14ac:dyDescent="0.25">
      <c r="A23" s="5" t="s">
        <v>6</v>
      </c>
      <c r="B23" s="4" t="s">
        <v>648</v>
      </c>
      <c r="C23" s="5" t="s">
        <v>16</v>
      </c>
      <c r="D23" s="5" t="str">
        <f>_xlfn.IFNA(VLOOKUP(C23,Table1[],2,FALSE),"")</f>
        <v>#00B600</v>
      </c>
      <c r="E23" s="18" t="s">
        <v>605</v>
      </c>
      <c r="G23" s="2"/>
    </row>
    <row r="24" spans="1:7" x14ac:dyDescent="0.25">
      <c r="A24" s="5" t="s">
        <v>6</v>
      </c>
      <c r="B24" s="4" t="s">
        <v>649</v>
      </c>
      <c r="C24" s="5" t="s">
        <v>8</v>
      </c>
      <c r="D24" s="5" t="str">
        <f>_xlfn.IFNA(VLOOKUP(C24,Table1[],2,FALSE),"")</f>
        <v>#802AB7</v>
      </c>
      <c r="E24" s="18" t="s">
        <v>618</v>
      </c>
      <c r="G24" s="2"/>
    </row>
    <row r="25" spans="1:7" x14ac:dyDescent="0.25">
      <c r="A25" s="5" t="s">
        <v>6</v>
      </c>
      <c r="B25" s="4" t="s">
        <v>649</v>
      </c>
      <c r="C25" s="5" t="s">
        <v>8</v>
      </c>
      <c r="D25" s="5" t="str">
        <f>_xlfn.IFNA(VLOOKUP(C25,Table1[],2,FALSE),"")</f>
        <v>#802AB7</v>
      </c>
      <c r="E25" s="18" t="s">
        <v>619</v>
      </c>
      <c r="G25" s="2"/>
    </row>
    <row r="26" spans="1:7" x14ac:dyDescent="0.25">
      <c r="A26" s="5" t="s">
        <v>6</v>
      </c>
      <c r="B26" s="4" t="s">
        <v>650</v>
      </c>
      <c r="C26" s="5" t="s">
        <v>8</v>
      </c>
      <c r="D26" s="5" t="str">
        <f>_xlfn.IFNA(VLOOKUP(C26,Table1[],2,FALSE),"")</f>
        <v>#802AB7</v>
      </c>
      <c r="E26" s="18" t="s">
        <v>590</v>
      </c>
      <c r="G26" s="2"/>
    </row>
    <row r="27" spans="1:7" x14ac:dyDescent="0.25">
      <c r="A27" s="5" t="s">
        <v>6</v>
      </c>
      <c r="B27" s="4" t="s">
        <v>650</v>
      </c>
      <c r="C27" s="5" t="s">
        <v>8</v>
      </c>
      <c r="D27" s="5" t="str">
        <f>_xlfn.IFNA(VLOOKUP(C27,Table1[],2,FALSE),"")</f>
        <v>#802AB7</v>
      </c>
      <c r="E27" s="18" t="s">
        <v>591</v>
      </c>
      <c r="G27" s="2"/>
    </row>
    <row r="28" spans="1:7" x14ac:dyDescent="0.25">
      <c r="A28" s="5" t="s">
        <v>6</v>
      </c>
      <c r="B28" s="4" t="s">
        <v>650</v>
      </c>
      <c r="C28" s="5" t="s">
        <v>8</v>
      </c>
      <c r="D28" s="5" t="str">
        <f>_xlfn.IFNA(VLOOKUP(C28,Table1[],2,FALSE),"")</f>
        <v>#802AB7</v>
      </c>
      <c r="E28" s="18" t="s">
        <v>592</v>
      </c>
      <c r="G28" s="2"/>
    </row>
    <row r="29" spans="1:7" x14ac:dyDescent="0.25">
      <c r="A29" s="5" t="s">
        <v>6</v>
      </c>
      <c r="B29" s="4" t="s">
        <v>650</v>
      </c>
      <c r="C29" s="5" t="s">
        <v>8</v>
      </c>
      <c r="D29" s="5" t="str">
        <f>_xlfn.IFNA(VLOOKUP(C29,Table1[],2,FALSE),"")</f>
        <v>#802AB7</v>
      </c>
      <c r="E29" s="18" t="s">
        <v>593</v>
      </c>
      <c r="G29" s="2"/>
    </row>
    <row r="30" spans="1:7" x14ac:dyDescent="0.25">
      <c r="A30" s="5" t="s">
        <v>6</v>
      </c>
      <c r="B30" s="4" t="s">
        <v>650</v>
      </c>
      <c r="C30" s="5" t="s">
        <v>8</v>
      </c>
      <c r="D30" s="5" t="str">
        <f>_xlfn.IFNA(VLOOKUP(C30,Table1[],2,FALSE),"")</f>
        <v>#802AB7</v>
      </c>
      <c r="E30" s="18" t="s">
        <v>594</v>
      </c>
      <c r="G30" s="2"/>
    </row>
    <row r="31" spans="1:7" x14ac:dyDescent="0.25">
      <c r="A31" s="5" t="s">
        <v>6</v>
      </c>
      <c r="B31" s="4" t="s">
        <v>650</v>
      </c>
      <c r="C31" s="5" t="s">
        <v>8</v>
      </c>
      <c r="D31" s="5" t="str">
        <f>_xlfn.IFNA(VLOOKUP(C31,Table1[],2,FALSE),"")</f>
        <v>#802AB7</v>
      </c>
      <c r="E31" s="18" t="s">
        <v>595</v>
      </c>
      <c r="G31" s="2"/>
    </row>
    <row r="32" spans="1:7" x14ac:dyDescent="0.25">
      <c r="A32" s="5" t="s">
        <v>6</v>
      </c>
      <c r="B32" s="4" t="s">
        <v>650</v>
      </c>
      <c r="C32" s="5" t="s">
        <v>8</v>
      </c>
      <c r="D32" s="5" t="str">
        <f>_xlfn.IFNA(VLOOKUP(C32,Table1[],2,FALSE),"")</f>
        <v>#802AB7</v>
      </c>
      <c r="E32" s="18" t="s">
        <v>596</v>
      </c>
      <c r="G32" s="2"/>
    </row>
    <row r="33" spans="1:8" x14ac:dyDescent="0.25">
      <c r="A33" s="5" t="s">
        <v>6</v>
      </c>
      <c r="B33" s="4" t="s">
        <v>650</v>
      </c>
      <c r="C33" s="5" t="s">
        <v>8</v>
      </c>
      <c r="D33" s="5" t="str">
        <f>_xlfn.IFNA(VLOOKUP(C33,Table1[],2,FALSE),"")</f>
        <v>#802AB7</v>
      </c>
      <c r="E33" s="18" t="s">
        <v>597</v>
      </c>
      <c r="G33" s="2"/>
    </row>
    <row r="34" spans="1:8" x14ac:dyDescent="0.25">
      <c r="A34" s="8" t="s">
        <v>5</v>
      </c>
      <c r="B34" s="4" t="s">
        <v>651</v>
      </c>
      <c r="C34" s="5" t="s">
        <v>9</v>
      </c>
      <c r="D34" s="5" t="str">
        <f>_xlfn.IFNA(VLOOKUP(C34,Table1[],2,FALSE),"")</f>
        <v>#0060FF</v>
      </c>
      <c r="E34" s="9" t="s">
        <v>596</v>
      </c>
      <c r="G34" s="2"/>
    </row>
    <row r="35" spans="1:8" x14ac:dyDescent="0.25">
      <c r="A35" s="8" t="s">
        <v>5</v>
      </c>
      <c r="B35" s="4" t="s">
        <v>651</v>
      </c>
      <c r="C35" s="5" t="s">
        <v>9</v>
      </c>
      <c r="D35" s="5" t="str">
        <f>_xlfn.IFNA(VLOOKUP(C35,Table1[],2,FALSE),"")</f>
        <v>#0060FF</v>
      </c>
      <c r="E35" s="9" t="s">
        <v>598</v>
      </c>
    </row>
    <row r="36" spans="1:8" ht="15" customHeight="1" x14ac:dyDescent="0.25">
      <c r="A36" s="8" t="s">
        <v>5</v>
      </c>
      <c r="B36" s="4" t="s">
        <v>651</v>
      </c>
      <c r="C36" s="5" t="s">
        <v>9</v>
      </c>
      <c r="D36" s="5" t="str">
        <f>_xlfn.IFNA(VLOOKUP(C36,Table1[],2,FALSE),"")</f>
        <v>#0060FF</v>
      </c>
      <c r="E36" s="9" t="s">
        <v>599</v>
      </c>
      <c r="G36" s="6"/>
      <c r="H36" s="7"/>
    </row>
    <row r="37" spans="1:8" ht="15" customHeight="1" x14ac:dyDescent="0.25">
      <c r="A37" s="8" t="s">
        <v>5</v>
      </c>
      <c r="B37" s="4" t="s">
        <v>651</v>
      </c>
      <c r="C37" s="5" t="s">
        <v>9</v>
      </c>
      <c r="D37" s="5" t="str">
        <f>_xlfn.IFNA(VLOOKUP(C37,Table1[],2,FALSE),"")</f>
        <v>#0060FF</v>
      </c>
      <c r="E37" s="9" t="s">
        <v>605</v>
      </c>
      <c r="G37" s="6"/>
      <c r="H37" s="7"/>
    </row>
    <row r="38" spans="1:8" ht="15" customHeight="1" x14ac:dyDescent="0.25">
      <c r="A38" s="8" t="s">
        <v>5</v>
      </c>
      <c r="B38" s="4" t="s">
        <v>652</v>
      </c>
      <c r="C38" s="5" t="s">
        <v>8</v>
      </c>
      <c r="D38" s="5" t="str">
        <f>_xlfn.IFNA(VLOOKUP(C38,Table1[],2,FALSE),"")</f>
        <v>#802AB7</v>
      </c>
      <c r="E38" s="9" t="s">
        <v>595</v>
      </c>
      <c r="G38" s="6"/>
      <c r="H38" s="7"/>
    </row>
    <row r="39" spans="1:8" ht="15" customHeight="1" x14ac:dyDescent="0.25">
      <c r="A39" s="8" t="s">
        <v>5</v>
      </c>
      <c r="B39" s="4" t="s">
        <v>652</v>
      </c>
      <c r="C39" s="5" t="s">
        <v>8</v>
      </c>
      <c r="D39" s="5" t="str">
        <f>_xlfn.IFNA(VLOOKUP(C39,Table1[],2,FALSE),"")</f>
        <v>#802AB7</v>
      </c>
      <c r="E39" s="9" t="s">
        <v>600</v>
      </c>
      <c r="G39" s="6"/>
      <c r="H39" s="7"/>
    </row>
    <row r="40" spans="1:8" ht="15" customHeight="1" x14ac:dyDescent="0.25">
      <c r="A40" s="8" t="s">
        <v>5</v>
      </c>
      <c r="B40" s="4" t="s">
        <v>652</v>
      </c>
      <c r="C40" s="5" t="s">
        <v>8</v>
      </c>
      <c r="D40" s="5" t="str">
        <f>_xlfn.IFNA(VLOOKUP(C40,Table1[],2,FALSE),"")</f>
        <v>#802AB7</v>
      </c>
      <c r="E40" s="9" t="s">
        <v>601</v>
      </c>
      <c r="G40" s="6"/>
      <c r="H40" s="7"/>
    </row>
    <row r="41" spans="1:8" ht="15" customHeight="1" x14ac:dyDescent="0.25">
      <c r="A41" s="8" t="s">
        <v>5</v>
      </c>
      <c r="B41" s="4" t="s">
        <v>652</v>
      </c>
      <c r="C41" s="5" t="s">
        <v>8</v>
      </c>
      <c r="D41" s="5" t="str">
        <f>_xlfn.IFNA(VLOOKUP(C41,Table1[],2,FALSE),"")</f>
        <v>#802AB7</v>
      </c>
      <c r="E41" s="9" t="s">
        <v>610</v>
      </c>
      <c r="G41" s="6"/>
      <c r="H41" s="7"/>
    </row>
    <row r="42" spans="1:8" ht="15" customHeight="1" x14ac:dyDescent="0.25">
      <c r="A42" s="8" t="s">
        <v>5</v>
      </c>
      <c r="B42" s="4" t="s">
        <v>652</v>
      </c>
      <c r="C42" s="5" t="s">
        <v>8</v>
      </c>
      <c r="D42" s="5" t="str">
        <f>_xlfn.IFNA(VLOOKUP(C42,Table1[],2,FALSE),"")</f>
        <v>#802AB7</v>
      </c>
      <c r="E42" s="9" t="s">
        <v>611</v>
      </c>
      <c r="G42" s="6"/>
      <c r="H42" s="7"/>
    </row>
    <row r="43" spans="1:8" ht="15" customHeight="1" x14ac:dyDescent="0.25">
      <c r="A43" s="8" t="s">
        <v>5</v>
      </c>
      <c r="B43" s="4" t="s">
        <v>652</v>
      </c>
      <c r="C43" s="5" t="s">
        <v>8</v>
      </c>
      <c r="D43" s="5" t="str">
        <f>_xlfn.IFNA(VLOOKUP(C43,Table1[],2,FALSE),"")</f>
        <v>#802AB7</v>
      </c>
      <c r="E43" s="9" t="s">
        <v>617</v>
      </c>
    </row>
    <row r="44" spans="1:8" ht="15" customHeight="1" x14ac:dyDescent="0.25">
      <c r="A44" s="8" t="s">
        <v>5</v>
      </c>
      <c r="B44" s="4" t="s">
        <v>652</v>
      </c>
      <c r="C44" s="5" t="s">
        <v>8</v>
      </c>
      <c r="D44" s="5" t="str">
        <f>_xlfn.IFNA(VLOOKUP(C44,Table1[],2,FALSE),"")</f>
        <v>#802AB7</v>
      </c>
      <c r="E44" s="9" t="s">
        <v>618</v>
      </c>
    </row>
    <row r="45" spans="1:8" ht="15" customHeight="1" x14ac:dyDescent="0.25">
      <c r="A45" s="8" t="s">
        <v>5</v>
      </c>
      <c r="B45" s="4" t="s">
        <v>653</v>
      </c>
      <c r="C45" s="5" t="s">
        <v>11</v>
      </c>
      <c r="D45" s="5" t="str">
        <f>_xlfn.IFNA(VLOOKUP(C45,Table1[],2,FALSE),"")</f>
        <v>#AEAE9F</v>
      </c>
      <c r="E45" s="9" t="s">
        <v>590</v>
      </c>
    </row>
    <row r="46" spans="1:8" ht="15" customHeight="1" x14ac:dyDescent="0.25">
      <c r="A46" s="8" t="s">
        <v>5</v>
      </c>
      <c r="B46" s="4" t="s">
        <v>653</v>
      </c>
      <c r="C46" s="5" t="s">
        <v>11</v>
      </c>
      <c r="D46" s="5" t="str">
        <f>_xlfn.IFNA(VLOOKUP(C46,Table1[],2,FALSE),"")</f>
        <v>#AEAE9F</v>
      </c>
      <c r="E46" s="9" t="s">
        <v>591</v>
      </c>
    </row>
    <row r="47" spans="1:8" ht="15" customHeight="1" x14ac:dyDescent="0.25">
      <c r="A47" s="8" t="s">
        <v>5</v>
      </c>
      <c r="B47" s="4" t="s">
        <v>653</v>
      </c>
      <c r="C47" s="5" t="s">
        <v>11</v>
      </c>
      <c r="D47" s="5" t="str">
        <f>_xlfn.IFNA(VLOOKUP(C47,Table1[],2,FALSE),"")</f>
        <v>#AEAE9F</v>
      </c>
      <c r="E47" s="9" t="s">
        <v>592</v>
      </c>
    </row>
    <row r="48" spans="1:8" ht="15" customHeight="1" x14ac:dyDescent="0.25">
      <c r="A48" s="8" t="s">
        <v>5</v>
      </c>
      <c r="B48" s="4" t="s">
        <v>653</v>
      </c>
      <c r="C48" s="5" t="s">
        <v>11</v>
      </c>
      <c r="D48" s="5" t="str">
        <f>_xlfn.IFNA(VLOOKUP(C48,Table1[],2,FALSE),"")</f>
        <v>#AEAE9F</v>
      </c>
      <c r="E48" s="9" t="s">
        <v>593</v>
      </c>
    </row>
    <row r="49" spans="1:5" ht="15" customHeight="1" x14ac:dyDescent="0.25">
      <c r="A49" s="8" t="s">
        <v>5</v>
      </c>
      <c r="B49" s="4" t="s">
        <v>653</v>
      </c>
      <c r="C49" s="5" t="s">
        <v>11</v>
      </c>
      <c r="D49" s="5" t="str">
        <f>_xlfn.IFNA(VLOOKUP(C49,Table1[],2,FALSE),"")</f>
        <v>#AEAE9F</v>
      </c>
      <c r="E49" s="9" t="s">
        <v>594</v>
      </c>
    </row>
    <row r="50" spans="1:5" ht="15" customHeight="1" x14ac:dyDescent="0.25">
      <c r="A50" s="8" t="s">
        <v>5</v>
      </c>
      <c r="B50" s="4" t="s">
        <v>654</v>
      </c>
      <c r="C50" s="5" t="s">
        <v>14</v>
      </c>
      <c r="D50" s="5" t="str">
        <f>_xlfn.IFNA(VLOOKUP(C50,Table1[],2,FALSE),"")</f>
        <v>#00E5BA</v>
      </c>
      <c r="E50" s="9" t="s">
        <v>597</v>
      </c>
    </row>
    <row r="51" spans="1:5" ht="15" customHeight="1" x14ac:dyDescent="0.25">
      <c r="A51" s="8" t="s">
        <v>5</v>
      </c>
      <c r="B51" s="4" t="s">
        <v>654</v>
      </c>
      <c r="C51" s="5" t="s">
        <v>14</v>
      </c>
      <c r="D51" s="5" t="str">
        <f>_xlfn.IFNA(VLOOKUP(C51,Table1[],2,FALSE),"")</f>
        <v>#00E5BA</v>
      </c>
      <c r="E51" s="9" t="s">
        <v>603</v>
      </c>
    </row>
    <row r="52" spans="1:5" ht="15" customHeight="1" x14ac:dyDescent="0.25">
      <c r="A52" s="8" t="s">
        <v>5</v>
      </c>
      <c r="B52" s="4" t="s">
        <v>654</v>
      </c>
      <c r="C52" s="5" t="s">
        <v>14</v>
      </c>
      <c r="D52" s="5" t="str">
        <f>_xlfn.IFNA(VLOOKUP(C52,Table1[],2,FALSE),"")</f>
        <v>#00E5BA</v>
      </c>
      <c r="E52" s="9" t="s">
        <v>606</v>
      </c>
    </row>
    <row r="53" spans="1:5" ht="15" customHeight="1" x14ac:dyDescent="0.25">
      <c r="A53" s="8" t="s">
        <v>5</v>
      </c>
      <c r="B53" s="4" t="s">
        <v>654</v>
      </c>
      <c r="C53" s="5" t="s">
        <v>14</v>
      </c>
      <c r="D53" s="5" t="str">
        <f>_xlfn.IFNA(VLOOKUP(C53,Table1[],2,FALSE),"")</f>
        <v>#00E5BA</v>
      </c>
      <c r="E53" s="9" t="s">
        <v>607</v>
      </c>
    </row>
    <row r="54" spans="1:5" ht="15" customHeight="1" x14ac:dyDescent="0.25">
      <c r="A54" s="8" t="s">
        <v>5</v>
      </c>
      <c r="B54" s="4" t="s">
        <v>654</v>
      </c>
      <c r="C54" s="5" t="s">
        <v>14</v>
      </c>
      <c r="D54" s="5" t="str">
        <f>_xlfn.IFNA(VLOOKUP(C54,Table1[],2,FALSE),"")</f>
        <v>#00E5BA</v>
      </c>
      <c r="E54" s="9" t="s">
        <v>608</v>
      </c>
    </row>
    <row r="55" spans="1:5" ht="15" customHeight="1" x14ac:dyDescent="0.25">
      <c r="A55" s="8" t="s">
        <v>5</v>
      </c>
      <c r="B55" s="4" t="s">
        <v>654</v>
      </c>
      <c r="C55" s="5" t="s">
        <v>14</v>
      </c>
      <c r="D55" s="5" t="str">
        <f>_xlfn.IFNA(VLOOKUP(C55,Table1[],2,FALSE),"")</f>
        <v>#00E5BA</v>
      </c>
      <c r="E55" s="9" t="s">
        <v>609</v>
      </c>
    </row>
    <row r="56" spans="1:5" ht="15" customHeight="1" x14ac:dyDescent="0.25">
      <c r="A56" s="8" t="s">
        <v>5</v>
      </c>
      <c r="B56" s="4" t="s">
        <v>654</v>
      </c>
      <c r="C56" s="5" t="s">
        <v>14</v>
      </c>
      <c r="D56" s="5" t="str">
        <f>_xlfn.IFNA(VLOOKUP(C56,Table1[],2,FALSE),"")</f>
        <v>#00E5BA</v>
      </c>
      <c r="E56" s="9" t="s">
        <v>612</v>
      </c>
    </row>
    <row r="57" spans="1:5" ht="15" customHeight="1" x14ac:dyDescent="0.25">
      <c r="A57" s="8" t="s">
        <v>5</v>
      </c>
      <c r="B57" s="4" t="s">
        <v>654</v>
      </c>
      <c r="C57" s="5" t="s">
        <v>14</v>
      </c>
      <c r="D57" s="5" t="str">
        <f>_xlfn.IFNA(VLOOKUP(C57,Table1[],2,FALSE),"")</f>
        <v>#00E5BA</v>
      </c>
      <c r="E57" s="9" t="s">
        <v>613</v>
      </c>
    </row>
    <row r="58" spans="1:5" ht="15" customHeight="1" x14ac:dyDescent="0.25">
      <c r="A58" s="8" t="s">
        <v>5</v>
      </c>
      <c r="B58" s="4" t="s">
        <v>654</v>
      </c>
      <c r="C58" s="5" t="s">
        <v>14</v>
      </c>
      <c r="D58" s="5" t="str">
        <f>_xlfn.IFNA(VLOOKUP(C58,Table1[],2,FALSE),"")</f>
        <v>#00E5BA</v>
      </c>
      <c r="E58" s="9" t="s">
        <v>616</v>
      </c>
    </row>
    <row r="59" spans="1:5" ht="15" customHeight="1" x14ac:dyDescent="0.25">
      <c r="A59" s="8" t="s">
        <v>5</v>
      </c>
      <c r="B59" s="4" t="s">
        <v>654</v>
      </c>
      <c r="C59" s="5" t="s">
        <v>14</v>
      </c>
      <c r="D59" s="5" t="str">
        <f>_xlfn.IFNA(VLOOKUP(C59,Table1[],2,FALSE),"")</f>
        <v>#00E5BA</v>
      </c>
      <c r="E59" s="9" t="s">
        <v>621</v>
      </c>
    </row>
    <row r="60" spans="1:5" ht="15" customHeight="1" x14ac:dyDescent="0.25">
      <c r="A60" s="8" t="s">
        <v>5</v>
      </c>
      <c r="B60" s="4" t="s">
        <v>655</v>
      </c>
      <c r="C60" s="5" t="s">
        <v>16</v>
      </c>
      <c r="D60" s="5" t="str">
        <f>_xlfn.IFNA(VLOOKUP(C60,Table1[],2,FALSE),"")</f>
        <v>#00B600</v>
      </c>
      <c r="E60" s="9" t="s">
        <v>614</v>
      </c>
    </row>
    <row r="61" spans="1:5" ht="15" customHeight="1" x14ac:dyDescent="0.25">
      <c r="A61" s="8" t="s">
        <v>5</v>
      </c>
      <c r="B61" s="4" t="s">
        <v>655</v>
      </c>
      <c r="C61" s="5" t="s">
        <v>16</v>
      </c>
      <c r="D61" s="5" t="str">
        <f>_xlfn.IFNA(VLOOKUP(C61,Table1[],2,FALSE),"")</f>
        <v>#00B600</v>
      </c>
      <c r="E61" s="9" t="s">
        <v>615</v>
      </c>
    </row>
    <row r="62" spans="1:5" ht="15" customHeight="1" x14ac:dyDescent="0.25">
      <c r="A62" s="8" t="s">
        <v>5</v>
      </c>
      <c r="B62" s="4" t="s">
        <v>655</v>
      </c>
      <c r="C62" s="5" t="s">
        <v>16</v>
      </c>
      <c r="D62" s="5" t="str">
        <f>_xlfn.IFNA(VLOOKUP(C62,Table1[],2,FALSE),"")</f>
        <v>#00B600</v>
      </c>
      <c r="E62" s="9" t="s">
        <v>619</v>
      </c>
    </row>
    <row r="63" spans="1:5" ht="15" customHeight="1" x14ac:dyDescent="0.25">
      <c r="A63" s="8" t="s">
        <v>5</v>
      </c>
      <c r="B63" s="4" t="s">
        <v>656</v>
      </c>
      <c r="C63" s="5" t="s">
        <v>17</v>
      </c>
      <c r="D63" s="5" t="str">
        <f>_xlfn.IFNA(VLOOKUP(C63,Table1[],2,FALSE),"")</f>
        <v>#FEDB00</v>
      </c>
      <c r="E63" s="9" t="s">
        <v>602</v>
      </c>
    </row>
    <row r="64" spans="1:5" ht="15" customHeight="1" x14ac:dyDescent="0.25">
      <c r="A64" s="8" t="s">
        <v>5</v>
      </c>
      <c r="B64" s="4" t="s">
        <v>656</v>
      </c>
      <c r="C64" s="5" t="s">
        <v>17</v>
      </c>
      <c r="D64" s="5" t="str">
        <f>_xlfn.IFNA(VLOOKUP(C64,Table1[],2,FALSE),"")</f>
        <v>#FEDB00</v>
      </c>
      <c r="E64" s="9" t="s">
        <v>604</v>
      </c>
    </row>
    <row r="65" spans="1:5" ht="15" customHeight="1" x14ac:dyDescent="0.25">
      <c r="A65" s="8" t="s">
        <v>5</v>
      </c>
      <c r="B65" s="4" t="s">
        <v>656</v>
      </c>
      <c r="C65" s="5" t="s">
        <v>17</v>
      </c>
      <c r="D65" s="5" t="str">
        <f>_xlfn.IFNA(VLOOKUP(C65,Table1[],2,FALSE),"")</f>
        <v>#FEDB00</v>
      </c>
      <c r="E65" s="9" t="s">
        <v>620</v>
      </c>
    </row>
  </sheetData>
  <autoFilter ref="A1:E65" xr:uid="{419810F7-B0D2-4B07-9094-F238C90331AE}">
    <sortState xmlns:xlrd2="http://schemas.microsoft.com/office/spreadsheetml/2017/richdata2" ref="A2:E65">
      <sortCondition ref="A1:A65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4319368-9A72-4152-BE1F-4E264A55DECF}">
          <x14:formula1>
            <xm:f>CATA!$A$1:$A$4</xm:f>
          </x14:formula1>
          <xm:sqref>C1</xm:sqref>
        </x14:dataValidation>
        <x14:dataValidation type="list" allowBlank="1" showInputMessage="1" showErrorMessage="1" xr:uid="{CA73F8D3-5595-4CBB-A1E6-69FA22F333DB}">
          <x14:formula1>
            <xm:f>CATA!$A$2:$A$7</xm:f>
          </x14:formula1>
          <xm:sqref>C66:C73</xm:sqref>
        </x14:dataValidation>
        <x14:dataValidation type="list" allowBlank="1" showInputMessage="1" showErrorMessage="1" xr:uid="{D9B3A33A-C179-490A-B745-90D8A0D1BC53}">
          <x14:formula1>
            <xm:f>CATA!$A:$A</xm:f>
          </x14:formula1>
          <xm:sqref>C2:C65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2D9E-F1BE-40AD-977D-0EDE18200C10}">
  <dimension ref="A1:H65"/>
  <sheetViews>
    <sheetView topLeftCell="A43" zoomScaleNormal="100" workbookViewId="0">
      <selection activeCell="B77" sqref="B77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8" x14ac:dyDescent="0.25">
      <c r="A2" s="8" t="s">
        <v>5</v>
      </c>
      <c r="B2" s="4" t="s">
        <v>624</v>
      </c>
      <c r="C2" s="5" t="s">
        <v>9</v>
      </c>
      <c r="D2" s="5" t="str">
        <f>_xlfn.IFNA(VLOOKUP(C2,Table1[],2,FALSE),"")</f>
        <v>#0060FF</v>
      </c>
      <c r="E2" s="9" t="s">
        <v>596</v>
      </c>
      <c r="G2" s="2"/>
      <c r="H2" t="s">
        <v>26</v>
      </c>
    </row>
    <row r="3" spans="1:8" x14ac:dyDescent="0.25">
      <c r="A3" s="8" t="s">
        <v>5</v>
      </c>
      <c r="B3" s="4" t="s">
        <v>624</v>
      </c>
      <c r="C3" s="5" t="s">
        <v>9</v>
      </c>
      <c r="D3" s="5" t="str">
        <f>_xlfn.IFNA(VLOOKUP(C3,Table1[],2,FALSE),"")</f>
        <v>#0060FF</v>
      </c>
      <c r="E3" s="9" t="s">
        <v>598</v>
      </c>
      <c r="G3" s="2"/>
    </row>
    <row r="4" spans="1:8" x14ac:dyDescent="0.25">
      <c r="A4" s="8" t="s">
        <v>5</v>
      </c>
      <c r="B4" s="4" t="s">
        <v>624</v>
      </c>
      <c r="C4" s="5" t="s">
        <v>9</v>
      </c>
      <c r="D4" s="5" t="str">
        <f>_xlfn.IFNA(VLOOKUP(C4,Table1[],2,FALSE),"")</f>
        <v>#0060FF</v>
      </c>
      <c r="E4" s="9" t="s">
        <v>599</v>
      </c>
      <c r="G4" s="2"/>
    </row>
    <row r="5" spans="1:8" x14ac:dyDescent="0.25">
      <c r="A5" s="8" t="s">
        <v>5</v>
      </c>
      <c r="B5" s="4" t="s">
        <v>624</v>
      </c>
      <c r="C5" s="5" t="s">
        <v>9</v>
      </c>
      <c r="D5" s="5" t="str">
        <f>_xlfn.IFNA(VLOOKUP(C5,Table1[],2,FALSE),"")</f>
        <v>#0060FF</v>
      </c>
      <c r="E5" s="9" t="s">
        <v>605</v>
      </c>
      <c r="G5" s="2"/>
    </row>
    <row r="6" spans="1:8" x14ac:dyDescent="0.25">
      <c r="A6" s="5" t="s">
        <v>6</v>
      </c>
      <c r="B6" s="4" t="s">
        <v>628</v>
      </c>
      <c r="C6" s="5" t="s">
        <v>9</v>
      </c>
      <c r="D6" s="5" t="str">
        <f>_xlfn.IFNA(VLOOKUP(C6,Table1[],2,FALSE),"")</f>
        <v>#0060FF</v>
      </c>
      <c r="E6" s="18" t="s">
        <v>598</v>
      </c>
      <c r="G6" s="2"/>
    </row>
    <row r="7" spans="1:8" x14ac:dyDescent="0.25">
      <c r="A7" s="5" t="s">
        <v>6</v>
      </c>
      <c r="B7" s="4" t="s">
        <v>628</v>
      </c>
      <c r="C7" s="5" t="s">
        <v>9</v>
      </c>
      <c r="D7" s="5" t="str">
        <f>_xlfn.IFNA(VLOOKUP(C7,Table1[],2,FALSE),"")</f>
        <v>#0060FF</v>
      </c>
      <c r="E7" s="18" t="s">
        <v>599</v>
      </c>
      <c r="G7" s="2"/>
    </row>
    <row r="8" spans="1:8" x14ac:dyDescent="0.25">
      <c r="A8" s="5" t="s">
        <v>6</v>
      </c>
      <c r="B8" s="4" t="s">
        <v>634</v>
      </c>
      <c r="C8" s="5" t="s">
        <v>23</v>
      </c>
      <c r="D8" s="5" t="str">
        <f>_xlfn.IFNA(VLOOKUP(C8,Table1[],2,FALSE),"")</f>
        <v>#C700D3</v>
      </c>
      <c r="E8" s="18" t="s">
        <v>614</v>
      </c>
      <c r="G8" s="2"/>
    </row>
    <row r="9" spans="1:8" x14ac:dyDescent="0.25">
      <c r="A9" s="5" t="s">
        <v>6</v>
      </c>
      <c r="B9" s="4" t="s">
        <v>634</v>
      </c>
      <c r="C9" s="5" t="s">
        <v>23</v>
      </c>
      <c r="D9" s="5" t="str">
        <f>_xlfn.IFNA(VLOOKUP(C9,Table1[],2,FALSE),"")</f>
        <v>#C700D3</v>
      </c>
      <c r="E9" s="18" t="s">
        <v>615</v>
      </c>
      <c r="G9" s="2"/>
    </row>
    <row r="10" spans="1:8" x14ac:dyDescent="0.25">
      <c r="A10" s="8" t="s">
        <v>5</v>
      </c>
      <c r="B10" s="4" t="s">
        <v>623</v>
      </c>
      <c r="C10" s="5" t="s">
        <v>8</v>
      </c>
      <c r="D10" s="5" t="str">
        <f>_xlfn.IFNA(VLOOKUP(C10,Table1[],2,FALSE),"")</f>
        <v>#802AB7</v>
      </c>
      <c r="E10" s="9" t="s">
        <v>595</v>
      </c>
      <c r="G10" s="2"/>
    </row>
    <row r="11" spans="1:8" x14ac:dyDescent="0.25">
      <c r="A11" s="8" t="s">
        <v>5</v>
      </c>
      <c r="B11" s="4" t="s">
        <v>623</v>
      </c>
      <c r="C11" s="5" t="s">
        <v>8</v>
      </c>
      <c r="D11" s="5" t="str">
        <f>_xlfn.IFNA(VLOOKUP(C11,Table1[],2,FALSE),"")</f>
        <v>#802AB7</v>
      </c>
      <c r="E11" s="9" t="s">
        <v>600</v>
      </c>
      <c r="G11" s="2"/>
    </row>
    <row r="12" spans="1:8" x14ac:dyDescent="0.25">
      <c r="A12" s="8" t="s">
        <v>5</v>
      </c>
      <c r="B12" s="4" t="s">
        <v>623</v>
      </c>
      <c r="C12" s="5" t="s">
        <v>8</v>
      </c>
      <c r="D12" s="5" t="str">
        <f>_xlfn.IFNA(VLOOKUP(C12,Table1[],2,FALSE),"")</f>
        <v>#802AB7</v>
      </c>
      <c r="E12" s="9" t="s">
        <v>601</v>
      </c>
    </row>
    <row r="13" spans="1:8" x14ac:dyDescent="0.25">
      <c r="A13" s="8" t="s">
        <v>5</v>
      </c>
      <c r="B13" s="4" t="s">
        <v>623</v>
      </c>
      <c r="C13" s="5" t="s">
        <v>8</v>
      </c>
      <c r="D13" s="5" t="str">
        <f>_xlfn.IFNA(VLOOKUP(C13,Table1[],2,FALSE),"")</f>
        <v>#802AB7</v>
      </c>
      <c r="E13" s="9" t="s">
        <v>610</v>
      </c>
      <c r="G13" s="2"/>
    </row>
    <row r="14" spans="1:8" x14ac:dyDescent="0.25">
      <c r="A14" s="8" t="s">
        <v>5</v>
      </c>
      <c r="B14" s="4" t="s">
        <v>623</v>
      </c>
      <c r="C14" s="5" t="s">
        <v>8</v>
      </c>
      <c r="D14" s="5" t="str">
        <f>_xlfn.IFNA(VLOOKUP(C14,Table1[],2,FALSE),"")</f>
        <v>#802AB7</v>
      </c>
      <c r="E14" s="9" t="s">
        <v>611</v>
      </c>
      <c r="G14" s="2"/>
    </row>
    <row r="15" spans="1:8" x14ac:dyDescent="0.25">
      <c r="A15" s="8" t="s">
        <v>5</v>
      </c>
      <c r="B15" s="4" t="s">
        <v>623</v>
      </c>
      <c r="C15" s="5" t="s">
        <v>8</v>
      </c>
      <c r="D15" s="5" t="str">
        <f>_xlfn.IFNA(VLOOKUP(C15,Table1[],2,FALSE),"")</f>
        <v>#802AB7</v>
      </c>
      <c r="E15" s="9" t="s">
        <v>617</v>
      </c>
      <c r="G15" s="2"/>
    </row>
    <row r="16" spans="1:8" x14ac:dyDescent="0.25">
      <c r="A16" s="8" t="s">
        <v>5</v>
      </c>
      <c r="B16" s="4" t="s">
        <v>623</v>
      </c>
      <c r="C16" s="5" t="s">
        <v>8</v>
      </c>
      <c r="D16" s="5" t="str">
        <f>_xlfn.IFNA(VLOOKUP(C16,Table1[],2,FALSE),"")</f>
        <v>#802AB7</v>
      </c>
      <c r="E16" s="9" t="s">
        <v>618</v>
      </c>
      <c r="G16" s="2"/>
    </row>
    <row r="17" spans="1:7" x14ac:dyDescent="0.25">
      <c r="A17" s="5" t="s">
        <v>6</v>
      </c>
      <c r="B17" s="4" t="s">
        <v>630</v>
      </c>
      <c r="C17" s="5" t="s">
        <v>14</v>
      </c>
      <c r="D17" s="5" t="str">
        <f>_xlfn.IFNA(VLOOKUP(C17,Table1[],2,FALSE),"")</f>
        <v>#00E5BA</v>
      </c>
      <c r="E17" s="18" t="s">
        <v>603</v>
      </c>
      <c r="G17" s="2"/>
    </row>
    <row r="18" spans="1:7" x14ac:dyDescent="0.25">
      <c r="A18" s="5" t="s">
        <v>6</v>
      </c>
      <c r="B18" s="4" t="s">
        <v>637</v>
      </c>
      <c r="C18" s="5" t="s">
        <v>9</v>
      </c>
      <c r="D18" s="5" t="str">
        <f>_xlfn.IFNA(VLOOKUP(C18,Table1[],2,FALSE),"")</f>
        <v>#0060FF</v>
      </c>
      <c r="E18" s="18" t="s">
        <v>620</v>
      </c>
      <c r="G18" s="2"/>
    </row>
    <row r="19" spans="1:7" x14ac:dyDescent="0.25">
      <c r="A19" s="5" t="s">
        <v>6</v>
      </c>
      <c r="B19" s="4" t="s">
        <v>637</v>
      </c>
      <c r="C19" s="5" t="s">
        <v>9</v>
      </c>
      <c r="D19" s="5" t="str">
        <f>_xlfn.IFNA(VLOOKUP(C19,Table1[],2,FALSE),"")</f>
        <v>#0060FF</v>
      </c>
      <c r="E19" s="18" t="s">
        <v>621</v>
      </c>
      <c r="G19" s="2"/>
    </row>
    <row r="20" spans="1:7" x14ac:dyDescent="0.25">
      <c r="A20" s="8" t="s">
        <v>5</v>
      </c>
      <c r="B20" s="4" t="s">
        <v>622</v>
      </c>
      <c r="C20" s="5" t="s">
        <v>11</v>
      </c>
      <c r="D20" s="5" t="str">
        <f>_xlfn.IFNA(VLOOKUP(C20,Table1[],2,FALSE),"")</f>
        <v>#AEAE9F</v>
      </c>
      <c r="E20" s="9" t="s">
        <v>590</v>
      </c>
      <c r="G20" s="2"/>
    </row>
    <row r="21" spans="1:7" x14ac:dyDescent="0.25">
      <c r="A21" s="8" t="s">
        <v>5</v>
      </c>
      <c r="B21" s="4" t="s">
        <v>622</v>
      </c>
      <c r="C21" s="5" t="s">
        <v>11</v>
      </c>
      <c r="D21" s="5" t="str">
        <f>_xlfn.IFNA(VLOOKUP(C21,Table1[],2,FALSE),"")</f>
        <v>#AEAE9F</v>
      </c>
      <c r="E21" s="9" t="s">
        <v>591</v>
      </c>
      <c r="G21" s="2"/>
    </row>
    <row r="22" spans="1:7" x14ac:dyDescent="0.25">
      <c r="A22" s="8" t="s">
        <v>5</v>
      </c>
      <c r="B22" s="4" t="s">
        <v>622</v>
      </c>
      <c r="C22" s="5" t="s">
        <v>11</v>
      </c>
      <c r="D22" s="5" t="str">
        <f>_xlfn.IFNA(VLOOKUP(C22,Table1[],2,FALSE),"")</f>
        <v>#AEAE9F</v>
      </c>
      <c r="E22" s="9" t="s">
        <v>592</v>
      </c>
      <c r="G22" s="2"/>
    </row>
    <row r="23" spans="1:7" x14ac:dyDescent="0.25">
      <c r="A23" s="8" t="s">
        <v>5</v>
      </c>
      <c r="B23" s="4" t="s">
        <v>622</v>
      </c>
      <c r="C23" s="5" t="s">
        <v>11</v>
      </c>
      <c r="D23" s="5" t="str">
        <f>_xlfn.IFNA(VLOOKUP(C23,Table1[],2,FALSE),"")</f>
        <v>#AEAE9F</v>
      </c>
      <c r="E23" s="9" t="s">
        <v>593</v>
      </c>
      <c r="G23" s="2"/>
    </row>
    <row r="24" spans="1:7" x14ac:dyDescent="0.25">
      <c r="A24" s="8" t="s">
        <v>5</v>
      </c>
      <c r="B24" s="4" t="s">
        <v>622</v>
      </c>
      <c r="C24" s="5" t="s">
        <v>11</v>
      </c>
      <c r="D24" s="5" t="str">
        <f>_xlfn.IFNA(VLOOKUP(C24,Table1[],2,FALSE),"")</f>
        <v>#AEAE9F</v>
      </c>
      <c r="E24" s="9" t="s">
        <v>594</v>
      </c>
      <c r="G24" s="2"/>
    </row>
    <row r="25" spans="1:7" x14ac:dyDescent="0.25">
      <c r="A25" s="5" t="s">
        <v>6</v>
      </c>
      <c r="B25" s="4" t="s">
        <v>633</v>
      </c>
      <c r="C25" s="5" t="s">
        <v>20</v>
      </c>
      <c r="D25" s="5" t="str">
        <f>_xlfn.IFNA(VLOOKUP(C25,Table1[],2,FALSE),"")</f>
        <v>#FF5000</v>
      </c>
      <c r="E25" s="18" t="s">
        <v>610</v>
      </c>
      <c r="G25" s="2"/>
    </row>
    <row r="26" spans="1:7" x14ac:dyDescent="0.25">
      <c r="A26" s="5" t="s">
        <v>6</v>
      </c>
      <c r="B26" s="4" t="s">
        <v>633</v>
      </c>
      <c r="C26" s="5" t="s">
        <v>20</v>
      </c>
      <c r="D26" s="5" t="str">
        <f>_xlfn.IFNA(VLOOKUP(C26,Table1[],2,FALSE),"")</f>
        <v>#FF5000</v>
      </c>
      <c r="E26" s="18" t="s">
        <v>611</v>
      </c>
      <c r="G26" s="2"/>
    </row>
    <row r="27" spans="1:7" x14ac:dyDescent="0.25">
      <c r="A27" s="5" t="s">
        <v>6</v>
      </c>
      <c r="B27" s="4" t="s">
        <v>632</v>
      </c>
      <c r="C27" s="5" t="s">
        <v>17</v>
      </c>
      <c r="D27" s="5" t="str">
        <f>_xlfn.IFNA(VLOOKUP(C27,Table1[],2,FALSE),"")</f>
        <v>#FEDB00</v>
      </c>
      <c r="E27" s="18" t="s">
        <v>606</v>
      </c>
      <c r="G27" s="2"/>
    </row>
    <row r="28" spans="1:7" x14ac:dyDescent="0.25">
      <c r="A28" s="5" t="s">
        <v>6</v>
      </c>
      <c r="B28" s="4" t="s">
        <v>632</v>
      </c>
      <c r="C28" s="5" t="s">
        <v>17</v>
      </c>
      <c r="D28" s="5" t="str">
        <f>_xlfn.IFNA(VLOOKUP(C28,Table1[],2,FALSE),"")</f>
        <v>#FEDB00</v>
      </c>
      <c r="E28" s="18" t="s">
        <v>607</v>
      </c>
      <c r="G28" s="2"/>
    </row>
    <row r="29" spans="1:7" x14ac:dyDescent="0.25">
      <c r="A29" s="5" t="s">
        <v>6</v>
      </c>
      <c r="B29" s="4" t="s">
        <v>632</v>
      </c>
      <c r="C29" s="5" t="s">
        <v>17</v>
      </c>
      <c r="D29" s="5" t="str">
        <f>_xlfn.IFNA(VLOOKUP(C29,Table1[],2,FALSE),"")</f>
        <v>#FEDB00</v>
      </c>
      <c r="E29" s="18" t="s">
        <v>608</v>
      </c>
      <c r="G29" s="2"/>
    </row>
    <row r="30" spans="1:7" x14ac:dyDescent="0.25">
      <c r="A30" s="5" t="s">
        <v>6</v>
      </c>
      <c r="B30" s="4" t="s">
        <v>632</v>
      </c>
      <c r="C30" s="5" t="s">
        <v>17</v>
      </c>
      <c r="D30" s="5" t="str">
        <f>_xlfn.IFNA(VLOOKUP(C30,Table1[],2,FALSE),"")</f>
        <v>#FEDB00</v>
      </c>
      <c r="E30" s="18" t="s">
        <v>609</v>
      </c>
      <c r="G30" s="2"/>
    </row>
    <row r="31" spans="1:7" x14ac:dyDescent="0.25">
      <c r="A31" s="5" t="s">
        <v>6</v>
      </c>
      <c r="B31" s="4" t="s">
        <v>635</v>
      </c>
      <c r="C31" s="5" t="s">
        <v>28</v>
      </c>
      <c r="D31" s="5" t="str">
        <f>_xlfn.IFNA(VLOOKUP(C31,Table1[],2,FALSE),"")</f>
        <v>#D9D9D9</v>
      </c>
      <c r="E31" s="18" t="s">
        <v>616</v>
      </c>
      <c r="G31" s="2"/>
    </row>
    <row r="32" spans="1:7" x14ac:dyDescent="0.25">
      <c r="A32" s="5" t="s">
        <v>6</v>
      </c>
      <c r="B32" s="4" t="s">
        <v>635</v>
      </c>
      <c r="C32" s="5" t="s">
        <v>28</v>
      </c>
      <c r="D32" s="5" t="str">
        <f>_xlfn.IFNA(VLOOKUP(C32,Table1[],2,FALSE),"")</f>
        <v>#D9D9D9</v>
      </c>
      <c r="E32" s="18" t="s">
        <v>617</v>
      </c>
      <c r="G32" s="2"/>
    </row>
    <row r="33" spans="1:8" x14ac:dyDescent="0.25">
      <c r="A33" s="8" t="s">
        <v>5</v>
      </c>
      <c r="B33" s="4" t="s">
        <v>625</v>
      </c>
      <c r="C33" s="5" t="s">
        <v>14</v>
      </c>
      <c r="D33" s="5" t="str">
        <f>_xlfn.IFNA(VLOOKUP(C33,Table1[],2,FALSE),"")</f>
        <v>#00E5BA</v>
      </c>
      <c r="E33" s="9" t="s">
        <v>597</v>
      </c>
      <c r="G33" s="2"/>
    </row>
    <row r="34" spans="1:8" x14ac:dyDescent="0.25">
      <c r="A34" s="8" t="s">
        <v>5</v>
      </c>
      <c r="B34" s="4" t="s">
        <v>625</v>
      </c>
      <c r="C34" s="5" t="s">
        <v>14</v>
      </c>
      <c r="D34" s="5" t="str">
        <f>_xlfn.IFNA(VLOOKUP(C34,Table1[],2,FALSE),"")</f>
        <v>#00E5BA</v>
      </c>
      <c r="E34" s="9" t="s">
        <v>603</v>
      </c>
      <c r="G34" s="2"/>
    </row>
    <row r="35" spans="1:8" x14ac:dyDescent="0.25">
      <c r="A35" s="8" t="s">
        <v>5</v>
      </c>
      <c r="B35" s="4" t="s">
        <v>625</v>
      </c>
      <c r="C35" s="5" t="s">
        <v>14</v>
      </c>
      <c r="D35" s="5" t="str">
        <f>_xlfn.IFNA(VLOOKUP(C35,Table1[],2,FALSE),"")</f>
        <v>#00E5BA</v>
      </c>
      <c r="E35" s="9" t="s">
        <v>606</v>
      </c>
    </row>
    <row r="36" spans="1:8" ht="15" customHeight="1" x14ac:dyDescent="0.25">
      <c r="A36" s="8" t="s">
        <v>5</v>
      </c>
      <c r="B36" s="4" t="s">
        <v>625</v>
      </c>
      <c r="C36" s="5" t="s">
        <v>14</v>
      </c>
      <c r="D36" s="5" t="str">
        <f>_xlfn.IFNA(VLOOKUP(C36,Table1[],2,FALSE),"")</f>
        <v>#00E5BA</v>
      </c>
      <c r="E36" s="9" t="s">
        <v>607</v>
      </c>
      <c r="G36" s="6"/>
      <c r="H36" s="7"/>
    </row>
    <row r="37" spans="1:8" ht="15" customHeight="1" x14ac:dyDescent="0.25">
      <c r="A37" s="8" t="s">
        <v>5</v>
      </c>
      <c r="B37" s="4" t="s">
        <v>625</v>
      </c>
      <c r="C37" s="5" t="s">
        <v>14</v>
      </c>
      <c r="D37" s="5" t="str">
        <f>_xlfn.IFNA(VLOOKUP(C37,Table1[],2,FALSE),"")</f>
        <v>#00E5BA</v>
      </c>
      <c r="E37" s="9" t="s">
        <v>608</v>
      </c>
      <c r="G37" s="6"/>
      <c r="H37" s="7"/>
    </row>
    <row r="38" spans="1:8" ht="15" customHeight="1" x14ac:dyDescent="0.25">
      <c r="A38" s="8" t="s">
        <v>5</v>
      </c>
      <c r="B38" s="4" t="s">
        <v>625</v>
      </c>
      <c r="C38" s="5" t="s">
        <v>14</v>
      </c>
      <c r="D38" s="5" t="str">
        <f>_xlfn.IFNA(VLOOKUP(C38,Table1[],2,FALSE),"")</f>
        <v>#00E5BA</v>
      </c>
      <c r="E38" s="9" t="s">
        <v>609</v>
      </c>
      <c r="G38" s="6"/>
      <c r="H38" s="7"/>
    </row>
    <row r="39" spans="1:8" ht="15" customHeight="1" x14ac:dyDescent="0.25">
      <c r="A39" s="8" t="s">
        <v>5</v>
      </c>
      <c r="B39" s="4" t="s">
        <v>625</v>
      </c>
      <c r="C39" s="5" t="s">
        <v>14</v>
      </c>
      <c r="D39" s="5" t="str">
        <f>_xlfn.IFNA(VLOOKUP(C39,Table1[],2,FALSE),"")</f>
        <v>#00E5BA</v>
      </c>
      <c r="E39" s="9" t="s">
        <v>612</v>
      </c>
      <c r="G39" s="6"/>
      <c r="H39" s="7"/>
    </row>
    <row r="40" spans="1:8" ht="15" customHeight="1" x14ac:dyDescent="0.25">
      <c r="A40" s="8" t="s">
        <v>5</v>
      </c>
      <c r="B40" s="4" t="s">
        <v>625</v>
      </c>
      <c r="C40" s="5" t="s">
        <v>14</v>
      </c>
      <c r="D40" s="5" t="str">
        <f>_xlfn.IFNA(VLOOKUP(C40,Table1[],2,FALSE),"")</f>
        <v>#00E5BA</v>
      </c>
      <c r="E40" s="9" t="s">
        <v>613</v>
      </c>
      <c r="G40" s="6"/>
      <c r="H40" s="7"/>
    </row>
    <row r="41" spans="1:8" ht="15" customHeight="1" x14ac:dyDescent="0.25">
      <c r="A41" s="8" t="s">
        <v>5</v>
      </c>
      <c r="B41" s="4" t="s">
        <v>625</v>
      </c>
      <c r="C41" s="5" t="s">
        <v>14</v>
      </c>
      <c r="D41" s="5" t="str">
        <f>_xlfn.IFNA(VLOOKUP(C41,Table1[],2,FALSE),"")</f>
        <v>#00E5BA</v>
      </c>
      <c r="E41" s="9" t="s">
        <v>616</v>
      </c>
      <c r="G41" s="6"/>
      <c r="H41" s="7"/>
    </row>
    <row r="42" spans="1:8" ht="15" customHeight="1" x14ac:dyDescent="0.25">
      <c r="A42" s="8" t="s">
        <v>5</v>
      </c>
      <c r="B42" s="4" t="s">
        <v>625</v>
      </c>
      <c r="C42" s="5" t="s">
        <v>14</v>
      </c>
      <c r="D42" s="5" t="str">
        <f>_xlfn.IFNA(VLOOKUP(C42,Table1[],2,FALSE),"")</f>
        <v>#00E5BA</v>
      </c>
      <c r="E42" s="9" t="s">
        <v>621</v>
      </c>
      <c r="G42" s="6"/>
      <c r="H42" s="7"/>
    </row>
    <row r="43" spans="1:8" ht="15" customHeight="1" x14ac:dyDescent="0.25">
      <c r="A43" s="5" t="s">
        <v>6</v>
      </c>
      <c r="B43" s="4" t="s">
        <v>272</v>
      </c>
      <c r="C43" s="5" t="s">
        <v>22</v>
      </c>
      <c r="D43" s="5" t="str">
        <f>_xlfn.IFNA(VLOOKUP(C43,Table1[],2,FALSE),"")</f>
        <v>#FA0028</v>
      </c>
      <c r="E43" s="18" t="s">
        <v>612</v>
      </c>
    </row>
    <row r="44" spans="1:8" ht="15" customHeight="1" x14ac:dyDescent="0.25">
      <c r="A44" s="5" t="s">
        <v>6</v>
      </c>
      <c r="B44" s="4" t="s">
        <v>272</v>
      </c>
      <c r="C44" s="5" t="s">
        <v>22</v>
      </c>
      <c r="D44" s="5" t="str">
        <f>_xlfn.IFNA(VLOOKUP(C44,Table1[],2,FALSE),"")</f>
        <v>#FA0028</v>
      </c>
      <c r="E44" s="18" t="s">
        <v>613</v>
      </c>
    </row>
    <row r="45" spans="1:8" ht="15" customHeight="1" x14ac:dyDescent="0.25">
      <c r="A45" s="5" t="s">
        <v>6</v>
      </c>
      <c r="B45" s="4" t="s">
        <v>629</v>
      </c>
      <c r="C45" s="5" t="s">
        <v>11</v>
      </c>
      <c r="D45" s="5" t="str">
        <f>_xlfn.IFNA(VLOOKUP(C45,Table1[],2,FALSE),"")</f>
        <v>#AEAE9F</v>
      </c>
      <c r="E45" s="18" t="s">
        <v>600</v>
      </c>
    </row>
    <row r="46" spans="1:8" ht="15" customHeight="1" x14ac:dyDescent="0.25">
      <c r="A46" s="5" t="s">
        <v>6</v>
      </c>
      <c r="B46" s="4" t="s">
        <v>629</v>
      </c>
      <c r="C46" s="5" t="s">
        <v>11</v>
      </c>
      <c r="D46" s="5" t="str">
        <f>_xlfn.IFNA(VLOOKUP(C46,Table1[],2,FALSE),"")</f>
        <v>#AEAE9F</v>
      </c>
      <c r="E46" s="18" t="s">
        <v>601</v>
      </c>
    </row>
    <row r="47" spans="1:8" ht="15" customHeight="1" x14ac:dyDescent="0.25">
      <c r="A47" s="5" t="s">
        <v>6</v>
      </c>
      <c r="B47" s="4" t="s">
        <v>629</v>
      </c>
      <c r="C47" s="5" t="s">
        <v>11</v>
      </c>
      <c r="D47" s="5" t="str">
        <f>_xlfn.IFNA(VLOOKUP(C47,Table1[],2,FALSE),"")</f>
        <v>#AEAE9F</v>
      </c>
      <c r="E47" s="18" t="s">
        <v>602</v>
      </c>
    </row>
    <row r="48" spans="1:8" ht="15" customHeight="1" x14ac:dyDescent="0.25">
      <c r="A48" s="5" t="s">
        <v>6</v>
      </c>
      <c r="B48" s="4" t="s">
        <v>631</v>
      </c>
      <c r="C48" s="5" t="s">
        <v>16</v>
      </c>
      <c r="D48" s="5" t="str">
        <f>_xlfn.IFNA(VLOOKUP(C48,Table1[],2,FALSE),"")</f>
        <v>#00B600</v>
      </c>
      <c r="E48" s="18" t="s">
        <v>604</v>
      </c>
    </row>
    <row r="49" spans="1:5" ht="15" customHeight="1" x14ac:dyDescent="0.25">
      <c r="A49" s="5" t="s">
        <v>6</v>
      </c>
      <c r="B49" s="4" t="s">
        <v>631</v>
      </c>
      <c r="C49" s="5" t="s">
        <v>16</v>
      </c>
      <c r="D49" s="5" t="str">
        <f>_xlfn.IFNA(VLOOKUP(C49,Table1[],2,FALSE),"")</f>
        <v>#00B600</v>
      </c>
      <c r="E49" s="18" t="s">
        <v>605</v>
      </c>
    </row>
    <row r="50" spans="1:5" ht="15" customHeight="1" x14ac:dyDescent="0.25">
      <c r="A50" s="5" t="s">
        <v>6</v>
      </c>
      <c r="B50" s="4" t="s">
        <v>636</v>
      </c>
      <c r="C50" s="5" t="s">
        <v>8</v>
      </c>
      <c r="D50" s="5" t="str">
        <f>_xlfn.IFNA(VLOOKUP(C50,Table1[],2,FALSE),"")</f>
        <v>#802AB7</v>
      </c>
      <c r="E50" s="18" t="s">
        <v>618</v>
      </c>
    </row>
    <row r="51" spans="1:5" ht="15" customHeight="1" x14ac:dyDescent="0.25">
      <c r="A51" s="5" t="s">
        <v>6</v>
      </c>
      <c r="B51" s="4" t="s">
        <v>636</v>
      </c>
      <c r="C51" s="5" t="s">
        <v>8</v>
      </c>
      <c r="D51" s="5" t="str">
        <f>_xlfn.IFNA(VLOOKUP(C51,Table1[],2,FALSE),"")</f>
        <v>#802AB7</v>
      </c>
      <c r="E51" s="18" t="s">
        <v>619</v>
      </c>
    </row>
    <row r="52" spans="1:5" ht="15" customHeight="1" x14ac:dyDescent="0.25">
      <c r="A52" s="8" t="s">
        <v>5</v>
      </c>
      <c r="B52" s="4" t="s">
        <v>627</v>
      </c>
      <c r="C52" s="5" t="s">
        <v>16</v>
      </c>
      <c r="D52" s="5" t="str">
        <f>_xlfn.IFNA(VLOOKUP(C52,Table1[],2,FALSE),"")</f>
        <v>#00B600</v>
      </c>
      <c r="E52" s="9" t="s">
        <v>614</v>
      </c>
    </row>
    <row r="53" spans="1:5" ht="15" customHeight="1" x14ac:dyDescent="0.25">
      <c r="A53" s="8" t="s">
        <v>5</v>
      </c>
      <c r="B53" s="4" t="s">
        <v>627</v>
      </c>
      <c r="C53" s="5" t="s">
        <v>16</v>
      </c>
      <c r="D53" s="5" t="str">
        <f>_xlfn.IFNA(VLOOKUP(C53,Table1[],2,FALSE),"")</f>
        <v>#00B600</v>
      </c>
      <c r="E53" s="9" t="s">
        <v>615</v>
      </c>
    </row>
    <row r="54" spans="1:5" ht="15" customHeight="1" x14ac:dyDescent="0.25">
      <c r="A54" s="8" t="s">
        <v>5</v>
      </c>
      <c r="B54" s="4" t="s">
        <v>627</v>
      </c>
      <c r="C54" s="5" t="s">
        <v>16</v>
      </c>
      <c r="D54" s="5" t="str">
        <f>_xlfn.IFNA(VLOOKUP(C54,Table1[],2,FALSE),"")</f>
        <v>#00B600</v>
      </c>
      <c r="E54" s="9" t="s">
        <v>619</v>
      </c>
    </row>
    <row r="55" spans="1:5" ht="15" customHeight="1" x14ac:dyDescent="0.25">
      <c r="A55" s="8" t="s">
        <v>5</v>
      </c>
      <c r="B55" s="4" t="s">
        <v>626</v>
      </c>
      <c r="C55" s="5" t="s">
        <v>17</v>
      </c>
      <c r="D55" s="5" t="str">
        <f>_xlfn.IFNA(VLOOKUP(C55,Table1[],2,FALSE),"")</f>
        <v>#FEDB00</v>
      </c>
      <c r="E55" s="9" t="s">
        <v>602</v>
      </c>
    </row>
    <row r="56" spans="1:5" ht="15" customHeight="1" x14ac:dyDescent="0.25">
      <c r="A56" s="8" t="s">
        <v>5</v>
      </c>
      <c r="B56" s="4" t="s">
        <v>626</v>
      </c>
      <c r="C56" s="5" t="s">
        <v>17</v>
      </c>
      <c r="D56" s="5" t="str">
        <f>_xlfn.IFNA(VLOOKUP(C56,Table1[],2,FALSE),"")</f>
        <v>#FEDB00</v>
      </c>
      <c r="E56" s="9" t="s">
        <v>604</v>
      </c>
    </row>
    <row r="57" spans="1:5" ht="15" customHeight="1" x14ac:dyDescent="0.25">
      <c r="A57" s="8" t="s">
        <v>5</v>
      </c>
      <c r="B57" s="4" t="s">
        <v>626</v>
      </c>
      <c r="C57" s="5" t="s">
        <v>17</v>
      </c>
      <c r="D57" s="5" t="str">
        <f>_xlfn.IFNA(VLOOKUP(C57,Table1[],2,FALSE),"")</f>
        <v>#FEDB00</v>
      </c>
      <c r="E57" s="9" t="s">
        <v>620</v>
      </c>
    </row>
    <row r="58" spans="1:5" ht="15" customHeight="1" x14ac:dyDescent="0.25">
      <c r="A58" s="5" t="s">
        <v>6</v>
      </c>
      <c r="B58" s="4" t="s">
        <v>638</v>
      </c>
      <c r="C58" s="5" t="s">
        <v>8</v>
      </c>
      <c r="D58" s="5" t="str">
        <f>_xlfn.IFNA(VLOOKUP(C58,Table1[],2,FALSE),"")</f>
        <v>#802AB7</v>
      </c>
      <c r="E58" s="18" t="s">
        <v>590</v>
      </c>
    </row>
    <row r="59" spans="1:5" ht="15" customHeight="1" x14ac:dyDescent="0.25">
      <c r="A59" s="5" t="s">
        <v>6</v>
      </c>
      <c r="B59" s="4" t="s">
        <v>638</v>
      </c>
      <c r="C59" s="5" t="s">
        <v>8</v>
      </c>
      <c r="D59" s="5" t="str">
        <f>_xlfn.IFNA(VLOOKUP(C59,Table1[],2,FALSE),"")</f>
        <v>#802AB7</v>
      </c>
      <c r="E59" s="18" t="s">
        <v>591</v>
      </c>
    </row>
    <row r="60" spans="1:5" ht="15" customHeight="1" x14ac:dyDescent="0.25">
      <c r="A60" s="5" t="s">
        <v>6</v>
      </c>
      <c r="B60" s="4" t="s">
        <v>638</v>
      </c>
      <c r="C60" s="5" t="s">
        <v>8</v>
      </c>
      <c r="D60" s="5" t="str">
        <f>_xlfn.IFNA(VLOOKUP(C60,Table1[],2,FALSE),"")</f>
        <v>#802AB7</v>
      </c>
      <c r="E60" s="18" t="s">
        <v>592</v>
      </c>
    </row>
    <row r="61" spans="1:5" ht="15" customHeight="1" x14ac:dyDescent="0.25">
      <c r="A61" s="5" t="s">
        <v>6</v>
      </c>
      <c r="B61" s="4" t="s">
        <v>638</v>
      </c>
      <c r="C61" s="5" t="s">
        <v>8</v>
      </c>
      <c r="D61" s="5" t="str">
        <f>_xlfn.IFNA(VLOOKUP(C61,Table1[],2,FALSE),"")</f>
        <v>#802AB7</v>
      </c>
      <c r="E61" s="18" t="s">
        <v>593</v>
      </c>
    </row>
    <row r="62" spans="1:5" ht="15" customHeight="1" x14ac:dyDescent="0.25">
      <c r="A62" s="5" t="s">
        <v>6</v>
      </c>
      <c r="B62" s="4" t="s">
        <v>638</v>
      </c>
      <c r="C62" s="5" t="s">
        <v>8</v>
      </c>
      <c r="D62" s="5" t="str">
        <f>_xlfn.IFNA(VLOOKUP(C62,Table1[],2,FALSE),"")</f>
        <v>#802AB7</v>
      </c>
      <c r="E62" s="18" t="s">
        <v>594</v>
      </c>
    </row>
    <row r="63" spans="1:5" ht="15" customHeight="1" x14ac:dyDescent="0.25">
      <c r="A63" s="5" t="s">
        <v>6</v>
      </c>
      <c r="B63" s="4" t="s">
        <v>638</v>
      </c>
      <c r="C63" s="5" t="s">
        <v>8</v>
      </c>
      <c r="D63" s="5" t="str">
        <f>_xlfn.IFNA(VLOOKUP(C63,Table1[],2,FALSE),"")</f>
        <v>#802AB7</v>
      </c>
      <c r="E63" s="18" t="s">
        <v>595</v>
      </c>
    </row>
    <row r="64" spans="1:5" ht="15" customHeight="1" x14ac:dyDescent="0.25">
      <c r="A64" s="5" t="s">
        <v>6</v>
      </c>
      <c r="B64" s="4" t="s">
        <v>638</v>
      </c>
      <c r="C64" s="5" t="s">
        <v>8</v>
      </c>
      <c r="D64" s="5" t="str">
        <f>_xlfn.IFNA(VLOOKUP(C64,Table1[],2,FALSE),"")</f>
        <v>#802AB7</v>
      </c>
      <c r="E64" s="18" t="s">
        <v>596</v>
      </c>
    </row>
    <row r="65" spans="1:5" ht="15" customHeight="1" x14ac:dyDescent="0.25">
      <c r="A65" s="5" t="s">
        <v>6</v>
      </c>
      <c r="B65" s="4" t="s">
        <v>638</v>
      </c>
      <c r="C65" s="5" t="s">
        <v>8</v>
      </c>
      <c r="D65" s="5" t="str">
        <f>_xlfn.IFNA(VLOOKUP(C65,Table1[],2,FALSE),"")</f>
        <v>#802AB7</v>
      </c>
      <c r="E65" s="18" t="s">
        <v>597</v>
      </c>
    </row>
  </sheetData>
  <autoFilter ref="A1:E65" xr:uid="{419810F7-B0D2-4B07-9094-F238C90331AE}">
    <sortState xmlns:xlrd2="http://schemas.microsoft.com/office/spreadsheetml/2017/richdata2" ref="A2:E65">
      <sortCondition ref="B1:B65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E06FDB-A89A-4861-8163-CA8CF31C58CF}">
          <x14:formula1>
            <xm:f>CATA!$A:$A</xm:f>
          </x14:formula1>
          <xm:sqref>C2:C65</xm:sqref>
        </x14:dataValidation>
        <x14:dataValidation type="list" allowBlank="1" showInputMessage="1" showErrorMessage="1" xr:uid="{F0F40322-AFF5-4A05-A429-FF9D12050178}">
          <x14:formula1>
            <xm:f>CATA!$A$2:$A$7</xm:f>
          </x14:formula1>
          <xm:sqref>C66:C73</xm:sqref>
        </x14:dataValidation>
        <x14:dataValidation type="list" allowBlank="1" showInputMessage="1" showErrorMessage="1" xr:uid="{C1099352-DDC9-4950-974C-1354469F7411}">
          <x14:formula1>
            <xm:f>CATA!$A$1:$A$4</xm:f>
          </x14:formula1>
          <xm:sqref>C1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3F-1241-41AB-878D-B099BF6384E8}">
  <sheetPr filterMode="1"/>
  <dimension ref="A1:H46"/>
  <sheetViews>
    <sheetView zoomScaleNormal="100" workbookViewId="0">
      <selection sqref="A1:E30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8" x14ac:dyDescent="0.25">
      <c r="A2" s="5" t="s">
        <v>6</v>
      </c>
      <c r="B2" s="4" t="s">
        <v>566</v>
      </c>
      <c r="C2" s="5" t="s">
        <v>16</v>
      </c>
      <c r="D2" s="5" t="str">
        <f>_xlfn.IFNA(VLOOKUP(C2,Table1[],2,FALSE),"")</f>
        <v>#00B600</v>
      </c>
      <c r="E2" s="9" t="s">
        <v>547</v>
      </c>
      <c r="G2" s="2"/>
      <c r="H2" t="s">
        <v>26</v>
      </c>
    </row>
    <row r="3" spans="1:8" x14ac:dyDescent="0.25">
      <c r="A3" s="5" t="s">
        <v>6</v>
      </c>
      <c r="B3" s="4" t="s">
        <v>567</v>
      </c>
      <c r="C3" s="5" t="s">
        <v>20</v>
      </c>
      <c r="D3" s="5" t="str">
        <f>_xlfn.IFNA(VLOOKUP(C3,Table1[],2,FALSE),"")</f>
        <v>#FF5000</v>
      </c>
      <c r="E3" s="9" t="s">
        <v>548</v>
      </c>
      <c r="G3" s="2"/>
    </row>
    <row r="4" spans="1:8" x14ac:dyDescent="0.25">
      <c r="A4" s="5" t="s">
        <v>6</v>
      </c>
      <c r="B4" s="4" t="s">
        <v>567</v>
      </c>
      <c r="C4" s="5" t="s">
        <v>20</v>
      </c>
      <c r="D4" s="5" t="str">
        <f>_xlfn.IFNA(VLOOKUP(C4,Table1[],2,FALSE),"")</f>
        <v>#FF5000</v>
      </c>
      <c r="E4" s="9" t="s">
        <v>549</v>
      </c>
      <c r="G4" s="2"/>
    </row>
    <row r="5" spans="1:8" x14ac:dyDescent="0.25">
      <c r="A5" s="5" t="s">
        <v>6</v>
      </c>
      <c r="B5" s="4" t="s">
        <v>568</v>
      </c>
      <c r="C5" s="5" t="s">
        <v>9</v>
      </c>
      <c r="D5" s="5" t="str">
        <f>_xlfn.IFNA(VLOOKUP(C5,Table1[],2,FALSE),"")</f>
        <v>#0060FF</v>
      </c>
      <c r="E5" s="9" t="s">
        <v>550</v>
      </c>
      <c r="G5" s="2"/>
    </row>
    <row r="6" spans="1:8" x14ac:dyDescent="0.25">
      <c r="A6" s="5" t="s">
        <v>6</v>
      </c>
      <c r="B6" s="4" t="s">
        <v>568</v>
      </c>
      <c r="C6" s="5" t="s">
        <v>9</v>
      </c>
      <c r="D6" s="5" t="str">
        <f>_xlfn.IFNA(VLOOKUP(C6,Table1[],2,FALSE),"")</f>
        <v>#0060FF</v>
      </c>
      <c r="E6" s="9" t="s">
        <v>551</v>
      </c>
      <c r="G6" s="2"/>
    </row>
    <row r="7" spans="1:8" x14ac:dyDescent="0.25">
      <c r="A7" s="5" t="s">
        <v>6</v>
      </c>
      <c r="B7" s="4" t="s">
        <v>568</v>
      </c>
      <c r="C7" s="5" t="s">
        <v>9</v>
      </c>
      <c r="D7" s="5" t="str">
        <f>_xlfn.IFNA(VLOOKUP(C7,Table1[],2,FALSE),"")</f>
        <v>#0060FF</v>
      </c>
      <c r="E7" s="9" t="s">
        <v>552</v>
      </c>
      <c r="G7" s="2"/>
    </row>
    <row r="8" spans="1:8" x14ac:dyDescent="0.25">
      <c r="A8" s="5" t="s">
        <v>6</v>
      </c>
      <c r="B8" s="4" t="s">
        <v>569</v>
      </c>
      <c r="C8" s="5" t="s">
        <v>17</v>
      </c>
      <c r="D8" s="5" t="str">
        <f>_xlfn.IFNA(VLOOKUP(C8,Table1[],2,FALSE),"")</f>
        <v>#FEDB00</v>
      </c>
      <c r="E8" s="9" t="s">
        <v>553</v>
      </c>
      <c r="G8" s="2"/>
    </row>
    <row r="9" spans="1:8" x14ac:dyDescent="0.25">
      <c r="A9" s="5" t="s">
        <v>6</v>
      </c>
      <c r="B9" s="5" t="s">
        <v>570</v>
      </c>
      <c r="C9" s="5" t="s">
        <v>8</v>
      </c>
      <c r="D9" s="5" t="str">
        <f>_xlfn.IFNA(VLOOKUP(C9,Table1[],2,FALSE),"")</f>
        <v>#802AB7</v>
      </c>
      <c r="E9" s="9" t="s">
        <v>556</v>
      </c>
      <c r="G9" s="2"/>
    </row>
    <row r="10" spans="1:8" x14ac:dyDescent="0.25">
      <c r="A10" s="5" t="s">
        <v>6</v>
      </c>
      <c r="B10" s="5" t="s">
        <v>570</v>
      </c>
      <c r="C10" s="5" t="s">
        <v>8</v>
      </c>
      <c r="D10" s="5" t="str">
        <f>_xlfn.IFNA(VLOOKUP(C10,Table1[],2,FALSE),"")</f>
        <v>#802AB7</v>
      </c>
      <c r="E10" s="9" t="s">
        <v>554</v>
      </c>
      <c r="G10" s="2"/>
    </row>
    <row r="11" spans="1:8" x14ac:dyDescent="0.25">
      <c r="A11" s="5" t="s">
        <v>6</v>
      </c>
      <c r="B11" s="5" t="s">
        <v>570</v>
      </c>
      <c r="C11" s="5" t="s">
        <v>8</v>
      </c>
      <c r="D11" s="5" t="str">
        <f>_xlfn.IFNA(VLOOKUP(C11,Table1[],2,FALSE),"")</f>
        <v>#802AB7</v>
      </c>
      <c r="E11" s="9" t="s">
        <v>555</v>
      </c>
      <c r="G11" s="2"/>
    </row>
    <row r="12" spans="1:8" hidden="1" x14ac:dyDescent="0.25">
      <c r="A12" s="5" t="s">
        <v>6</v>
      </c>
      <c r="B12" s="4"/>
      <c r="C12" s="5"/>
      <c r="D12" s="5" t="str">
        <f>_xlfn.IFNA(VLOOKUP(C12,Table1[],2,FALSE),"")</f>
        <v/>
      </c>
      <c r="E12" s="9"/>
    </row>
    <row r="13" spans="1:8" hidden="1" x14ac:dyDescent="0.25">
      <c r="A13" s="5" t="s">
        <v>6</v>
      </c>
      <c r="B13" s="4"/>
      <c r="C13" s="5"/>
      <c r="D13" s="5" t="str">
        <f>_xlfn.IFNA(VLOOKUP(C13,Table1[],2,FALSE),"")</f>
        <v/>
      </c>
      <c r="E13" s="9"/>
      <c r="G13" s="2"/>
    </row>
    <row r="14" spans="1:8" hidden="1" x14ac:dyDescent="0.25">
      <c r="A14" s="5" t="s">
        <v>6</v>
      </c>
      <c r="B14" s="5"/>
      <c r="C14" s="5"/>
      <c r="D14" s="5" t="str">
        <f>_xlfn.IFNA(VLOOKUP(C14,Table1[],2,FALSE),"")</f>
        <v/>
      </c>
      <c r="E14" s="9"/>
      <c r="G14" s="2"/>
    </row>
    <row r="15" spans="1:8" hidden="1" x14ac:dyDescent="0.25">
      <c r="A15" s="5" t="s">
        <v>6</v>
      </c>
      <c r="B15" s="5"/>
      <c r="C15" s="5"/>
      <c r="D15" s="5" t="str">
        <f>_xlfn.IFNA(VLOOKUP(C15,Table1[],2,FALSE),"")</f>
        <v/>
      </c>
      <c r="E15" s="9"/>
      <c r="G15" s="2"/>
    </row>
    <row r="16" spans="1:8" hidden="1" x14ac:dyDescent="0.25">
      <c r="A16" s="5" t="s">
        <v>6</v>
      </c>
      <c r="B16" s="4"/>
      <c r="C16" s="5"/>
      <c r="D16" s="5" t="str">
        <f>_xlfn.IFNA(VLOOKUP(C16,Table1[],2,FALSE),"")</f>
        <v/>
      </c>
      <c r="E16" s="9"/>
      <c r="G16" s="2"/>
    </row>
    <row r="17" spans="1:8" hidden="1" x14ac:dyDescent="0.25">
      <c r="A17" s="5" t="s">
        <v>6</v>
      </c>
      <c r="B17" s="5"/>
      <c r="C17" s="5"/>
      <c r="D17" s="5" t="str">
        <f>_xlfn.IFNA(VLOOKUP(C17,Table1[],2,FALSE),"")</f>
        <v/>
      </c>
      <c r="E17" s="5"/>
      <c r="G17" s="2"/>
    </row>
    <row r="18" spans="1:8" hidden="1" x14ac:dyDescent="0.25">
      <c r="A18" s="5" t="s">
        <v>6</v>
      </c>
      <c r="B18" s="5"/>
      <c r="C18" s="5"/>
      <c r="D18" s="5" t="str">
        <f>_xlfn.IFNA(VLOOKUP(C18,Table1[],2,FALSE),"")</f>
        <v/>
      </c>
      <c r="E18" s="5"/>
      <c r="G18" s="2"/>
    </row>
    <row r="19" spans="1:8" hidden="1" x14ac:dyDescent="0.25">
      <c r="A19" s="5" t="s">
        <v>6</v>
      </c>
      <c r="B19" s="5"/>
      <c r="C19" s="5"/>
      <c r="D19" s="5" t="str">
        <f>_xlfn.IFNA(VLOOKUP(C19,Table1[],2,FALSE),"")</f>
        <v/>
      </c>
      <c r="E19" s="5"/>
      <c r="G19" s="2"/>
    </row>
    <row r="20" spans="1:8" hidden="1" x14ac:dyDescent="0.25">
      <c r="A20" s="5" t="s">
        <v>6</v>
      </c>
      <c r="B20" s="5"/>
      <c r="C20" s="5"/>
      <c r="D20" s="5" t="str">
        <f>_xlfn.IFNA(VLOOKUP(C20,Table1[],2,FALSE),"")</f>
        <v/>
      </c>
      <c r="E20" s="5"/>
      <c r="G20" s="2"/>
    </row>
    <row r="21" spans="1:8" x14ac:dyDescent="0.25">
      <c r="A21" s="8" t="s">
        <v>5</v>
      </c>
      <c r="B21" s="4" t="s">
        <v>580</v>
      </c>
      <c r="C21" s="5" t="s">
        <v>22</v>
      </c>
      <c r="D21" s="5" t="str">
        <f>_xlfn.IFNA(VLOOKUP(C21,Table1[],2,FALSE),"")</f>
        <v>#FA0028</v>
      </c>
      <c r="E21" s="9" t="s">
        <v>549</v>
      </c>
      <c r="G21" s="2"/>
    </row>
    <row r="22" spans="1:8" x14ac:dyDescent="0.25">
      <c r="A22" s="8" t="s">
        <v>5</v>
      </c>
      <c r="B22" s="4" t="s">
        <v>580</v>
      </c>
      <c r="C22" s="5" t="s">
        <v>22</v>
      </c>
      <c r="D22" s="5" t="str">
        <f>_xlfn.IFNA(VLOOKUP(C22,Table1[],2,FALSE),"")</f>
        <v>#FA0028</v>
      </c>
      <c r="E22" s="9" t="s">
        <v>552</v>
      </c>
      <c r="G22" s="2"/>
    </row>
    <row r="23" spans="1:8" x14ac:dyDescent="0.25">
      <c r="A23" s="8" t="s">
        <v>5</v>
      </c>
      <c r="B23" s="4" t="s">
        <v>577</v>
      </c>
      <c r="C23" s="5" t="s">
        <v>14</v>
      </c>
      <c r="D23" s="5" t="str">
        <f>_xlfn.IFNA(VLOOKUP(C23,Table1[],2,FALSE),"")</f>
        <v>#00E5BA</v>
      </c>
      <c r="E23" s="9" t="s">
        <v>547</v>
      </c>
      <c r="G23" s="2"/>
    </row>
    <row r="24" spans="1:8" x14ac:dyDescent="0.25">
      <c r="A24" s="8" t="s">
        <v>5</v>
      </c>
      <c r="B24" s="4" t="s">
        <v>577</v>
      </c>
      <c r="C24" s="5" t="s">
        <v>14</v>
      </c>
      <c r="D24" s="5" t="str">
        <f>_xlfn.IFNA(VLOOKUP(C24,Table1[],2,FALSE),"")</f>
        <v>#00E5BA</v>
      </c>
      <c r="E24" s="9" t="s">
        <v>548</v>
      </c>
      <c r="G24" s="2"/>
    </row>
    <row r="25" spans="1:8" x14ac:dyDescent="0.25">
      <c r="A25" s="8" t="s">
        <v>5</v>
      </c>
      <c r="B25" s="4" t="s">
        <v>577</v>
      </c>
      <c r="C25" s="5" t="s">
        <v>14</v>
      </c>
      <c r="D25" s="5" t="str">
        <f>_xlfn.IFNA(VLOOKUP(C25,Table1[],2,FALSE),"")</f>
        <v>#00E5BA</v>
      </c>
      <c r="E25" s="9" t="s">
        <v>554</v>
      </c>
    </row>
    <row r="26" spans="1:8" ht="15" customHeight="1" x14ac:dyDescent="0.25">
      <c r="A26" s="8" t="s">
        <v>5</v>
      </c>
      <c r="B26" s="4" t="s">
        <v>581</v>
      </c>
      <c r="C26" s="5" t="s">
        <v>17</v>
      </c>
      <c r="D26" s="5" t="str">
        <f>_xlfn.IFNA(VLOOKUP(C26,Table1[],2,FALSE),"")</f>
        <v>#FEDB00</v>
      </c>
      <c r="E26" s="9" t="s">
        <v>553</v>
      </c>
      <c r="G26" s="6"/>
      <c r="H26" s="7"/>
    </row>
    <row r="27" spans="1:8" ht="15" customHeight="1" x14ac:dyDescent="0.25">
      <c r="A27" s="8" t="s">
        <v>5</v>
      </c>
      <c r="B27" s="4" t="s">
        <v>579</v>
      </c>
      <c r="C27" s="5" t="s">
        <v>11</v>
      </c>
      <c r="D27" s="5" t="str">
        <f>_xlfn.IFNA(VLOOKUP(C27,Table1[],2,FALSE),"")</f>
        <v>#AEAE9F</v>
      </c>
      <c r="E27" s="9" t="s">
        <v>550</v>
      </c>
      <c r="G27" s="6"/>
      <c r="H27" s="7"/>
    </row>
    <row r="28" spans="1:8" ht="15" customHeight="1" x14ac:dyDescent="0.25">
      <c r="A28" s="8" t="s">
        <v>5</v>
      </c>
      <c r="B28" s="4" t="s">
        <v>579</v>
      </c>
      <c r="C28" s="5" t="s">
        <v>11</v>
      </c>
      <c r="D28" s="5" t="str">
        <f>_xlfn.IFNA(VLOOKUP(C28,Table1[],2,FALSE),"")</f>
        <v>#AEAE9F</v>
      </c>
      <c r="E28" s="9" t="s">
        <v>555</v>
      </c>
      <c r="G28" s="6"/>
      <c r="H28" s="7"/>
    </row>
    <row r="29" spans="1:8" ht="15" customHeight="1" x14ac:dyDescent="0.25">
      <c r="A29" s="8" t="s">
        <v>5</v>
      </c>
      <c r="B29" s="4" t="s">
        <v>578</v>
      </c>
      <c r="C29" s="5" t="s">
        <v>23</v>
      </c>
      <c r="D29" s="5" t="str">
        <f>_xlfn.IFNA(VLOOKUP(C29,Table1[],2,FALSE),"")</f>
        <v>#C700D3</v>
      </c>
      <c r="E29" s="9" t="s">
        <v>556</v>
      </c>
      <c r="G29" s="6"/>
      <c r="H29" s="7"/>
    </row>
    <row r="30" spans="1:8" ht="15" customHeight="1" x14ac:dyDescent="0.25">
      <c r="A30" s="8" t="s">
        <v>5</v>
      </c>
      <c r="B30" s="4" t="s">
        <v>578</v>
      </c>
      <c r="C30" s="5" t="s">
        <v>23</v>
      </c>
      <c r="D30" s="5" t="str">
        <f>_xlfn.IFNA(VLOOKUP(C30,Table1[],2,FALSE),"")</f>
        <v>#C700D3</v>
      </c>
      <c r="E30" s="9" t="s">
        <v>551</v>
      </c>
      <c r="G30" s="6"/>
      <c r="H30" s="7"/>
    </row>
    <row r="31" spans="1:8" ht="15" hidden="1" customHeight="1" x14ac:dyDescent="0.25">
      <c r="A31" s="8" t="s">
        <v>5</v>
      </c>
      <c r="B31" s="4"/>
      <c r="C31" s="5"/>
      <c r="D31" s="5" t="str">
        <f>_xlfn.IFNA(VLOOKUP(C31,Table1[],2,FALSE),"")</f>
        <v/>
      </c>
      <c r="E31" s="9"/>
      <c r="G31" s="6"/>
      <c r="H31" s="7"/>
    </row>
    <row r="32" spans="1:8" ht="15" hidden="1" customHeight="1" x14ac:dyDescent="0.25">
      <c r="A32" s="8" t="s">
        <v>5</v>
      </c>
      <c r="B32" s="4"/>
      <c r="C32" s="5"/>
      <c r="D32" s="5" t="str">
        <f>_xlfn.IFNA(VLOOKUP(C32,Table1[],2,FALSE),"")</f>
        <v/>
      </c>
      <c r="E32" s="9"/>
      <c r="G32" s="6"/>
      <c r="H32" s="7"/>
    </row>
    <row r="33" spans="1:5" ht="15" hidden="1" customHeight="1" x14ac:dyDescent="0.25">
      <c r="A33" s="8" t="s">
        <v>5</v>
      </c>
      <c r="B33" s="4"/>
      <c r="C33" s="5"/>
      <c r="D33" s="5" t="str">
        <f>_xlfn.IFNA(VLOOKUP(C33,Table1[],2,FALSE),"")</f>
        <v/>
      </c>
      <c r="E33" s="9"/>
    </row>
    <row r="34" spans="1:5" ht="15" hidden="1" customHeight="1" x14ac:dyDescent="0.25">
      <c r="A34" s="8" t="s">
        <v>5</v>
      </c>
      <c r="B34" s="4"/>
      <c r="C34" s="5"/>
      <c r="D34" s="5" t="str">
        <f>_xlfn.IFNA(VLOOKUP(C34,Table1[],2,FALSE),"")</f>
        <v/>
      </c>
      <c r="E34" s="9"/>
    </row>
    <row r="35" spans="1:5" ht="15" hidden="1" customHeight="1" x14ac:dyDescent="0.25">
      <c r="A35" s="8" t="s">
        <v>5</v>
      </c>
      <c r="B35" s="4"/>
      <c r="C35" s="5"/>
      <c r="D35" s="5" t="str">
        <f>_xlfn.IFNA(VLOOKUP(C35,Table1[],2,FALSE),"")</f>
        <v/>
      </c>
      <c r="E35" s="9"/>
    </row>
    <row r="36" spans="1:5" ht="15" hidden="1" customHeight="1" x14ac:dyDescent="0.25">
      <c r="A36" s="8" t="s">
        <v>5</v>
      </c>
      <c r="B36" s="4"/>
      <c r="C36" s="5"/>
      <c r="D36" s="5" t="str">
        <f>_xlfn.IFNA(VLOOKUP(C36,Table1[],2,FALSE),"")</f>
        <v/>
      </c>
      <c r="E36" s="4"/>
    </row>
    <row r="37" spans="1:5" ht="15" hidden="1" customHeight="1" x14ac:dyDescent="0.25">
      <c r="A37" s="8" t="s">
        <v>5</v>
      </c>
      <c r="B37" s="4"/>
      <c r="C37" s="5"/>
      <c r="D37" s="5" t="str">
        <f>_xlfn.IFNA(VLOOKUP(C37,Table1[],2,FALSE),"")</f>
        <v/>
      </c>
      <c r="E37" s="5"/>
    </row>
    <row r="38" spans="1:5" ht="15" hidden="1" customHeight="1" x14ac:dyDescent="0.25">
      <c r="A38" s="8" t="s">
        <v>5</v>
      </c>
      <c r="B38" s="4"/>
      <c r="C38" s="5"/>
      <c r="D38" s="5" t="str">
        <f>_xlfn.IFNA(VLOOKUP(C38,Table1[],2,FALSE),"")</f>
        <v/>
      </c>
      <c r="E38" s="4"/>
    </row>
    <row r="39" spans="1:5" ht="15" hidden="1" customHeight="1" x14ac:dyDescent="0.25">
      <c r="A39" s="8" t="s">
        <v>5</v>
      </c>
      <c r="B39" s="4"/>
      <c r="C39" s="5"/>
      <c r="D39" s="5" t="str">
        <f>_xlfn.IFNA(VLOOKUP(C39,Table1[],2,FALSE),"")</f>
        <v/>
      </c>
      <c r="E39" s="4"/>
    </row>
    <row r="40" spans="1:5" ht="15" hidden="1" customHeight="1" x14ac:dyDescent="0.25">
      <c r="A40" s="8" t="s">
        <v>5</v>
      </c>
      <c r="B40" s="4"/>
      <c r="C40" s="5"/>
      <c r="D40" s="5" t="str">
        <f>_xlfn.IFNA(VLOOKUP(C40,Table1[],2,FALSE),"")</f>
        <v/>
      </c>
      <c r="E40" s="5"/>
    </row>
    <row r="41" spans="1:5" ht="15" hidden="1" customHeight="1" x14ac:dyDescent="0.25">
      <c r="A41" s="8" t="s">
        <v>5</v>
      </c>
      <c r="B41" s="4"/>
      <c r="C41" s="5"/>
      <c r="D41" s="5" t="str">
        <f>_xlfn.IFNA(VLOOKUP(C41,Table1[],2,FALSE),"")</f>
        <v/>
      </c>
      <c r="E41" s="4"/>
    </row>
    <row r="42" spans="1:5" ht="15" hidden="1" customHeight="1" x14ac:dyDescent="0.25">
      <c r="A42" s="8" t="s">
        <v>5</v>
      </c>
      <c r="B42" s="4"/>
      <c r="C42" s="5"/>
      <c r="D42" s="5" t="str">
        <f>_xlfn.IFNA(VLOOKUP(C42,Table1[],2,FALSE),"")</f>
        <v/>
      </c>
      <c r="E42" s="4"/>
    </row>
    <row r="43" spans="1:5" ht="15" customHeight="1" x14ac:dyDescent="0.25"/>
    <row r="44" spans="1:5" ht="15" customHeight="1" x14ac:dyDescent="0.25"/>
    <row r="45" spans="1:5" ht="15" customHeight="1" x14ac:dyDescent="0.25"/>
    <row r="46" spans="1:5" ht="15" customHeight="1" x14ac:dyDescent="0.25"/>
  </sheetData>
  <autoFilter ref="A1:E42" xr:uid="{419810F7-B0D2-4B07-9094-F238C90331AE}">
    <filterColumn colId="4">
      <customFilters>
        <customFilter operator="notEqual" val=" "/>
      </customFilters>
    </filterColumn>
    <sortState xmlns:xlrd2="http://schemas.microsoft.com/office/spreadsheetml/2017/richdata2" ref="A2:E42">
      <sortCondition ref="A1:A4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83B7D21-2AAE-47FA-A8C5-6AC160A6C24A}">
          <x14:formula1>
            <xm:f>CATA!$A:$A</xm:f>
          </x14:formula1>
          <xm:sqref>C2:C42</xm:sqref>
        </x14:dataValidation>
        <x14:dataValidation type="list" allowBlank="1" showInputMessage="1" showErrorMessage="1" xr:uid="{5952B4E4-4CDF-43EF-B474-76DC3CD9CD7C}">
          <x14:formula1>
            <xm:f>CATA!$A$2:$A$7</xm:f>
          </x14:formula1>
          <xm:sqref>C43:C60</xm:sqref>
        </x14:dataValidation>
        <x14:dataValidation type="list" allowBlank="1" showInputMessage="1" showErrorMessage="1" xr:uid="{CCA460DE-66C9-43A8-AA73-3D71FF1055E2}">
          <x14:formula1>
            <xm:f>CATA!$A$1:$A$4</xm:f>
          </x14:formula1>
          <xm:sqref>C1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2E6D-EDB6-4157-A3EB-3D94618061DA}">
  <sheetPr filterMode="1"/>
  <dimension ref="A1:H67"/>
  <sheetViews>
    <sheetView zoomScaleNormal="100" workbookViewId="0">
      <selection sqref="A1:E49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542</v>
      </c>
      <c r="H1" t="s">
        <v>25</v>
      </c>
    </row>
    <row r="2" spans="1:8" x14ac:dyDescent="0.25">
      <c r="A2" s="5" t="s">
        <v>6</v>
      </c>
      <c r="B2" s="5" t="s">
        <v>560</v>
      </c>
      <c r="C2" s="5" t="s">
        <v>16</v>
      </c>
      <c r="D2" s="5" t="str">
        <f>_xlfn.IFNA(VLOOKUP(C2,Table1[],2,FALSE),"")</f>
        <v>#00B600</v>
      </c>
      <c r="E2" s="9" t="s">
        <v>530</v>
      </c>
      <c r="F2" s="17" t="s">
        <v>546</v>
      </c>
      <c r="G2" s="2"/>
      <c r="H2" t="s">
        <v>26</v>
      </c>
    </row>
    <row r="3" spans="1:8" x14ac:dyDescent="0.25">
      <c r="A3" s="5" t="s">
        <v>6</v>
      </c>
      <c r="B3" s="5" t="s">
        <v>560</v>
      </c>
      <c r="C3" s="5" t="s">
        <v>16</v>
      </c>
      <c r="D3" s="5" t="str">
        <f>_xlfn.IFNA(VLOOKUP(C3,Table1[],2,FALSE),"")</f>
        <v>#00B600</v>
      </c>
      <c r="E3" s="9" t="s">
        <v>534</v>
      </c>
      <c r="F3" s="17" t="s">
        <v>546</v>
      </c>
      <c r="G3" s="2"/>
    </row>
    <row r="4" spans="1:8" x14ac:dyDescent="0.25">
      <c r="A4" s="5" t="s">
        <v>6</v>
      </c>
      <c r="B4" s="4" t="s">
        <v>561</v>
      </c>
      <c r="C4" s="5" t="s">
        <v>8</v>
      </c>
      <c r="D4" s="5" t="str">
        <f>_xlfn.IFNA(VLOOKUP(C4,Table1[],2,FALSE),"")</f>
        <v>#802AB7</v>
      </c>
      <c r="E4" s="9" t="s">
        <v>523</v>
      </c>
      <c r="F4" s="17" t="s">
        <v>546</v>
      </c>
      <c r="G4" s="2"/>
    </row>
    <row r="5" spans="1:8" x14ac:dyDescent="0.25">
      <c r="A5" s="5" t="s">
        <v>6</v>
      </c>
      <c r="B5" s="4" t="s">
        <v>561</v>
      </c>
      <c r="C5" s="5" t="s">
        <v>8</v>
      </c>
      <c r="D5" s="5" t="str">
        <f>_xlfn.IFNA(VLOOKUP(C5,Table1[],2,FALSE),"")</f>
        <v>#802AB7</v>
      </c>
      <c r="E5" s="9" t="s">
        <v>526</v>
      </c>
      <c r="F5" s="17" t="s">
        <v>546</v>
      </c>
      <c r="G5" s="2"/>
    </row>
    <row r="6" spans="1:8" x14ac:dyDescent="0.25">
      <c r="A6" s="5" t="s">
        <v>6</v>
      </c>
      <c r="B6" s="4" t="s">
        <v>562</v>
      </c>
      <c r="C6" s="5" t="s">
        <v>9</v>
      </c>
      <c r="D6" s="5" t="str">
        <f>_xlfn.IFNA(VLOOKUP(C6,Table1[],2,FALSE),"")</f>
        <v>#0060FF</v>
      </c>
      <c r="E6" s="9" t="s">
        <v>522</v>
      </c>
      <c r="F6" s="17" t="s">
        <v>546</v>
      </c>
      <c r="G6" s="2"/>
    </row>
    <row r="7" spans="1:8" x14ac:dyDescent="0.25">
      <c r="A7" s="5" t="s">
        <v>6</v>
      </c>
      <c r="B7" s="4" t="s">
        <v>562</v>
      </c>
      <c r="C7" s="5" t="s">
        <v>9</v>
      </c>
      <c r="D7" s="5" t="str">
        <f>_xlfn.IFNA(VLOOKUP(C7,Table1[],2,FALSE),"")</f>
        <v>#0060FF</v>
      </c>
      <c r="E7" s="9" t="s">
        <v>527</v>
      </c>
      <c r="F7" s="17" t="s">
        <v>546</v>
      </c>
      <c r="G7" s="2"/>
    </row>
    <row r="8" spans="1:8" x14ac:dyDescent="0.25">
      <c r="A8" s="5" t="s">
        <v>6</v>
      </c>
      <c r="B8" s="4" t="s">
        <v>562</v>
      </c>
      <c r="C8" s="5" t="s">
        <v>9</v>
      </c>
      <c r="D8" s="5" t="str">
        <f>_xlfn.IFNA(VLOOKUP(C8,Table1[],2,FALSE),"")</f>
        <v>#0060FF</v>
      </c>
      <c r="E8" s="9" t="s">
        <v>531</v>
      </c>
      <c r="F8" s="17" t="s">
        <v>546</v>
      </c>
      <c r="G8" s="2"/>
    </row>
    <row r="9" spans="1:8" x14ac:dyDescent="0.25">
      <c r="A9" s="5" t="s">
        <v>6</v>
      </c>
      <c r="B9" s="5" t="s">
        <v>563</v>
      </c>
      <c r="C9" s="5" t="s">
        <v>14</v>
      </c>
      <c r="D9" s="5" t="str">
        <f>_xlfn.IFNA(VLOOKUP(C9,Table1[],2,FALSE),"")</f>
        <v>#00E5BA</v>
      </c>
      <c r="E9" s="9" t="s">
        <v>535</v>
      </c>
      <c r="F9" s="17" t="s">
        <v>546</v>
      </c>
      <c r="G9" s="2"/>
    </row>
    <row r="10" spans="1:8" x14ac:dyDescent="0.25">
      <c r="A10" s="5" t="s">
        <v>6</v>
      </c>
      <c r="B10" s="4" t="s">
        <v>564</v>
      </c>
      <c r="C10" s="5" t="s">
        <v>17</v>
      </c>
      <c r="D10" s="5" t="str">
        <f>_xlfn.IFNA(VLOOKUP(C10,Table1[],2,FALSE),"")</f>
        <v>#FEDB00</v>
      </c>
      <c r="E10" s="9" t="s">
        <v>524</v>
      </c>
      <c r="F10" s="17" t="s">
        <v>546</v>
      </c>
      <c r="G10" s="2"/>
    </row>
    <row r="11" spans="1:8" x14ac:dyDescent="0.25">
      <c r="A11" s="5" t="s">
        <v>6</v>
      </c>
      <c r="B11" s="4" t="s">
        <v>564</v>
      </c>
      <c r="C11" s="5" t="s">
        <v>17</v>
      </c>
      <c r="D11" s="5" t="str">
        <f>_xlfn.IFNA(VLOOKUP(C11,Table1[],2,FALSE),"")</f>
        <v>#FEDB00</v>
      </c>
      <c r="E11" s="9" t="s">
        <v>529</v>
      </c>
      <c r="F11" s="17" t="s">
        <v>546</v>
      </c>
      <c r="G11" s="2"/>
    </row>
    <row r="12" spans="1:8" x14ac:dyDescent="0.25">
      <c r="A12" s="5" t="s">
        <v>6</v>
      </c>
      <c r="B12" s="4" t="s">
        <v>564</v>
      </c>
      <c r="C12" s="5" t="s">
        <v>17</v>
      </c>
      <c r="D12" s="5" t="str">
        <f>_xlfn.IFNA(VLOOKUP(C12,Table1[],2,FALSE),"")</f>
        <v>#FEDB00</v>
      </c>
      <c r="E12" s="9" t="s">
        <v>533</v>
      </c>
      <c r="F12" s="17" t="s">
        <v>546</v>
      </c>
    </row>
    <row r="13" spans="1:8" x14ac:dyDescent="0.25">
      <c r="A13" s="5" t="s">
        <v>6</v>
      </c>
      <c r="B13" s="4" t="s">
        <v>565</v>
      </c>
      <c r="C13" s="5" t="s">
        <v>20</v>
      </c>
      <c r="D13" s="5" t="str">
        <f>_xlfn.IFNA(VLOOKUP(C13,Table1[],2,FALSE),"")</f>
        <v>#FF5000</v>
      </c>
      <c r="E13" s="9" t="s">
        <v>525</v>
      </c>
      <c r="F13" s="17" t="s">
        <v>546</v>
      </c>
      <c r="G13" s="2"/>
    </row>
    <row r="14" spans="1:8" x14ac:dyDescent="0.25">
      <c r="A14" s="5" t="s">
        <v>6</v>
      </c>
      <c r="B14" s="4" t="s">
        <v>565</v>
      </c>
      <c r="C14" s="5" t="s">
        <v>20</v>
      </c>
      <c r="D14" s="5" t="str">
        <f>_xlfn.IFNA(VLOOKUP(C14,Table1[],2,FALSE),"")</f>
        <v>#FF5000</v>
      </c>
      <c r="E14" s="9" t="s">
        <v>528</v>
      </c>
      <c r="F14" s="17" t="s">
        <v>546</v>
      </c>
      <c r="G14" s="2"/>
    </row>
    <row r="15" spans="1:8" x14ac:dyDescent="0.25">
      <c r="A15" s="5" t="s">
        <v>6</v>
      </c>
      <c r="B15" s="4" t="s">
        <v>565</v>
      </c>
      <c r="C15" s="5" t="s">
        <v>20</v>
      </c>
      <c r="D15" s="5" t="str">
        <f>_xlfn.IFNA(VLOOKUP(C15,Table1[],2,FALSE),"")</f>
        <v>#FF5000</v>
      </c>
      <c r="E15" s="9" t="s">
        <v>532</v>
      </c>
      <c r="F15" s="17" t="s">
        <v>546</v>
      </c>
      <c r="G15" s="2"/>
    </row>
    <row r="16" spans="1:8" x14ac:dyDescent="0.25">
      <c r="A16" s="5" t="s">
        <v>6</v>
      </c>
      <c r="B16" t="s">
        <v>275</v>
      </c>
      <c r="C16" s="5" t="s">
        <v>28</v>
      </c>
      <c r="D16" s="5" t="str">
        <f>_xlfn.IFNA(VLOOKUP(C16,Table1[],2,FALSE),"")</f>
        <v>#D9D9D9</v>
      </c>
      <c r="E16" t="s">
        <v>544</v>
      </c>
      <c r="F16" s="16" t="s">
        <v>545</v>
      </c>
      <c r="G16" s="2"/>
    </row>
    <row r="17" spans="1:8" hidden="1" x14ac:dyDescent="0.25">
      <c r="A17" s="5" t="s">
        <v>6</v>
      </c>
      <c r="B17" s="5"/>
      <c r="C17" s="5"/>
      <c r="D17" s="5" t="str">
        <f>_xlfn.IFNA(VLOOKUP(C17,Table1[],2,FALSE),"")</f>
        <v/>
      </c>
      <c r="E17" s="5"/>
      <c r="G17" s="2"/>
    </row>
    <row r="18" spans="1:8" hidden="1" x14ac:dyDescent="0.25">
      <c r="A18" s="5" t="s">
        <v>6</v>
      </c>
      <c r="B18" s="5"/>
      <c r="C18" s="5"/>
      <c r="D18" s="5" t="str">
        <f>_xlfn.IFNA(VLOOKUP(C18,Table1[],2,FALSE),"")</f>
        <v/>
      </c>
      <c r="E18" s="5"/>
      <c r="G18" s="2"/>
    </row>
    <row r="19" spans="1:8" hidden="1" x14ac:dyDescent="0.25">
      <c r="A19" s="5" t="s">
        <v>6</v>
      </c>
      <c r="B19" s="5"/>
      <c r="C19" s="5"/>
      <c r="D19" s="5" t="str">
        <f>_xlfn.IFNA(VLOOKUP(C19,Table1[],2,FALSE),"")</f>
        <v/>
      </c>
      <c r="E19" s="5"/>
      <c r="G19" s="2"/>
    </row>
    <row r="20" spans="1:8" hidden="1" x14ac:dyDescent="0.25">
      <c r="A20" s="5" t="s">
        <v>6</v>
      </c>
      <c r="B20" s="5"/>
      <c r="C20" s="5"/>
      <c r="D20" s="5" t="str">
        <f>_xlfn.IFNA(VLOOKUP(C20,Table1[],2,FALSE),"")</f>
        <v/>
      </c>
      <c r="E20" s="5"/>
      <c r="G20" s="2"/>
    </row>
    <row r="21" spans="1:8" hidden="1" x14ac:dyDescent="0.25">
      <c r="A21" s="8" t="s">
        <v>5</v>
      </c>
      <c r="B21" s="4" t="s">
        <v>540</v>
      </c>
      <c r="C21" s="5" t="s">
        <v>16</v>
      </c>
      <c r="D21" s="5" t="str">
        <f>_xlfn.IFNA(VLOOKUP(C21,Table1[],2,FALSE),"")</f>
        <v>#00B600</v>
      </c>
      <c r="E21" s="9" t="s">
        <v>534</v>
      </c>
      <c r="F21" t="s">
        <v>543</v>
      </c>
      <c r="G21" s="2"/>
    </row>
    <row r="22" spans="1:8" hidden="1" x14ac:dyDescent="0.25">
      <c r="A22" s="8" t="s">
        <v>5</v>
      </c>
      <c r="B22" s="4" t="s">
        <v>538</v>
      </c>
      <c r="C22" s="5" t="s">
        <v>22</v>
      </c>
      <c r="D22" s="5" t="str">
        <f>_xlfn.IFNA(VLOOKUP(C22,Table1[],2,FALSE),"")</f>
        <v>#FA0028</v>
      </c>
      <c r="E22" s="9" t="s">
        <v>530</v>
      </c>
      <c r="F22" t="s">
        <v>543</v>
      </c>
      <c r="G22" s="2"/>
    </row>
    <row r="23" spans="1:8" hidden="1" x14ac:dyDescent="0.25">
      <c r="A23" s="8" t="s">
        <v>5</v>
      </c>
      <c r="B23" s="4" t="s">
        <v>538</v>
      </c>
      <c r="C23" s="5" t="s">
        <v>22</v>
      </c>
      <c r="D23" s="5" t="str">
        <f>_xlfn.IFNA(VLOOKUP(C23,Table1[],2,FALSE),"")</f>
        <v>#FA0028</v>
      </c>
      <c r="E23" s="9" t="s">
        <v>531</v>
      </c>
      <c r="F23" t="s">
        <v>543</v>
      </c>
      <c r="G23" s="2"/>
    </row>
    <row r="24" spans="1:8" hidden="1" x14ac:dyDescent="0.25">
      <c r="A24" s="8" t="s">
        <v>5</v>
      </c>
      <c r="B24" s="4" t="s">
        <v>538</v>
      </c>
      <c r="C24" s="5" t="s">
        <v>22</v>
      </c>
      <c r="D24" s="5" t="str">
        <f>_xlfn.IFNA(VLOOKUP(C24,Table1[],2,FALSE),"")</f>
        <v>#FA0028</v>
      </c>
      <c r="E24" s="9" t="s">
        <v>532</v>
      </c>
      <c r="F24" t="s">
        <v>543</v>
      </c>
      <c r="G24" s="2"/>
    </row>
    <row r="25" spans="1:8" hidden="1" x14ac:dyDescent="0.25">
      <c r="A25" s="8" t="s">
        <v>5</v>
      </c>
      <c r="B25" s="4" t="s">
        <v>537</v>
      </c>
      <c r="C25" s="5" t="s">
        <v>23</v>
      </c>
      <c r="D25" s="5" t="str">
        <f>_xlfn.IFNA(VLOOKUP(C25,Table1[],2,FALSE),"")</f>
        <v>#C700D3</v>
      </c>
      <c r="E25" s="9" t="s">
        <v>526</v>
      </c>
      <c r="F25" t="s">
        <v>543</v>
      </c>
    </row>
    <row r="26" spans="1:8" ht="15" hidden="1" customHeight="1" x14ac:dyDescent="0.25">
      <c r="A26" s="8" t="s">
        <v>5</v>
      </c>
      <c r="B26" s="4" t="s">
        <v>537</v>
      </c>
      <c r="C26" s="5" t="s">
        <v>23</v>
      </c>
      <c r="D26" s="5" t="str">
        <f>_xlfn.IFNA(VLOOKUP(C26,Table1[],2,FALSE),"")</f>
        <v>#C700D3</v>
      </c>
      <c r="E26" s="9" t="s">
        <v>527</v>
      </c>
      <c r="F26" t="s">
        <v>543</v>
      </c>
      <c r="G26" s="6"/>
      <c r="H26" s="7"/>
    </row>
    <row r="27" spans="1:8" ht="15" hidden="1" customHeight="1" x14ac:dyDescent="0.25">
      <c r="A27" s="8" t="s">
        <v>5</v>
      </c>
      <c r="B27" s="4" t="s">
        <v>537</v>
      </c>
      <c r="C27" s="5" t="s">
        <v>23</v>
      </c>
      <c r="D27" s="5" t="str">
        <f>_xlfn.IFNA(VLOOKUP(C27,Table1[],2,FALSE),"")</f>
        <v>#C700D3</v>
      </c>
      <c r="E27" s="9" t="s">
        <v>528</v>
      </c>
      <c r="F27" t="s">
        <v>543</v>
      </c>
      <c r="G27" s="6"/>
      <c r="H27" s="7"/>
    </row>
    <row r="28" spans="1:8" ht="15" hidden="1" customHeight="1" x14ac:dyDescent="0.25">
      <c r="A28" s="8" t="s">
        <v>5</v>
      </c>
      <c r="B28" s="4" t="s">
        <v>537</v>
      </c>
      <c r="C28" s="5" t="s">
        <v>23</v>
      </c>
      <c r="D28" s="5" t="str">
        <f>_xlfn.IFNA(VLOOKUP(C28,Table1[],2,FALSE),"")</f>
        <v>#C700D3</v>
      </c>
      <c r="E28" s="9" t="s">
        <v>529</v>
      </c>
      <c r="F28" t="s">
        <v>543</v>
      </c>
      <c r="G28" s="6"/>
      <c r="H28" s="7"/>
    </row>
    <row r="29" spans="1:8" ht="15" hidden="1" customHeight="1" x14ac:dyDescent="0.25">
      <c r="A29" s="8" t="s">
        <v>5</v>
      </c>
      <c r="B29" s="4" t="s">
        <v>541</v>
      </c>
      <c r="C29" s="5" t="s">
        <v>14</v>
      </c>
      <c r="D29" s="5" t="str">
        <f>_xlfn.IFNA(VLOOKUP(C29,Table1[],2,FALSE),"")</f>
        <v>#00E5BA</v>
      </c>
      <c r="E29" s="9" t="s">
        <v>535</v>
      </c>
      <c r="F29" t="s">
        <v>543</v>
      </c>
      <c r="G29" s="6"/>
      <c r="H29" s="7"/>
    </row>
    <row r="30" spans="1:8" ht="15" hidden="1" customHeight="1" x14ac:dyDescent="0.25">
      <c r="A30" s="8" t="s">
        <v>5</v>
      </c>
      <c r="B30" s="4" t="s">
        <v>536</v>
      </c>
      <c r="C30" s="5" t="s">
        <v>11</v>
      </c>
      <c r="D30" s="5" t="str">
        <f>_xlfn.IFNA(VLOOKUP(C30,Table1[],2,FALSE),"")</f>
        <v>#AEAE9F</v>
      </c>
      <c r="E30" s="9" t="s">
        <v>522</v>
      </c>
      <c r="F30" t="s">
        <v>543</v>
      </c>
      <c r="G30" s="6"/>
      <c r="H30" s="7"/>
    </row>
    <row r="31" spans="1:8" ht="15" hidden="1" customHeight="1" x14ac:dyDescent="0.25">
      <c r="A31" s="8" t="s">
        <v>5</v>
      </c>
      <c r="B31" s="4" t="s">
        <v>536</v>
      </c>
      <c r="C31" s="5" t="s">
        <v>11</v>
      </c>
      <c r="D31" s="5" t="str">
        <f>_xlfn.IFNA(VLOOKUP(C31,Table1[],2,FALSE),"")</f>
        <v>#AEAE9F</v>
      </c>
      <c r="E31" s="9" t="s">
        <v>523</v>
      </c>
      <c r="F31" t="s">
        <v>543</v>
      </c>
      <c r="G31" s="6"/>
      <c r="H31" s="7"/>
    </row>
    <row r="32" spans="1:8" ht="15" hidden="1" customHeight="1" x14ac:dyDescent="0.25">
      <c r="A32" s="8" t="s">
        <v>5</v>
      </c>
      <c r="B32" s="4" t="s">
        <v>536</v>
      </c>
      <c r="C32" s="5" t="s">
        <v>11</v>
      </c>
      <c r="D32" s="5" t="str">
        <f>_xlfn.IFNA(VLOOKUP(C32,Table1[],2,FALSE),"")</f>
        <v>#AEAE9F</v>
      </c>
      <c r="E32" s="9" t="s">
        <v>524</v>
      </c>
      <c r="F32" t="s">
        <v>543</v>
      </c>
      <c r="G32" s="6"/>
      <c r="H32" s="7"/>
    </row>
    <row r="33" spans="1:6" ht="15" hidden="1" customHeight="1" x14ac:dyDescent="0.25">
      <c r="A33" s="8" t="s">
        <v>5</v>
      </c>
      <c r="B33" s="4" t="s">
        <v>536</v>
      </c>
      <c r="C33" s="5" t="s">
        <v>11</v>
      </c>
      <c r="D33" s="5" t="str">
        <f>_xlfn.IFNA(VLOOKUP(C33,Table1[],2,FALSE),"")</f>
        <v>#AEAE9F</v>
      </c>
      <c r="E33" s="9" t="s">
        <v>525</v>
      </c>
      <c r="F33" t="s">
        <v>543</v>
      </c>
    </row>
    <row r="34" spans="1:6" ht="15" hidden="1" customHeight="1" x14ac:dyDescent="0.25">
      <c r="A34" s="8" t="s">
        <v>5</v>
      </c>
      <c r="B34" s="4" t="s">
        <v>539</v>
      </c>
      <c r="C34" s="5" t="s">
        <v>28</v>
      </c>
      <c r="D34" s="5" t="str">
        <f>_xlfn.IFNA(VLOOKUP(C34,Table1[],2,FALSE),"")</f>
        <v>#D9D9D9</v>
      </c>
      <c r="E34" s="9" t="s">
        <v>533</v>
      </c>
      <c r="F34" t="s">
        <v>543</v>
      </c>
    </row>
    <row r="35" spans="1:6" ht="15" customHeight="1" x14ac:dyDescent="0.25">
      <c r="A35" s="8" t="s">
        <v>5</v>
      </c>
      <c r="B35" s="4" t="s">
        <v>574</v>
      </c>
      <c r="C35" s="5" t="s">
        <v>17</v>
      </c>
      <c r="D35" s="5" t="str">
        <f>_xlfn.IFNA(VLOOKUP(C35,Table1[],2,FALSE),"")</f>
        <v>#FEDB00</v>
      </c>
      <c r="E35" s="4" t="s">
        <v>524</v>
      </c>
      <c r="F35" t="s">
        <v>545</v>
      </c>
    </row>
    <row r="36" spans="1:6" ht="15" customHeight="1" x14ac:dyDescent="0.25">
      <c r="A36" s="8" t="s">
        <v>5</v>
      </c>
      <c r="B36" s="4" t="s">
        <v>574</v>
      </c>
      <c r="C36" s="5" t="s">
        <v>17</v>
      </c>
      <c r="D36" s="5" t="str">
        <f>_xlfn.IFNA(VLOOKUP(C36,Table1[],2,FALSE),"")</f>
        <v>#FEDB00</v>
      </c>
      <c r="E36" s="4" t="s">
        <v>533</v>
      </c>
      <c r="F36" t="s">
        <v>545</v>
      </c>
    </row>
    <row r="37" spans="1:6" ht="15" customHeight="1" x14ac:dyDescent="0.25">
      <c r="A37" s="8" t="s">
        <v>5</v>
      </c>
      <c r="B37" s="4" t="s">
        <v>574</v>
      </c>
      <c r="C37" s="5" t="s">
        <v>17</v>
      </c>
      <c r="D37" s="5" t="str">
        <f>_xlfn.IFNA(VLOOKUP(C37,Table1[],2,FALSE),"")</f>
        <v>#FEDB00</v>
      </c>
      <c r="E37" s="4" t="s">
        <v>532</v>
      </c>
      <c r="F37" t="s">
        <v>545</v>
      </c>
    </row>
    <row r="38" spans="1:6" ht="15" customHeight="1" x14ac:dyDescent="0.25">
      <c r="A38" s="8" t="s">
        <v>5</v>
      </c>
      <c r="B38" s="4" t="s">
        <v>573</v>
      </c>
      <c r="C38" s="5" t="s">
        <v>16</v>
      </c>
      <c r="D38" s="5" t="str">
        <f>_xlfn.IFNA(VLOOKUP(C38,Table1[],2,FALSE),"")</f>
        <v>#00B600</v>
      </c>
      <c r="E38" s="9" t="s">
        <v>530</v>
      </c>
      <c r="F38" t="s">
        <v>545</v>
      </c>
    </row>
    <row r="39" spans="1:6" ht="15" customHeight="1" x14ac:dyDescent="0.25">
      <c r="A39" s="8" t="s">
        <v>5</v>
      </c>
      <c r="B39" s="4" t="s">
        <v>573</v>
      </c>
      <c r="C39" s="5" t="s">
        <v>16</v>
      </c>
      <c r="D39" s="5" t="str">
        <f>_xlfn.IFNA(VLOOKUP(C39,Table1[],2,FALSE),"")</f>
        <v>#00B600</v>
      </c>
      <c r="E39" s="4" t="s">
        <v>534</v>
      </c>
      <c r="F39" t="s">
        <v>545</v>
      </c>
    </row>
    <row r="40" spans="1:6" ht="15" customHeight="1" x14ac:dyDescent="0.25">
      <c r="A40" s="8" t="s">
        <v>5</v>
      </c>
      <c r="B40" s="4" t="s">
        <v>576</v>
      </c>
      <c r="C40" s="5" t="s">
        <v>28</v>
      </c>
      <c r="D40" s="5" t="str">
        <f>_xlfn.IFNA(VLOOKUP(C40,Table1[],2,FALSE),"")</f>
        <v>#D9D9D9</v>
      </c>
      <c r="E40" s="5" t="s">
        <v>523</v>
      </c>
      <c r="F40" t="s">
        <v>545</v>
      </c>
    </row>
    <row r="41" spans="1:6" ht="15" customHeight="1" x14ac:dyDescent="0.25">
      <c r="A41" s="8" t="s">
        <v>5</v>
      </c>
      <c r="B41" s="4" t="s">
        <v>571</v>
      </c>
      <c r="C41" s="5" t="s">
        <v>28</v>
      </c>
      <c r="D41" s="5" t="str">
        <f>_xlfn.IFNA(VLOOKUP(C41,Table1[],2,FALSE),"")</f>
        <v>#D9D9D9</v>
      </c>
      <c r="E41" s="4" t="s">
        <v>544</v>
      </c>
      <c r="F41" t="s">
        <v>545</v>
      </c>
    </row>
    <row r="42" spans="1:6" ht="15" customHeight="1" x14ac:dyDescent="0.25">
      <c r="A42" s="8" t="s">
        <v>5</v>
      </c>
      <c r="B42" s="4" t="s">
        <v>572</v>
      </c>
      <c r="C42" s="5" t="s">
        <v>9</v>
      </c>
      <c r="D42" s="5" t="str">
        <f>_xlfn.IFNA(VLOOKUP(C42,Table1[],2,FALSE),"")</f>
        <v>#0060FF</v>
      </c>
      <c r="E42" s="4" t="s">
        <v>526</v>
      </c>
      <c r="F42" t="s">
        <v>545</v>
      </c>
    </row>
    <row r="43" spans="1:6" ht="15" customHeight="1" x14ac:dyDescent="0.25">
      <c r="A43" s="8" t="s">
        <v>5</v>
      </c>
      <c r="B43" s="4" t="s">
        <v>572</v>
      </c>
      <c r="C43" s="5" t="s">
        <v>9</v>
      </c>
      <c r="D43" s="5" t="str">
        <f>_xlfn.IFNA(VLOOKUP(C43,Table1[],2,FALSE),"")</f>
        <v>#0060FF</v>
      </c>
      <c r="E43" s="4" t="s">
        <v>522</v>
      </c>
      <c r="F43" t="s">
        <v>545</v>
      </c>
    </row>
    <row r="44" spans="1:6" ht="15" customHeight="1" x14ac:dyDescent="0.25">
      <c r="A44" s="8" t="s">
        <v>5</v>
      </c>
      <c r="B44" s="4" t="s">
        <v>572</v>
      </c>
      <c r="C44" s="5" t="s">
        <v>9</v>
      </c>
      <c r="D44" s="5" t="str">
        <f>_xlfn.IFNA(VLOOKUP(C44,Table1[],2,FALSE),"")</f>
        <v>#0060FF</v>
      </c>
      <c r="E44" s="5" t="s">
        <v>527</v>
      </c>
      <c r="F44" t="s">
        <v>545</v>
      </c>
    </row>
    <row r="45" spans="1:6" ht="15" customHeight="1" x14ac:dyDescent="0.25">
      <c r="A45" s="8" t="s">
        <v>5</v>
      </c>
      <c r="B45" s="4" t="s">
        <v>572</v>
      </c>
      <c r="C45" s="5" t="s">
        <v>9</v>
      </c>
      <c r="D45" s="5" t="str">
        <f>_xlfn.IFNA(VLOOKUP(C45,Table1[],2,FALSE),"")</f>
        <v>#0060FF</v>
      </c>
      <c r="E45" s="4" t="s">
        <v>528</v>
      </c>
      <c r="F45" t="s">
        <v>545</v>
      </c>
    </row>
    <row r="46" spans="1:6" ht="15" customHeight="1" x14ac:dyDescent="0.25">
      <c r="A46" s="8" t="s">
        <v>5</v>
      </c>
      <c r="B46" s="4" t="s">
        <v>575</v>
      </c>
      <c r="C46" s="5" t="s">
        <v>14</v>
      </c>
      <c r="D46" s="5" t="str">
        <f>_xlfn.IFNA(VLOOKUP(C46,Table1[],2,FALSE),"")</f>
        <v>#00E5BA</v>
      </c>
      <c r="E46" s="4" t="s">
        <v>535</v>
      </c>
      <c r="F46" t="s">
        <v>545</v>
      </c>
    </row>
    <row r="47" spans="1:6" x14ac:dyDescent="0.25">
      <c r="A47" s="8" t="s">
        <v>5</v>
      </c>
      <c r="B47" s="4" t="s">
        <v>571</v>
      </c>
      <c r="C47" s="5" t="s">
        <v>20</v>
      </c>
      <c r="D47" s="5" t="str">
        <f>_xlfn.IFNA(VLOOKUP(C47,Table1[],2,FALSE),"")</f>
        <v>#FF5000</v>
      </c>
      <c r="E47" s="4" t="s">
        <v>531</v>
      </c>
      <c r="F47" t="s">
        <v>545</v>
      </c>
    </row>
    <row r="48" spans="1:6" x14ac:dyDescent="0.25">
      <c r="A48" s="8" t="s">
        <v>5</v>
      </c>
      <c r="B48" s="4" t="s">
        <v>571</v>
      </c>
      <c r="C48" s="5" t="s">
        <v>20</v>
      </c>
      <c r="D48" s="5" t="str">
        <f>_xlfn.IFNA(VLOOKUP(C48,Table1[],2,FALSE),"")</f>
        <v>#FF5000</v>
      </c>
      <c r="E48" s="4" t="s">
        <v>529</v>
      </c>
      <c r="F48" t="s">
        <v>545</v>
      </c>
    </row>
    <row r="49" spans="1:6" x14ac:dyDescent="0.25">
      <c r="A49" s="8" t="s">
        <v>5</v>
      </c>
      <c r="B49" s="4" t="s">
        <v>571</v>
      </c>
      <c r="C49" s="5" t="s">
        <v>20</v>
      </c>
      <c r="D49" s="5" t="str">
        <f>_xlfn.IFNA(VLOOKUP(C49,Table1[],2,FALSE),"")</f>
        <v>#FF5000</v>
      </c>
      <c r="E49" s="4" t="s">
        <v>525</v>
      </c>
      <c r="F49" t="s">
        <v>545</v>
      </c>
    </row>
    <row r="50" spans="1:6" hidden="1" x14ac:dyDescent="0.25">
      <c r="A50" s="8" t="s">
        <v>5</v>
      </c>
      <c r="B50" s="4"/>
      <c r="C50" s="5"/>
      <c r="D50" s="5" t="str">
        <f>_xlfn.IFNA(VLOOKUP(C50,Table1[],2,FALSE),"")</f>
        <v/>
      </c>
      <c r="E50" s="4"/>
    </row>
    <row r="51" spans="1:6" hidden="1" x14ac:dyDescent="0.25">
      <c r="A51" s="8" t="s">
        <v>5</v>
      </c>
      <c r="B51" s="4"/>
      <c r="C51" s="5"/>
      <c r="D51" s="5" t="str">
        <f>_xlfn.IFNA(VLOOKUP(C51,Table1[],2,FALSE),"")</f>
        <v/>
      </c>
      <c r="E51" s="4"/>
    </row>
    <row r="52" spans="1:6" hidden="1" x14ac:dyDescent="0.25">
      <c r="A52" s="8" t="s">
        <v>5</v>
      </c>
      <c r="B52" s="4"/>
      <c r="C52" s="5"/>
      <c r="D52" s="5" t="str">
        <f>_xlfn.IFNA(VLOOKUP(C52,Table1[],2,FALSE),"")</f>
        <v/>
      </c>
      <c r="E52" s="4"/>
    </row>
    <row r="53" spans="1:6" hidden="1" x14ac:dyDescent="0.25">
      <c r="A53" s="8" t="s">
        <v>5</v>
      </c>
      <c r="B53" s="4"/>
      <c r="C53" s="5"/>
      <c r="D53" s="5" t="str">
        <f>_xlfn.IFNA(VLOOKUP(C53,Table1[],2,FALSE),"")</f>
        <v/>
      </c>
      <c r="E53" s="4"/>
    </row>
    <row r="54" spans="1:6" hidden="1" x14ac:dyDescent="0.25">
      <c r="A54" s="8" t="s">
        <v>5</v>
      </c>
      <c r="B54" s="4"/>
      <c r="C54" s="5"/>
      <c r="D54" s="5" t="str">
        <f>_xlfn.IFNA(VLOOKUP(C54,Table1[],2,FALSE),"")</f>
        <v/>
      </c>
      <c r="E54" s="4"/>
    </row>
    <row r="55" spans="1:6" hidden="1" x14ac:dyDescent="0.25">
      <c r="A55" s="8" t="s">
        <v>5</v>
      </c>
      <c r="B55" s="4"/>
      <c r="C55" s="5"/>
      <c r="D55" s="5" t="str">
        <f>_xlfn.IFNA(VLOOKUP(C55,Table1[],2,FALSE),"")</f>
        <v/>
      </c>
      <c r="E55" s="4"/>
    </row>
    <row r="56" spans="1:6" hidden="1" x14ac:dyDescent="0.25">
      <c r="A56" s="8" t="s">
        <v>5</v>
      </c>
      <c r="B56" s="4"/>
      <c r="C56" s="5"/>
      <c r="D56" s="5" t="str">
        <f>_xlfn.IFNA(VLOOKUP(C56,Table1[],2,FALSE),"")</f>
        <v/>
      </c>
      <c r="E56" s="4"/>
    </row>
    <row r="57" spans="1:6" hidden="1" x14ac:dyDescent="0.25">
      <c r="A57" s="8" t="s">
        <v>5</v>
      </c>
      <c r="B57" s="4"/>
      <c r="C57" s="5"/>
      <c r="D57" s="5" t="str">
        <f>_xlfn.IFNA(VLOOKUP(C57,Table1[],2,FALSE),"")</f>
        <v/>
      </c>
      <c r="E57" s="4"/>
    </row>
    <row r="58" spans="1:6" hidden="1" x14ac:dyDescent="0.25">
      <c r="A58" s="8" t="s">
        <v>5</v>
      </c>
      <c r="B58" s="4"/>
      <c r="C58" s="5"/>
      <c r="D58" s="5" t="str">
        <f>_xlfn.IFNA(VLOOKUP(C58,Table1[],2,FALSE),"")</f>
        <v/>
      </c>
      <c r="E58" s="4"/>
    </row>
    <row r="59" spans="1:6" hidden="1" x14ac:dyDescent="0.25">
      <c r="A59" s="8" t="s">
        <v>5</v>
      </c>
      <c r="B59" s="4"/>
      <c r="C59" s="5"/>
      <c r="D59" s="5" t="str">
        <f>_xlfn.IFNA(VLOOKUP(C59,Table1[],2,FALSE),"")</f>
        <v/>
      </c>
      <c r="E59" s="4"/>
    </row>
    <row r="60" spans="1:6" hidden="1" x14ac:dyDescent="0.25">
      <c r="A60" s="8" t="s">
        <v>5</v>
      </c>
      <c r="B60" s="4"/>
      <c r="C60" s="5"/>
      <c r="D60" s="5" t="str">
        <f>_xlfn.IFNA(VLOOKUP(C60,Table1[],2,FALSE),"")</f>
        <v/>
      </c>
      <c r="E60" s="4"/>
    </row>
    <row r="61" spans="1:6" hidden="1" x14ac:dyDescent="0.25">
      <c r="A61" s="8" t="s">
        <v>5</v>
      </c>
      <c r="B61" s="4"/>
      <c r="C61" s="5"/>
      <c r="D61" s="5" t="str">
        <f>_xlfn.IFNA(VLOOKUP(C61,Table1[],2,FALSE),"")</f>
        <v/>
      </c>
      <c r="E61" s="4"/>
    </row>
    <row r="62" spans="1:6" hidden="1" x14ac:dyDescent="0.25">
      <c r="A62" s="8" t="s">
        <v>5</v>
      </c>
      <c r="B62" s="4"/>
      <c r="C62" s="5"/>
      <c r="D62" s="5" t="str">
        <f>_xlfn.IFNA(VLOOKUP(C62,Table1[],2,FALSE),"")</f>
        <v/>
      </c>
      <c r="E62" s="4"/>
    </row>
    <row r="63" spans="1:6" hidden="1" x14ac:dyDescent="0.25">
      <c r="A63" s="8" t="s">
        <v>5</v>
      </c>
      <c r="B63" s="4"/>
      <c r="C63" s="5"/>
      <c r="D63" s="5" t="str">
        <f>_xlfn.IFNA(VLOOKUP(C63,Table1[],2,FALSE),"")</f>
        <v/>
      </c>
      <c r="E63" s="4"/>
    </row>
    <row r="64" spans="1:6" hidden="1" x14ac:dyDescent="0.25">
      <c r="A64" s="8" t="s">
        <v>5</v>
      </c>
      <c r="B64" s="4"/>
      <c r="C64" s="5"/>
      <c r="D64" s="5" t="str">
        <f>_xlfn.IFNA(VLOOKUP(C64,Table1[],2,FALSE),"")</f>
        <v/>
      </c>
      <c r="E64" s="4"/>
    </row>
    <row r="65" spans="1:5" hidden="1" x14ac:dyDescent="0.25">
      <c r="A65" s="8" t="s">
        <v>5</v>
      </c>
      <c r="B65" s="4"/>
      <c r="C65" s="5"/>
      <c r="D65" s="5" t="str">
        <f>_xlfn.IFNA(VLOOKUP(C65,Table1[],2,FALSE),"")</f>
        <v/>
      </c>
      <c r="E65" s="4"/>
    </row>
    <row r="66" spans="1:5" hidden="1" x14ac:dyDescent="0.25">
      <c r="A66" s="8" t="s">
        <v>5</v>
      </c>
      <c r="B66" s="4"/>
      <c r="C66" s="5"/>
      <c r="D66" s="5" t="str">
        <f>_xlfn.IFNA(VLOOKUP(C66,Table1[],2,FALSE),"")</f>
        <v/>
      </c>
      <c r="E66" s="4"/>
    </row>
    <row r="67" spans="1:5" hidden="1" x14ac:dyDescent="0.25">
      <c r="A67" s="8" t="s">
        <v>5</v>
      </c>
      <c r="B67" s="4"/>
      <c r="C67" s="5"/>
      <c r="D67" s="5" t="str">
        <f>_xlfn.IFNA(VLOOKUP(C67,Table1[],2,FALSE),"")</f>
        <v/>
      </c>
      <c r="E67" s="4"/>
    </row>
  </sheetData>
  <autoFilter ref="A1:F67" xr:uid="{7D442E6D-EDB6-4157-A3EB-3D94618061DA}">
    <filterColumn colId="5">
      <filters>
        <filter val="PLAYA"/>
        <filter val="TOTAL"/>
      </filters>
    </filterColumn>
    <sortState xmlns:xlrd2="http://schemas.microsoft.com/office/spreadsheetml/2017/richdata2" ref="A35:F49">
      <sortCondition ref="B1:B67"/>
    </sortState>
  </autoFilter>
  <conditionalFormatting sqref="E16">
    <cfRule type="duplicateValues" dxfId="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6836BA-8E22-4C6D-8F8E-DAE2B1BC790D}">
          <x14:formula1>
            <xm:f>CATA!$A:$A</xm:f>
          </x14:formula1>
          <xm:sqref>C2:C67</xm:sqref>
        </x14:dataValidation>
        <x14:dataValidation type="list" allowBlank="1" showInputMessage="1" showErrorMessage="1" xr:uid="{322A86B5-4524-4378-87DC-76738AA29C49}">
          <x14:formula1>
            <xm:f>CATA!$A$1:$A$4</xm:f>
          </x14:formula1>
          <xm:sqref>C1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4058-F4BE-4853-A17D-FE42B8604787}">
  <sheetPr filterMode="1"/>
  <dimension ref="A1:M95"/>
  <sheetViews>
    <sheetView zoomScaleNormal="100" workbookViewId="0"/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6" max="6" width="16" bestFit="1" customWidth="1"/>
    <col min="7" max="7" width="54.85546875" bestFit="1" customWidth="1"/>
    <col min="8" max="8" width="13.7109375" bestFit="1" customWidth="1"/>
    <col min="9" max="9" width="13.7109375" customWidth="1"/>
    <col min="11" max="11" width="32.7109375" bestFit="1" customWidth="1"/>
    <col min="12" max="12" width="39" bestFit="1" customWidth="1"/>
    <col min="13" max="13" width="44.140625" bestFit="1" customWidth="1"/>
  </cols>
  <sheetData>
    <row r="1" spans="1:13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178</v>
      </c>
      <c r="G1" s="3" t="s">
        <v>386</v>
      </c>
      <c r="H1" t="s">
        <v>25</v>
      </c>
    </row>
    <row r="2" spans="1:13" ht="15.75" hidden="1" thickBot="1" x14ac:dyDescent="0.3">
      <c r="A2" s="5" t="s">
        <v>6</v>
      </c>
      <c r="B2" s="4" t="s">
        <v>502</v>
      </c>
      <c r="C2" s="5" t="s">
        <v>14</v>
      </c>
      <c r="D2" s="5" t="str">
        <f>_xlfn.IFNA(VLOOKUP(C2,Table1[],2,FALSE),"")</f>
        <v>#00E5BA</v>
      </c>
      <c r="E2" s="9" t="s">
        <v>419</v>
      </c>
      <c r="F2" t="s">
        <v>283</v>
      </c>
      <c r="G2" s="5"/>
      <c r="H2" t="s">
        <v>26</v>
      </c>
      <c r="K2" t="s">
        <v>388</v>
      </c>
      <c r="L2" t="s">
        <v>497</v>
      </c>
      <c r="M2" s="13" t="s">
        <v>498</v>
      </c>
    </row>
    <row r="3" spans="1:13" hidden="1" x14ac:dyDescent="0.25">
      <c r="A3" s="5" t="s">
        <v>6</v>
      </c>
      <c r="B3" s="4" t="s">
        <v>502</v>
      </c>
      <c r="C3" s="5" t="s">
        <v>14</v>
      </c>
      <c r="D3" s="5" t="str">
        <f>_xlfn.IFNA(VLOOKUP(C3,Table1[],2,FALSE),"")</f>
        <v>#00E5BA</v>
      </c>
      <c r="E3" s="9" t="s">
        <v>420</v>
      </c>
      <c r="F3" t="s">
        <v>283</v>
      </c>
      <c r="G3" s="5"/>
      <c r="K3" t="s">
        <v>261</v>
      </c>
      <c r="L3" t="s">
        <v>456</v>
      </c>
      <c r="M3" s="14" t="s">
        <v>499</v>
      </c>
    </row>
    <row r="4" spans="1:13" hidden="1" x14ac:dyDescent="0.25">
      <c r="A4" s="5" t="s">
        <v>6</v>
      </c>
      <c r="B4" s="4" t="s">
        <v>499</v>
      </c>
      <c r="C4" s="5" t="s">
        <v>8</v>
      </c>
      <c r="D4" s="5" t="str">
        <f>_xlfn.IFNA(VLOOKUP(C4,Table1[],2,FALSE),"")</f>
        <v>#802AB7</v>
      </c>
      <c r="E4" s="9" t="s">
        <v>105</v>
      </c>
      <c r="F4" t="s">
        <v>283</v>
      </c>
      <c r="G4" s="9"/>
      <c r="K4" t="s">
        <v>457</v>
      </c>
      <c r="L4" t="s">
        <v>458</v>
      </c>
      <c r="M4" s="14" t="s">
        <v>500</v>
      </c>
    </row>
    <row r="5" spans="1:13" hidden="1" x14ac:dyDescent="0.25">
      <c r="A5" s="5" t="s">
        <v>6</v>
      </c>
      <c r="B5" s="4" t="s">
        <v>454</v>
      </c>
      <c r="C5" s="5" t="s">
        <v>28</v>
      </c>
      <c r="D5" s="5" t="str">
        <f>_xlfn.IFNA(VLOOKUP(C5,Table1[],2,FALSE),"")</f>
        <v>#D9D9D9</v>
      </c>
      <c r="E5" s="9" t="s">
        <v>417</v>
      </c>
      <c r="F5" t="s">
        <v>283</v>
      </c>
      <c r="G5" s="9"/>
      <c r="K5" t="s">
        <v>459</v>
      </c>
      <c r="L5" t="s">
        <v>460</v>
      </c>
      <c r="M5" s="14" t="s">
        <v>501</v>
      </c>
    </row>
    <row r="6" spans="1:13" hidden="1" x14ac:dyDescent="0.25">
      <c r="A6" s="5" t="s">
        <v>6</v>
      </c>
      <c r="B6" s="4" t="s">
        <v>499</v>
      </c>
      <c r="C6" s="5" t="s">
        <v>8</v>
      </c>
      <c r="D6" s="5" t="str">
        <f>_xlfn.IFNA(VLOOKUP(C6,Table1[],2,FALSE),"")</f>
        <v>#802AB7</v>
      </c>
      <c r="E6" s="9" t="s">
        <v>416</v>
      </c>
      <c r="F6" t="s">
        <v>283</v>
      </c>
      <c r="G6" s="9"/>
      <c r="K6" t="s">
        <v>461</v>
      </c>
      <c r="L6" t="s">
        <v>462</v>
      </c>
      <c r="M6" s="14" t="s">
        <v>502</v>
      </c>
    </row>
    <row r="7" spans="1:13" hidden="1" x14ac:dyDescent="0.25">
      <c r="A7" s="5" t="s">
        <v>6</v>
      </c>
      <c r="B7" s="4" t="s">
        <v>505</v>
      </c>
      <c r="C7" s="5" t="s">
        <v>9</v>
      </c>
      <c r="D7" s="5" t="str">
        <f>_xlfn.IFNA(VLOOKUP(C7,Table1[],2,FALSE),"")</f>
        <v>#0060FF</v>
      </c>
      <c r="E7" s="9" t="s">
        <v>422</v>
      </c>
      <c r="F7" t="s">
        <v>280</v>
      </c>
      <c r="G7" s="5"/>
      <c r="K7" t="s">
        <v>463</v>
      </c>
      <c r="L7" t="s">
        <v>464</v>
      </c>
      <c r="M7" s="14" t="s">
        <v>503</v>
      </c>
    </row>
    <row r="8" spans="1:13" hidden="1" x14ac:dyDescent="0.25">
      <c r="A8" s="5" t="s">
        <v>6</v>
      </c>
      <c r="B8" s="4" t="s">
        <v>504</v>
      </c>
      <c r="C8" s="5" t="s">
        <v>14</v>
      </c>
      <c r="D8" s="5" t="str">
        <f>_xlfn.IFNA(VLOOKUP(C8,Table1[],2,FALSE),"")</f>
        <v>#00E5BA</v>
      </c>
      <c r="E8" s="9" t="s">
        <v>428</v>
      </c>
      <c r="F8" t="s">
        <v>281</v>
      </c>
      <c r="G8" s="9"/>
      <c r="K8" t="s">
        <v>465</v>
      </c>
      <c r="L8" t="s">
        <v>466</v>
      </c>
      <c r="M8" s="14" t="s">
        <v>504</v>
      </c>
    </row>
    <row r="9" spans="1:13" hidden="1" x14ac:dyDescent="0.25">
      <c r="A9" s="5" t="s">
        <v>6</v>
      </c>
      <c r="B9" s="4" t="s">
        <v>454</v>
      </c>
      <c r="C9" s="5" t="s">
        <v>28</v>
      </c>
      <c r="D9" s="5" t="str">
        <f>_xlfn.IFNA(VLOOKUP(C9,Table1[],2,FALSE),"")</f>
        <v>#D9D9D9</v>
      </c>
      <c r="E9" s="9" t="s">
        <v>412</v>
      </c>
      <c r="F9" t="s">
        <v>281</v>
      </c>
      <c r="G9" s="5"/>
      <c r="K9" t="s">
        <v>467</v>
      </c>
      <c r="L9" t="s">
        <v>468</v>
      </c>
      <c r="M9" s="14" t="s">
        <v>505</v>
      </c>
    </row>
    <row r="10" spans="1:13" hidden="1" x14ac:dyDescent="0.25">
      <c r="A10" s="5" t="s">
        <v>6</v>
      </c>
      <c r="B10" s="4" t="s">
        <v>506</v>
      </c>
      <c r="C10" s="5" t="s">
        <v>8</v>
      </c>
      <c r="D10" s="5" t="str">
        <f>_xlfn.IFNA(VLOOKUP(C10,Table1[],2,FALSE),"")</f>
        <v>#802AB7</v>
      </c>
      <c r="E10" s="9" t="s">
        <v>426</v>
      </c>
      <c r="F10" t="s">
        <v>282</v>
      </c>
      <c r="G10" s="9"/>
      <c r="K10" t="s">
        <v>469</v>
      </c>
      <c r="L10" t="s">
        <v>470</v>
      </c>
      <c r="M10" s="14" t="s">
        <v>506</v>
      </c>
    </row>
    <row r="11" spans="1:13" x14ac:dyDescent="0.25">
      <c r="A11" s="5" t="s">
        <v>6</v>
      </c>
      <c r="B11" s="4" t="s">
        <v>559</v>
      </c>
      <c r="C11" s="5" t="s">
        <v>17</v>
      </c>
      <c r="D11" s="5" t="str">
        <f>_xlfn.IFNA(VLOOKUP(C11,Table1[],2,FALSE),"")</f>
        <v>#FEDB00</v>
      </c>
      <c r="E11" s="9" t="s">
        <v>443</v>
      </c>
      <c r="F11" t="s">
        <v>279</v>
      </c>
      <c r="G11" s="9"/>
      <c r="K11" t="s">
        <v>471</v>
      </c>
      <c r="L11" t="s">
        <v>472</v>
      </c>
      <c r="M11" s="14" t="s">
        <v>507</v>
      </c>
    </row>
    <row r="12" spans="1:13" x14ac:dyDescent="0.25">
      <c r="A12" s="5" t="s">
        <v>6</v>
      </c>
      <c r="B12" s="4" t="s">
        <v>557</v>
      </c>
      <c r="C12" s="5" t="s">
        <v>16</v>
      </c>
      <c r="D12" s="5" t="str">
        <f>_xlfn.IFNA(VLOOKUP(C12,Table1[],2,FALSE),"")</f>
        <v>#00B600</v>
      </c>
      <c r="E12" s="9" t="s">
        <v>448</v>
      </c>
      <c r="F12" t="s">
        <v>279</v>
      </c>
      <c r="G12" s="5"/>
      <c r="K12" t="s">
        <v>473</v>
      </c>
      <c r="L12" t="s">
        <v>474</v>
      </c>
      <c r="M12" s="14" t="s">
        <v>508</v>
      </c>
    </row>
    <row r="13" spans="1:13" hidden="1" x14ac:dyDescent="0.25">
      <c r="A13" s="5" t="s">
        <v>6</v>
      </c>
      <c r="B13" s="4" t="s">
        <v>518</v>
      </c>
      <c r="C13" s="5" t="s">
        <v>20</v>
      </c>
      <c r="D13" s="5" t="str">
        <f>_xlfn.IFNA(VLOOKUP(C13,Table1[],2,FALSE),"")</f>
        <v>#FF5000</v>
      </c>
      <c r="E13" s="9" t="s">
        <v>447</v>
      </c>
      <c r="F13" t="s">
        <v>280</v>
      </c>
      <c r="G13" s="5"/>
      <c r="K13" t="s">
        <v>475</v>
      </c>
      <c r="L13" t="s">
        <v>476</v>
      </c>
      <c r="M13" s="14" t="s">
        <v>509</v>
      </c>
    </row>
    <row r="14" spans="1:13" hidden="1" x14ac:dyDescent="0.25">
      <c r="A14" s="5" t="s">
        <v>6</v>
      </c>
      <c r="B14" s="4" t="s">
        <v>501</v>
      </c>
      <c r="C14" s="5" t="s">
        <v>20</v>
      </c>
      <c r="D14" s="5" t="str">
        <f>_xlfn.IFNA(VLOOKUP(C14,Table1[],2,FALSE),"")</f>
        <v>#FF5000</v>
      </c>
      <c r="E14" s="9" t="s">
        <v>445</v>
      </c>
      <c r="F14" t="s">
        <v>282</v>
      </c>
      <c r="G14" s="5"/>
      <c r="K14" t="s">
        <v>455</v>
      </c>
      <c r="L14" t="s">
        <v>477</v>
      </c>
      <c r="M14" s="14" t="s">
        <v>510</v>
      </c>
    </row>
    <row r="15" spans="1:13" hidden="1" x14ac:dyDescent="0.25">
      <c r="A15" s="5" t="s">
        <v>6</v>
      </c>
      <c r="B15" s="4" t="s">
        <v>505</v>
      </c>
      <c r="C15" s="5" t="s">
        <v>9</v>
      </c>
      <c r="D15" s="5" t="str">
        <f>_xlfn.IFNA(VLOOKUP(C15,Table1[],2,FALSE),"")</f>
        <v>#0060FF</v>
      </c>
      <c r="E15" s="9" t="s">
        <v>423</v>
      </c>
      <c r="F15" t="s">
        <v>280</v>
      </c>
      <c r="G15" s="5"/>
      <c r="K15" t="s">
        <v>478</v>
      </c>
      <c r="L15" t="s">
        <v>479</v>
      </c>
      <c r="M15" s="14" t="s">
        <v>511</v>
      </c>
    </row>
    <row r="16" spans="1:13" hidden="1" x14ac:dyDescent="0.25">
      <c r="A16" s="5" t="s">
        <v>6</v>
      </c>
      <c r="B16" s="4" t="s">
        <v>507</v>
      </c>
      <c r="C16" s="5" t="s">
        <v>17</v>
      </c>
      <c r="D16" s="5" t="str">
        <f>_xlfn.IFNA(VLOOKUP(C16,Table1[],2,FALSE),"")</f>
        <v>#FEDB00</v>
      </c>
      <c r="E16" s="9" t="s">
        <v>446</v>
      </c>
      <c r="F16" t="s">
        <v>282</v>
      </c>
      <c r="G16" s="5"/>
      <c r="K16" t="s">
        <v>480</v>
      </c>
      <c r="L16" t="s">
        <v>481</v>
      </c>
      <c r="M16" s="14" t="s">
        <v>512</v>
      </c>
    </row>
    <row r="17" spans="1:13" hidden="1" x14ac:dyDescent="0.25">
      <c r="A17" s="5" t="s">
        <v>6</v>
      </c>
      <c r="B17" s="4" t="s">
        <v>454</v>
      </c>
      <c r="C17" s="5" t="s">
        <v>28</v>
      </c>
      <c r="D17" s="5" t="str">
        <f>_xlfn.IFNA(VLOOKUP(C17,Table1[],2,FALSE),"")</f>
        <v>#D9D9D9</v>
      </c>
      <c r="E17" s="9" t="s">
        <v>421</v>
      </c>
      <c r="F17" t="s">
        <v>283</v>
      </c>
      <c r="G17" s="5"/>
      <c r="K17" t="s">
        <v>482</v>
      </c>
      <c r="L17" t="s">
        <v>483</v>
      </c>
      <c r="M17" s="14" t="s">
        <v>513</v>
      </c>
    </row>
    <row r="18" spans="1:13" hidden="1" x14ac:dyDescent="0.25">
      <c r="A18" s="5" t="s">
        <v>6</v>
      </c>
      <c r="B18" s="4" t="s">
        <v>512</v>
      </c>
      <c r="C18" s="5" t="s">
        <v>9</v>
      </c>
      <c r="D18" s="5" t="str">
        <f>_xlfn.IFNA(VLOOKUP(C18,Table1[],2,FALSE),"")</f>
        <v>#0060FF</v>
      </c>
      <c r="E18" s="9" t="s">
        <v>436</v>
      </c>
      <c r="F18" t="s">
        <v>282</v>
      </c>
      <c r="G18" s="5"/>
      <c r="K18" t="s">
        <v>484</v>
      </c>
      <c r="L18" t="s">
        <v>485</v>
      </c>
      <c r="M18" s="14" t="s">
        <v>514</v>
      </c>
    </row>
    <row r="19" spans="1:13" x14ac:dyDescent="0.25">
      <c r="A19" s="5" t="s">
        <v>6</v>
      </c>
      <c r="B19" s="4" t="s">
        <v>557</v>
      </c>
      <c r="C19" s="5" t="s">
        <v>16</v>
      </c>
      <c r="D19" s="5" t="str">
        <f>_xlfn.IFNA(VLOOKUP(C19,Table1[],2,FALSE),"")</f>
        <v>#00B600</v>
      </c>
      <c r="E19" s="9" t="s">
        <v>440</v>
      </c>
      <c r="F19" t="s">
        <v>279</v>
      </c>
      <c r="G19" s="5"/>
      <c r="K19" t="s">
        <v>486</v>
      </c>
      <c r="L19" t="s">
        <v>487</v>
      </c>
      <c r="M19" s="14" t="s">
        <v>515</v>
      </c>
    </row>
    <row r="20" spans="1:13" hidden="1" x14ac:dyDescent="0.25">
      <c r="A20" s="5" t="s">
        <v>6</v>
      </c>
      <c r="B20" s="4" t="s">
        <v>454</v>
      </c>
      <c r="C20" s="5" t="s">
        <v>28</v>
      </c>
      <c r="D20" s="5" t="str">
        <f>_xlfn.IFNA(VLOOKUP(C20,Table1[],2,FALSE),"")</f>
        <v>#D9D9D9</v>
      </c>
      <c r="E20" s="9" t="s">
        <v>449</v>
      </c>
      <c r="F20" t="s">
        <v>281</v>
      </c>
      <c r="G20" s="5"/>
      <c r="K20" t="s">
        <v>488</v>
      </c>
      <c r="L20" t="s">
        <v>489</v>
      </c>
      <c r="M20" s="14" t="s">
        <v>516</v>
      </c>
    </row>
    <row r="21" spans="1:13" hidden="1" x14ac:dyDescent="0.25">
      <c r="A21" s="5" t="s">
        <v>6</v>
      </c>
      <c r="B21" s="4" t="s">
        <v>504</v>
      </c>
      <c r="C21" s="5" t="s">
        <v>14</v>
      </c>
      <c r="D21" s="5" t="str">
        <f>_xlfn.IFNA(VLOOKUP(C21,Table1[],2,FALSE),"")</f>
        <v>#00E5BA</v>
      </c>
      <c r="E21" s="9" t="s">
        <v>425</v>
      </c>
      <c r="F21" t="s">
        <v>281</v>
      </c>
      <c r="G21" s="9"/>
      <c r="K21" t="s">
        <v>414</v>
      </c>
      <c r="L21" t="s">
        <v>490</v>
      </c>
      <c r="M21" s="14" t="s">
        <v>517</v>
      </c>
    </row>
    <row r="22" spans="1:13" hidden="1" x14ac:dyDescent="0.25">
      <c r="A22" s="5" t="s">
        <v>6</v>
      </c>
      <c r="B22" s="4" t="s">
        <v>454</v>
      </c>
      <c r="C22" s="5" t="s">
        <v>28</v>
      </c>
      <c r="D22" s="5" t="str">
        <f>_xlfn.IFNA(VLOOKUP(C22,Table1[],2,FALSE),"")</f>
        <v>#D9D9D9</v>
      </c>
      <c r="E22" s="9" t="s">
        <v>418</v>
      </c>
      <c r="F22" t="s">
        <v>283</v>
      </c>
      <c r="G22" s="9"/>
      <c r="K22" t="s">
        <v>301</v>
      </c>
      <c r="L22" t="s">
        <v>491</v>
      </c>
      <c r="M22" s="14" t="s">
        <v>518</v>
      </c>
    </row>
    <row r="23" spans="1:13" x14ac:dyDescent="0.25">
      <c r="A23" s="5" t="s">
        <v>6</v>
      </c>
      <c r="B23" s="4" t="s">
        <v>454</v>
      </c>
      <c r="C23" s="5" t="s">
        <v>28</v>
      </c>
      <c r="D23" s="5" t="str">
        <f>_xlfn.IFNA(VLOOKUP(C23,Table1[],2,FALSE),"")</f>
        <v>#D9D9D9</v>
      </c>
      <c r="E23" s="9" t="s">
        <v>437</v>
      </c>
      <c r="F23" t="s">
        <v>279</v>
      </c>
      <c r="G23" s="9"/>
      <c r="K23" t="s">
        <v>492</v>
      </c>
      <c r="L23" t="s">
        <v>493</v>
      </c>
      <c r="M23" s="14" t="s">
        <v>519</v>
      </c>
    </row>
    <row r="24" spans="1:13" x14ac:dyDescent="0.25">
      <c r="A24" s="5" t="s">
        <v>6</v>
      </c>
      <c r="B24" s="4" t="s">
        <v>454</v>
      </c>
      <c r="C24" s="5" t="s">
        <v>28</v>
      </c>
      <c r="D24" s="5" t="str">
        <f>_xlfn.IFNA(VLOOKUP(C24,Table1[],2,FALSE),"")</f>
        <v>#D9D9D9</v>
      </c>
      <c r="E24" s="9" t="s">
        <v>438</v>
      </c>
      <c r="F24" t="s">
        <v>279</v>
      </c>
      <c r="G24" s="5"/>
      <c r="K24" t="s">
        <v>494</v>
      </c>
      <c r="L24" t="s">
        <v>495</v>
      </c>
      <c r="M24" s="14" t="s">
        <v>520</v>
      </c>
    </row>
    <row r="25" spans="1:13" hidden="1" x14ac:dyDescent="0.25">
      <c r="A25" s="5" t="s">
        <v>6</v>
      </c>
      <c r="B25" s="4" t="s">
        <v>515</v>
      </c>
      <c r="C25" s="5" t="s">
        <v>17</v>
      </c>
      <c r="D25" s="5" t="str">
        <f>_xlfn.IFNA(VLOOKUP(C25,Table1[],2,FALSE),"")</f>
        <v>#FEDB00</v>
      </c>
      <c r="E25" s="9" t="s">
        <v>433</v>
      </c>
      <c r="F25" t="s">
        <v>280</v>
      </c>
      <c r="G25" s="5"/>
      <c r="K25" t="s">
        <v>350</v>
      </c>
      <c r="L25" t="s">
        <v>496</v>
      </c>
      <c r="M25" s="15" t="s">
        <v>521</v>
      </c>
    </row>
    <row r="26" spans="1:13" hidden="1" x14ac:dyDescent="0.25">
      <c r="A26" s="5" t="s">
        <v>6</v>
      </c>
      <c r="B26" t="s">
        <v>500</v>
      </c>
      <c r="C26" s="5" t="s">
        <v>23</v>
      </c>
      <c r="D26" s="5" t="str">
        <f>_xlfn.IFNA(VLOOKUP(C26,Table1[],2,FALSE),"")</f>
        <v>#C700D3</v>
      </c>
      <c r="E26" s="9" t="s">
        <v>432</v>
      </c>
      <c r="F26" t="s">
        <v>280</v>
      </c>
      <c r="G26" s="5"/>
    </row>
    <row r="27" spans="1:13" hidden="1" x14ac:dyDescent="0.25">
      <c r="A27" s="5" t="s">
        <v>6</v>
      </c>
      <c r="B27" s="4" t="s">
        <v>454</v>
      </c>
      <c r="C27" s="5" t="s">
        <v>28</v>
      </c>
      <c r="D27" s="5" t="str">
        <f>_xlfn.IFNA(VLOOKUP(C27,Table1[],2,FALSE),"")</f>
        <v>#D9D9D9</v>
      </c>
      <c r="E27" s="9" t="s">
        <v>435</v>
      </c>
      <c r="F27" t="s">
        <v>280</v>
      </c>
      <c r="G27" s="5"/>
      <c r="H27" s="7"/>
    </row>
    <row r="28" spans="1:13" hidden="1" x14ac:dyDescent="0.25">
      <c r="A28" s="5" t="s">
        <v>6</v>
      </c>
      <c r="B28" s="4" t="s">
        <v>512</v>
      </c>
      <c r="C28" s="5" t="s">
        <v>9</v>
      </c>
      <c r="D28" s="5" t="str">
        <f>_xlfn.IFNA(VLOOKUP(C28,Table1[],2,FALSE),"")</f>
        <v>#0060FF</v>
      </c>
      <c r="E28" s="9" t="s">
        <v>127</v>
      </c>
      <c r="F28" t="s">
        <v>282</v>
      </c>
      <c r="G28" s="5"/>
      <c r="H28" s="7"/>
    </row>
    <row r="29" spans="1:13" hidden="1" x14ac:dyDescent="0.25">
      <c r="A29" s="5" t="s">
        <v>6</v>
      </c>
      <c r="B29" s="4" t="s">
        <v>514</v>
      </c>
      <c r="C29" s="5" t="s">
        <v>16</v>
      </c>
      <c r="D29" s="5" t="str">
        <f>_xlfn.IFNA(VLOOKUP(C29,Table1[],2,FALSE),"")</f>
        <v>#00B600</v>
      </c>
      <c r="E29" s="9" t="s">
        <v>441</v>
      </c>
      <c r="F29" t="s">
        <v>280</v>
      </c>
      <c r="G29" s="5"/>
      <c r="H29" s="7"/>
    </row>
    <row r="30" spans="1:13" hidden="1" x14ac:dyDescent="0.25">
      <c r="A30" s="5" t="s">
        <v>6</v>
      </c>
      <c r="B30" s="4" t="s">
        <v>514</v>
      </c>
      <c r="C30" s="5" t="s">
        <v>16</v>
      </c>
      <c r="D30" s="5" t="str">
        <f>_xlfn.IFNA(VLOOKUP(C30,Table1[],2,FALSE),"")</f>
        <v>#00B600</v>
      </c>
      <c r="E30" s="9" t="s">
        <v>276</v>
      </c>
      <c r="F30" t="s">
        <v>280</v>
      </c>
      <c r="G30" s="5"/>
    </row>
    <row r="31" spans="1:13" x14ac:dyDescent="0.25">
      <c r="A31" s="5" t="s">
        <v>6</v>
      </c>
      <c r="B31" s="4" t="s">
        <v>454</v>
      </c>
      <c r="C31" s="5" t="s">
        <v>28</v>
      </c>
      <c r="D31" s="5" t="str">
        <f>_xlfn.IFNA(VLOOKUP(C31,Table1[],2,FALSE),"")</f>
        <v>#D9D9D9</v>
      </c>
      <c r="E31" s="9" t="s">
        <v>439</v>
      </c>
      <c r="F31" t="s">
        <v>279</v>
      </c>
      <c r="G31" s="5"/>
    </row>
    <row r="32" spans="1:13" hidden="1" x14ac:dyDescent="0.25">
      <c r="A32" s="5" t="s">
        <v>6</v>
      </c>
      <c r="B32" t="s">
        <v>500</v>
      </c>
      <c r="C32" s="5" t="s">
        <v>23</v>
      </c>
      <c r="D32" s="5" t="str">
        <f>_xlfn.IFNA(VLOOKUP(C32,Table1[],2,FALSE),"")</f>
        <v>#C700D3</v>
      </c>
      <c r="E32" s="9" t="s">
        <v>415</v>
      </c>
      <c r="F32" t="s">
        <v>280</v>
      </c>
      <c r="G32" s="5"/>
    </row>
    <row r="33" spans="1:7" x14ac:dyDescent="0.25">
      <c r="A33" s="5" t="s">
        <v>6</v>
      </c>
      <c r="B33" s="4" t="s">
        <v>558</v>
      </c>
      <c r="C33" s="5" t="s">
        <v>11</v>
      </c>
      <c r="D33" s="5" t="str">
        <f>_xlfn.IFNA(VLOOKUP(C33,Table1[],2,FALSE),"")</f>
        <v>#AEAE9F</v>
      </c>
      <c r="E33" s="9" t="s">
        <v>444</v>
      </c>
      <c r="F33" t="s">
        <v>279</v>
      </c>
      <c r="G33" s="5"/>
    </row>
    <row r="34" spans="1:7" hidden="1" x14ac:dyDescent="0.25">
      <c r="A34" s="5" t="s">
        <v>6</v>
      </c>
      <c r="B34" t="s">
        <v>500</v>
      </c>
      <c r="C34" s="5" t="s">
        <v>23</v>
      </c>
      <c r="D34" s="5" t="str">
        <f>_xlfn.IFNA(VLOOKUP(C34,Table1[],2,FALSE),"")</f>
        <v>#C700D3</v>
      </c>
      <c r="E34" s="9" t="s">
        <v>434</v>
      </c>
      <c r="F34" t="s">
        <v>280</v>
      </c>
      <c r="G34" s="5"/>
    </row>
    <row r="35" spans="1:7" hidden="1" x14ac:dyDescent="0.25">
      <c r="A35" s="5" t="s">
        <v>6</v>
      </c>
      <c r="B35" s="4" t="s">
        <v>517</v>
      </c>
      <c r="C35" s="5" t="s">
        <v>22</v>
      </c>
      <c r="D35" s="5" t="str">
        <f>_xlfn.IFNA(VLOOKUP(C35,Table1[],2,FALSE),"")</f>
        <v>#FA0028</v>
      </c>
      <c r="E35" s="9" t="s">
        <v>414</v>
      </c>
      <c r="F35" t="s">
        <v>280</v>
      </c>
      <c r="G35" s="9"/>
    </row>
    <row r="36" spans="1:7" hidden="1" x14ac:dyDescent="0.25">
      <c r="A36" s="5" t="s">
        <v>6</v>
      </c>
      <c r="B36" s="4" t="s">
        <v>454</v>
      </c>
      <c r="C36" s="5" t="s">
        <v>28</v>
      </c>
      <c r="D36" s="5" t="str">
        <f>_xlfn.IFNA(VLOOKUP(C36,Table1[],2,FALSE),"")</f>
        <v>#D9D9D9</v>
      </c>
      <c r="E36" s="9" t="s">
        <v>411</v>
      </c>
      <c r="F36" t="s">
        <v>281</v>
      </c>
      <c r="G36" s="9"/>
    </row>
    <row r="37" spans="1:7" x14ac:dyDescent="0.25">
      <c r="A37" s="5" t="s">
        <v>6</v>
      </c>
      <c r="B37" s="4" t="s">
        <v>558</v>
      </c>
      <c r="C37" s="5" t="s">
        <v>11</v>
      </c>
      <c r="D37" s="5" t="str">
        <f>_xlfn.IFNA(VLOOKUP(C37,Table1[],2,FALSE),"")</f>
        <v>#AEAE9F</v>
      </c>
      <c r="E37" s="9" t="s">
        <v>322</v>
      </c>
      <c r="F37" t="s">
        <v>279</v>
      </c>
      <c r="G37" s="5"/>
    </row>
    <row r="38" spans="1:7" x14ac:dyDescent="0.25">
      <c r="A38" s="5" t="s">
        <v>6</v>
      </c>
      <c r="B38" s="4" t="s">
        <v>520</v>
      </c>
      <c r="C38" s="5" t="s">
        <v>22</v>
      </c>
      <c r="D38" s="5" t="str">
        <f>_xlfn.IFNA(VLOOKUP(C38,Table1[],2,FALSE),"")</f>
        <v>#FA0028</v>
      </c>
      <c r="E38" s="9" t="s">
        <v>451</v>
      </c>
      <c r="F38" t="s">
        <v>279</v>
      </c>
      <c r="G38" s="5"/>
    </row>
    <row r="39" spans="1:7" x14ac:dyDescent="0.25">
      <c r="A39" s="5" t="s">
        <v>6</v>
      </c>
      <c r="B39" s="4" t="s">
        <v>520</v>
      </c>
      <c r="C39" s="5" t="s">
        <v>22</v>
      </c>
      <c r="D39" s="5" t="str">
        <f>_xlfn.IFNA(VLOOKUP(C39,Table1[],2,FALSE),"")</f>
        <v>#FA0028</v>
      </c>
      <c r="E39" s="9" t="s">
        <v>452</v>
      </c>
      <c r="F39" t="s">
        <v>279</v>
      </c>
      <c r="G39" s="9"/>
    </row>
    <row r="40" spans="1:7" hidden="1" x14ac:dyDescent="0.25">
      <c r="A40" s="5" t="s">
        <v>6</v>
      </c>
      <c r="B40" s="4" t="s">
        <v>509</v>
      </c>
      <c r="C40" s="5" t="s">
        <v>8</v>
      </c>
      <c r="D40" s="5" t="str">
        <f>_xlfn.IFNA(VLOOKUP(C40,Table1[],2,FALSE),"")</f>
        <v>#802AB7</v>
      </c>
      <c r="E40" s="9" t="s">
        <v>413</v>
      </c>
      <c r="F40" t="s">
        <v>280</v>
      </c>
      <c r="G40" s="5"/>
    </row>
    <row r="41" spans="1:7" hidden="1" x14ac:dyDescent="0.25">
      <c r="A41" s="5" t="s">
        <v>6</v>
      </c>
      <c r="B41" s="4" t="s">
        <v>454</v>
      </c>
      <c r="C41" s="5" t="s">
        <v>28</v>
      </c>
      <c r="D41" s="5" t="str">
        <f>_xlfn.IFNA(VLOOKUP(C41,Table1[],2,FALSE),"")</f>
        <v>#D9D9D9</v>
      </c>
      <c r="E41" s="9" t="s">
        <v>442</v>
      </c>
      <c r="F41" t="s">
        <v>280</v>
      </c>
      <c r="G41" s="5"/>
    </row>
    <row r="42" spans="1:7" hidden="1" x14ac:dyDescent="0.25">
      <c r="A42" s="5" t="s">
        <v>6</v>
      </c>
      <c r="B42" s="4" t="s">
        <v>510</v>
      </c>
      <c r="C42" s="5" t="s">
        <v>17</v>
      </c>
      <c r="D42" s="5" t="str">
        <f>_xlfn.IFNA(VLOOKUP(C42,Table1[],2,FALSE),"")</f>
        <v>#FEDB00</v>
      </c>
      <c r="E42" s="9" t="s">
        <v>429</v>
      </c>
      <c r="F42" t="s">
        <v>281</v>
      </c>
      <c r="G42" s="9"/>
    </row>
    <row r="43" spans="1:7" hidden="1" x14ac:dyDescent="0.25">
      <c r="A43" s="5" t="s">
        <v>6</v>
      </c>
      <c r="B43" s="4" t="s">
        <v>504</v>
      </c>
      <c r="C43" s="5" t="s">
        <v>14</v>
      </c>
      <c r="D43" s="5" t="str">
        <f>_xlfn.IFNA(VLOOKUP(C43,Table1[],2,FALSE),"")</f>
        <v>#00E5BA</v>
      </c>
      <c r="E43" s="9" t="s">
        <v>450</v>
      </c>
      <c r="F43" t="s">
        <v>281</v>
      </c>
      <c r="G43" s="9"/>
    </row>
    <row r="44" spans="1:7" hidden="1" x14ac:dyDescent="0.25">
      <c r="A44" s="5" t="s">
        <v>6</v>
      </c>
      <c r="B44" s="4" t="s">
        <v>519</v>
      </c>
      <c r="C44" s="5" t="s">
        <v>20</v>
      </c>
      <c r="D44" s="5" t="str">
        <f>_xlfn.IFNA(VLOOKUP(C44,Table1[],2,FALSE),"")</f>
        <v>#FF5000</v>
      </c>
      <c r="E44" s="9" t="s">
        <v>430</v>
      </c>
      <c r="F44" t="s">
        <v>281</v>
      </c>
      <c r="G44" s="5"/>
    </row>
    <row r="45" spans="1:7" hidden="1" x14ac:dyDescent="0.25">
      <c r="A45" s="5" t="s">
        <v>6</v>
      </c>
      <c r="B45" s="4" t="s">
        <v>519</v>
      </c>
      <c r="C45" s="5" t="s">
        <v>20</v>
      </c>
      <c r="D45" s="5" t="str">
        <f>_xlfn.IFNA(VLOOKUP(C45,Table1[],2,FALSE),"")</f>
        <v>#FF5000</v>
      </c>
      <c r="E45" s="9" t="s">
        <v>431</v>
      </c>
      <c r="F45" t="s">
        <v>281</v>
      </c>
      <c r="G45" s="5"/>
    </row>
    <row r="46" spans="1:7" hidden="1" x14ac:dyDescent="0.25">
      <c r="A46" s="5" t="s">
        <v>6</v>
      </c>
      <c r="B46" s="4" t="s">
        <v>509</v>
      </c>
      <c r="C46" s="5" t="s">
        <v>8</v>
      </c>
      <c r="D46" s="5" t="str">
        <f>_xlfn.IFNA(VLOOKUP(C46,Table1[],2,FALSE),"")</f>
        <v>#802AB7</v>
      </c>
      <c r="E46" s="9" t="s">
        <v>424</v>
      </c>
      <c r="F46" t="s">
        <v>280</v>
      </c>
      <c r="G46" s="5"/>
    </row>
    <row r="47" spans="1:7" hidden="1" x14ac:dyDescent="0.25">
      <c r="A47" s="5" t="s">
        <v>6</v>
      </c>
      <c r="B47" s="4" t="s">
        <v>506</v>
      </c>
      <c r="C47" s="5" t="s">
        <v>8</v>
      </c>
      <c r="D47" s="5" t="str">
        <f>_xlfn.IFNA(VLOOKUP(C47,Table1[],2,FALSE),"")</f>
        <v>#802AB7</v>
      </c>
      <c r="E47" s="9" t="s">
        <v>427</v>
      </c>
      <c r="F47" t="s">
        <v>282</v>
      </c>
      <c r="G47" s="5"/>
    </row>
    <row r="48" spans="1:7" x14ac:dyDescent="0.25">
      <c r="A48" s="5" t="s">
        <v>6</v>
      </c>
      <c r="B48" s="4" t="s">
        <v>520</v>
      </c>
      <c r="C48" s="5" t="s">
        <v>22</v>
      </c>
      <c r="D48" s="5" t="str">
        <f>_xlfn.IFNA(VLOOKUP(C48,Table1[],2,FALSE),"")</f>
        <v>#FA0028</v>
      </c>
      <c r="E48" s="9" t="s">
        <v>453</v>
      </c>
      <c r="F48" t="s">
        <v>279</v>
      </c>
      <c r="G48" s="9"/>
    </row>
    <row r="49" spans="1:7" hidden="1" x14ac:dyDescent="0.25">
      <c r="A49" s="8" t="s">
        <v>5</v>
      </c>
      <c r="B49" s="4" t="s">
        <v>389</v>
      </c>
      <c r="C49" s="5" t="s">
        <v>14</v>
      </c>
      <c r="D49" s="5" t="str">
        <f>_xlfn.IFNA(VLOOKUP(C49,Table1[],2,FALSE),"")</f>
        <v>#00E5BA</v>
      </c>
      <c r="E49" s="9" t="s">
        <v>419</v>
      </c>
      <c r="F49" t="s">
        <v>283</v>
      </c>
      <c r="G49" s="9" t="s">
        <v>306</v>
      </c>
    </row>
    <row r="50" spans="1:7" hidden="1" x14ac:dyDescent="0.25">
      <c r="A50" s="8" t="s">
        <v>5</v>
      </c>
      <c r="B50" s="4" t="s">
        <v>389</v>
      </c>
      <c r="C50" s="5" t="s">
        <v>14</v>
      </c>
      <c r="D50" s="5" t="str">
        <f>_xlfn.IFNA(VLOOKUP(C50,Table1[],2,FALSE),"")</f>
        <v>#00E5BA</v>
      </c>
      <c r="E50" s="9" t="s">
        <v>420</v>
      </c>
      <c r="F50" t="s">
        <v>283</v>
      </c>
      <c r="G50" s="9" t="s">
        <v>305</v>
      </c>
    </row>
    <row r="51" spans="1:7" ht="15" hidden="1" customHeight="1" x14ac:dyDescent="0.25">
      <c r="A51" s="8" t="s">
        <v>5</v>
      </c>
      <c r="B51" s="4" t="s">
        <v>391</v>
      </c>
      <c r="C51" s="5" t="s">
        <v>8</v>
      </c>
      <c r="D51" s="5" t="str">
        <f>_xlfn.IFNA(VLOOKUP(C51,Table1[],2,FALSE),"")</f>
        <v>#802AB7</v>
      </c>
      <c r="E51" s="9" t="s">
        <v>105</v>
      </c>
      <c r="F51" t="s">
        <v>283</v>
      </c>
      <c r="G51" s="9" t="s">
        <v>311</v>
      </c>
    </row>
    <row r="52" spans="1:7" ht="15" hidden="1" customHeight="1" x14ac:dyDescent="0.25">
      <c r="A52" s="8" t="s">
        <v>5</v>
      </c>
      <c r="B52" s="4" t="s">
        <v>390</v>
      </c>
      <c r="C52" s="5" t="s">
        <v>9</v>
      </c>
      <c r="D52" s="5" t="str">
        <f>_xlfn.IFNA(VLOOKUP(C52,Table1[],2,FALSE),"")</f>
        <v>#0060FF</v>
      </c>
      <c r="E52" s="9" t="s">
        <v>417</v>
      </c>
      <c r="F52" t="s">
        <v>283</v>
      </c>
      <c r="G52" s="9" t="s">
        <v>308</v>
      </c>
    </row>
    <row r="53" spans="1:7" ht="15" hidden="1" customHeight="1" x14ac:dyDescent="0.25">
      <c r="A53" s="8" t="s">
        <v>5</v>
      </c>
      <c r="B53" s="4" t="s">
        <v>391</v>
      </c>
      <c r="C53" s="5" t="s">
        <v>8</v>
      </c>
      <c r="D53" s="5" t="str">
        <f>_xlfn.IFNA(VLOOKUP(C53,Table1[],2,FALSE),"")</f>
        <v>#802AB7</v>
      </c>
      <c r="E53" s="9" t="s">
        <v>416</v>
      </c>
      <c r="F53" t="s">
        <v>283</v>
      </c>
      <c r="G53" s="9" t="s">
        <v>310</v>
      </c>
    </row>
    <row r="54" spans="1:7" ht="15" hidden="1" customHeight="1" x14ac:dyDescent="0.25">
      <c r="A54" s="8" t="s">
        <v>5</v>
      </c>
      <c r="B54" s="4" t="s">
        <v>397</v>
      </c>
      <c r="C54" s="5" t="s">
        <v>9</v>
      </c>
      <c r="D54" s="5" t="str">
        <f>_xlfn.IFNA(VLOOKUP(C54,Table1[],2,FALSE),"")</f>
        <v>#0060FF</v>
      </c>
      <c r="E54" s="9" t="s">
        <v>422</v>
      </c>
      <c r="F54" t="s">
        <v>280</v>
      </c>
      <c r="G54" s="9" t="s">
        <v>326</v>
      </c>
    </row>
    <row r="55" spans="1:7" ht="15" hidden="1" customHeight="1" x14ac:dyDescent="0.25">
      <c r="A55" s="8" t="s">
        <v>5</v>
      </c>
      <c r="B55" s="4" t="s">
        <v>408</v>
      </c>
      <c r="C55" s="5" t="s">
        <v>14</v>
      </c>
      <c r="D55" s="5" t="str">
        <f>_xlfn.IFNA(VLOOKUP(C55,Table1[],2,FALSE),"")</f>
        <v>#00E5BA</v>
      </c>
      <c r="E55" s="9" t="s">
        <v>428</v>
      </c>
      <c r="F55" t="s">
        <v>281</v>
      </c>
      <c r="G55" s="4" t="s">
        <v>363</v>
      </c>
    </row>
    <row r="56" spans="1:7" ht="15" hidden="1" customHeight="1" x14ac:dyDescent="0.25">
      <c r="A56" s="8" t="s">
        <v>5</v>
      </c>
      <c r="B56" s="4" t="s">
        <v>408</v>
      </c>
      <c r="C56" s="5" t="s">
        <v>14</v>
      </c>
      <c r="D56" s="5" t="str">
        <f>_xlfn.IFNA(VLOOKUP(C56,Table1[],2,FALSE),"")</f>
        <v>#00E5BA</v>
      </c>
      <c r="E56" s="9" t="s">
        <v>412</v>
      </c>
      <c r="F56" t="s">
        <v>281</v>
      </c>
      <c r="G56" s="4" t="s">
        <v>364</v>
      </c>
    </row>
    <row r="57" spans="1:7" ht="15" hidden="1" customHeight="1" x14ac:dyDescent="0.25">
      <c r="A57" s="8" t="s">
        <v>5</v>
      </c>
      <c r="B57" s="4" t="s">
        <v>403</v>
      </c>
      <c r="C57" s="5" t="s">
        <v>8</v>
      </c>
      <c r="D57" s="5" t="str">
        <f>_xlfn.IFNA(VLOOKUP(C57,Table1[],2,FALSE),"")</f>
        <v>#802AB7</v>
      </c>
      <c r="E57" s="9" t="s">
        <v>426</v>
      </c>
      <c r="F57" t="s">
        <v>282</v>
      </c>
      <c r="G57" s="4" t="s">
        <v>341</v>
      </c>
    </row>
    <row r="58" spans="1:7" ht="15" customHeight="1" x14ac:dyDescent="0.25">
      <c r="A58" s="8" t="s">
        <v>5</v>
      </c>
      <c r="B58" s="4" t="s">
        <v>392</v>
      </c>
      <c r="C58" s="5" t="s">
        <v>9</v>
      </c>
      <c r="D58" s="5" t="str">
        <f>_xlfn.IFNA(VLOOKUP(C58,Table1[],2,FALSE),"")</f>
        <v>#0060FF</v>
      </c>
      <c r="E58" s="9" t="s">
        <v>437</v>
      </c>
      <c r="F58" t="s">
        <v>279</v>
      </c>
      <c r="G58" s="9" t="s">
        <v>313</v>
      </c>
    </row>
    <row r="59" spans="1:7" ht="15" customHeight="1" x14ac:dyDescent="0.25">
      <c r="A59" s="8" t="s">
        <v>5</v>
      </c>
      <c r="B59" s="4" t="s">
        <v>392</v>
      </c>
      <c r="C59" s="5" t="s">
        <v>9</v>
      </c>
      <c r="D59" s="5" t="str">
        <f>_xlfn.IFNA(VLOOKUP(C59,Table1[],2,FALSE),"")</f>
        <v>#0060FF</v>
      </c>
      <c r="E59" s="9" t="s">
        <v>438</v>
      </c>
      <c r="F59" t="s">
        <v>279</v>
      </c>
      <c r="G59" s="9" t="s">
        <v>316</v>
      </c>
    </row>
    <row r="60" spans="1:7" ht="15" hidden="1" customHeight="1" x14ac:dyDescent="0.25">
      <c r="A60" s="8" t="s">
        <v>5</v>
      </c>
      <c r="B60" s="4" t="s">
        <v>400</v>
      </c>
      <c r="C60" s="5" t="s">
        <v>20</v>
      </c>
      <c r="D60" s="5" t="str">
        <f>_xlfn.IFNA(VLOOKUP(C60,Table1[],2,FALSE),"")</f>
        <v>#FF5000</v>
      </c>
      <c r="E60" s="9" t="s">
        <v>447</v>
      </c>
      <c r="F60" t="s">
        <v>280</v>
      </c>
      <c r="G60" s="9" t="s">
        <v>335</v>
      </c>
    </row>
    <row r="61" spans="1:7" ht="15" hidden="1" customHeight="1" x14ac:dyDescent="0.25">
      <c r="A61" s="8" t="s">
        <v>5</v>
      </c>
      <c r="B61" s="4" t="s">
        <v>405</v>
      </c>
      <c r="C61" s="5" t="s">
        <v>16</v>
      </c>
      <c r="D61" s="5" t="str">
        <f>_xlfn.IFNA(VLOOKUP(C61,Table1[],2,FALSE),"")</f>
        <v>#00B600</v>
      </c>
      <c r="E61" s="9" t="s">
        <v>445</v>
      </c>
      <c r="F61" t="s">
        <v>282</v>
      </c>
      <c r="G61" s="4" t="s">
        <v>345</v>
      </c>
    </row>
    <row r="62" spans="1:7" ht="15" hidden="1" customHeight="1" x14ac:dyDescent="0.25">
      <c r="A62" s="8" t="s">
        <v>5</v>
      </c>
      <c r="B62" s="4" t="s">
        <v>397</v>
      </c>
      <c r="C62" s="5" t="s">
        <v>9</v>
      </c>
      <c r="D62" s="5" t="str">
        <f>_xlfn.IFNA(VLOOKUP(C62,Table1[],2,FALSE),"")</f>
        <v>#0060FF</v>
      </c>
      <c r="E62" s="9" t="s">
        <v>423</v>
      </c>
      <c r="F62" t="s">
        <v>280</v>
      </c>
      <c r="G62" s="9" t="s">
        <v>327</v>
      </c>
    </row>
    <row r="63" spans="1:7" ht="15" hidden="1" customHeight="1" x14ac:dyDescent="0.25">
      <c r="A63" s="8" t="s">
        <v>5</v>
      </c>
      <c r="B63" s="4" t="s">
        <v>405</v>
      </c>
      <c r="C63" s="5" t="s">
        <v>16</v>
      </c>
      <c r="D63" s="5" t="str">
        <f>_xlfn.IFNA(VLOOKUP(C63,Table1[],2,FALSE),"")</f>
        <v>#00B600</v>
      </c>
      <c r="E63" s="9" t="s">
        <v>446</v>
      </c>
      <c r="F63" t="s">
        <v>282</v>
      </c>
      <c r="G63" s="4" t="s">
        <v>344</v>
      </c>
    </row>
    <row r="64" spans="1:7" ht="15" hidden="1" customHeight="1" x14ac:dyDescent="0.25">
      <c r="A64" s="8" t="s">
        <v>5</v>
      </c>
      <c r="B64" s="4" t="s">
        <v>389</v>
      </c>
      <c r="C64" s="5" t="s">
        <v>14</v>
      </c>
      <c r="D64" s="5" t="str">
        <f>_xlfn.IFNA(VLOOKUP(C64,Table1[],2,FALSE),"")</f>
        <v>#00E5BA</v>
      </c>
      <c r="E64" s="9" t="s">
        <v>421</v>
      </c>
      <c r="F64" t="s">
        <v>283</v>
      </c>
      <c r="G64" s="9" t="s">
        <v>304</v>
      </c>
    </row>
    <row r="65" spans="1:9" ht="15" hidden="1" customHeight="1" x14ac:dyDescent="0.25">
      <c r="A65" s="8" t="s">
        <v>5</v>
      </c>
      <c r="B65" s="4" t="s">
        <v>404</v>
      </c>
      <c r="C65" s="5" t="s">
        <v>9</v>
      </c>
      <c r="D65" s="5" t="str">
        <f>_xlfn.IFNA(VLOOKUP(C65,Table1[],2,FALSE),"")</f>
        <v>#0060FF</v>
      </c>
      <c r="E65" s="9" t="s">
        <v>436</v>
      </c>
      <c r="F65" t="s">
        <v>282</v>
      </c>
      <c r="G65" s="5" t="s">
        <v>342</v>
      </c>
    </row>
    <row r="66" spans="1:9" ht="15" customHeight="1" x14ac:dyDescent="0.25">
      <c r="A66" s="8" t="s">
        <v>5</v>
      </c>
      <c r="B66" s="4" t="s">
        <v>392</v>
      </c>
      <c r="C66" s="5" t="s">
        <v>9</v>
      </c>
      <c r="D66" s="5" t="str">
        <f>_xlfn.IFNA(VLOOKUP(C66,Table1[],2,FALSE),"")</f>
        <v>#0060FF</v>
      </c>
      <c r="E66" s="9" t="s">
        <v>439</v>
      </c>
      <c r="F66" t="s">
        <v>279</v>
      </c>
      <c r="G66" s="5" t="s">
        <v>315</v>
      </c>
    </row>
    <row r="67" spans="1:9" ht="15" hidden="1" customHeight="1" x14ac:dyDescent="0.25">
      <c r="A67" s="8" t="s">
        <v>5</v>
      </c>
      <c r="B67" s="4" t="s">
        <v>407</v>
      </c>
      <c r="C67" s="5" t="s">
        <v>17</v>
      </c>
      <c r="D67" s="5" t="str">
        <f>_xlfn.IFNA(VLOOKUP(C67,Table1[],2,FALSE),"")</f>
        <v>#FEDB00</v>
      </c>
      <c r="E67" s="9" t="s">
        <v>449</v>
      </c>
      <c r="F67" t="s">
        <v>281</v>
      </c>
      <c r="G67" s="9" t="s">
        <v>362</v>
      </c>
    </row>
    <row r="68" spans="1:9" ht="15" hidden="1" customHeight="1" x14ac:dyDescent="0.25">
      <c r="A68" s="8" t="s">
        <v>5</v>
      </c>
      <c r="B68" s="4" t="s">
        <v>410</v>
      </c>
      <c r="C68" s="5" t="s">
        <v>9</v>
      </c>
      <c r="D68" s="5" t="str">
        <f>_xlfn.IFNA(VLOOKUP(C68,Table1[],2,FALSE),"")</f>
        <v>#0060FF</v>
      </c>
      <c r="E68" s="9" t="s">
        <v>425</v>
      </c>
      <c r="F68" t="s">
        <v>281</v>
      </c>
      <c r="G68" s="5" t="s">
        <v>366</v>
      </c>
    </row>
    <row r="69" spans="1:9" ht="15" hidden="1" customHeight="1" x14ac:dyDescent="0.25">
      <c r="A69" s="8" t="s">
        <v>5</v>
      </c>
      <c r="B69" s="4" t="s">
        <v>390</v>
      </c>
      <c r="C69" s="5" t="s">
        <v>9</v>
      </c>
      <c r="D69" s="5" t="str">
        <f>_xlfn.IFNA(VLOOKUP(C69,Table1[],2,FALSE),"")</f>
        <v>#0060FF</v>
      </c>
      <c r="E69" s="9" t="s">
        <v>418</v>
      </c>
      <c r="F69" t="s">
        <v>283</v>
      </c>
      <c r="G69" s="9" t="s">
        <v>309</v>
      </c>
    </row>
    <row r="70" spans="1:9" ht="15" customHeight="1" x14ac:dyDescent="0.25">
      <c r="A70" s="8" t="s">
        <v>5</v>
      </c>
      <c r="B70" s="4" t="s">
        <v>392</v>
      </c>
      <c r="C70" s="5" t="s">
        <v>9</v>
      </c>
      <c r="D70" s="5" t="str">
        <f>_xlfn.IFNA(VLOOKUP(C70,Table1[],2,FALSE),"")</f>
        <v>#0060FF</v>
      </c>
      <c r="E70" s="9" t="s">
        <v>440</v>
      </c>
      <c r="F70" t="s">
        <v>279</v>
      </c>
      <c r="G70" s="9" t="s">
        <v>314</v>
      </c>
    </row>
    <row r="71" spans="1:9" ht="15" customHeight="1" x14ac:dyDescent="0.25">
      <c r="A71" s="8" t="s">
        <v>5</v>
      </c>
      <c r="B71" s="4" t="s">
        <v>396</v>
      </c>
      <c r="C71" s="5" t="s">
        <v>11</v>
      </c>
      <c r="D71" s="5" t="str">
        <f>_xlfn.IFNA(VLOOKUP(C71,Table1[],2,FALSE),"")</f>
        <v>#AEAE9F</v>
      </c>
      <c r="E71" s="9" t="s">
        <v>443</v>
      </c>
      <c r="F71" t="s">
        <v>279</v>
      </c>
      <c r="G71" s="9" t="s">
        <v>325</v>
      </c>
    </row>
    <row r="72" spans="1:9" hidden="1" x14ac:dyDescent="0.25">
      <c r="A72" s="8" t="s">
        <v>5</v>
      </c>
      <c r="B72" s="4" t="s">
        <v>398</v>
      </c>
      <c r="C72" s="5" t="s">
        <v>11</v>
      </c>
      <c r="D72" s="5" t="str">
        <f>_xlfn.IFNA(VLOOKUP(C72,Table1[],2,FALSE),"")</f>
        <v>#AEAE9F</v>
      </c>
      <c r="E72" s="9" t="s">
        <v>433</v>
      </c>
      <c r="F72" t="s">
        <v>280</v>
      </c>
      <c r="G72" s="9" t="s">
        <v>329</v>
      </c>
    </row>
    <row r="73" spans="1:9" hidden="1" x14ac:dyDescent="0.25">
      <c r="A73" s="8" t="s">
        <v>5</v>
      </c>
      <c r="B73" s="4" t="s">
        <v>398</v>
      </c>
      <c r="C73" s="5" t="s">
        <v>11</v>
      </c>
      <c r="D73" s="5" t="str">
        <f>_xlfn.IFNA(VLOOKUP(C73,Table1[],2,FALSE),"")</f>
        <v>#AEAE9F</v>
      </c>
      <c r="E73" s="9" t="s">
        <v>432</v>
      </c>
      <c r="F73" t="s">
        <v>280</v>
      </c>
      <c r="G73" s="4" t="s">
        <v>330</v>
      </c>
      <c r="H73" s="7"/>
      <c r="I73" s="7"/>
    </row>
    <row r="74" spans="1:9" hidden="1" x14ac:dyDescent="0.25">
      <c r="A74" s="8" t="s">
        <v>5</v>
      </c>
      <c r="B74" s="4" t="s">
        <v>402</v>
      </c>
      <c r="C74" s="5" t="s">
        <v>14</v>
      </c>
      <c r="D74" s="5" t="str">
        <f>_xlfn.IFNA(VLOOKUP(C74,Table1[],2,FALSE),"")</f>
        <v>#00E5BA</v>
      </c>
      <c r="E74" s="9" t="s">
        <v>435</v>
      </c>
      <c r="F74" t="s">
        <v>280</v>
      </c>
      <c r="G74" s="9" t="s">
        <v>339</v>
      </c>
      <c r="H74" s="7"/>
      <c r="I74" s="7"/>
    </row>
    <row r="75" spans="1:9" hidden="1" x14ac:dyDescent="0.25">
      <c r="A75" s="8" t="s">
        <v>5</v>
      </c>
      <c r="B75" s="4" t="s">
        <v>404</v>
      </c>
      <c r="C75" s="5" t="s">
        <v>9</v>
      </c>
      <c r="D75" s="5" t="str">
        <f>_xlfn.IFNA(VLOOKUP(C75,Table1[],2,FALSE),"")</f>
        <v>#0060FF</v>
      </c>
      <c r="E75" s="9" t="s">
        <v>127</v>
      </c>
      <c r="F75" t="s">
        <v>282</v>
      </c>
      <c r="G75" s="4" t="s">
        <v>343</v>
      </c>
      <c r="H75" s="7"/>
      <c r="I75" s="7"/>
    </row>
    <row r="76" spans="1:9" hidden="1" x14ac:dyDescent="0.25">
      <c r="A76" s="8" t="s">
        <v>5</v>
      </c>
      <c r="B76" s="4" t="s">
        <v>399</v>
      </c>
      <c r="C76" s="5" t="s">
        <v>16</v>
      </c>
      <c r="D76" s="5" t="str">
        <f>_xlfn.IFNA(VLOOKUP(C76,Table1[],2,FALSE),"")</f>
        <v>#00B600</v>
      </c>
      <c r="E76" s="9" t="s">
        <v>441</v>
      </c>
      <c r="F76" t="s">
        <v>280</v>
      </c>
      <c r="G76" s="9" t="s">
        <v>332</v>
      </c>
      <c r="H76" s="7"/>
      <c r="I76" s="7"/>
    </row>
    <row r="77" spans="1:9" hidden="1" x14ac:dyDescent="0.25">
      <c r="A77" s="8" t="s">
        <v>5</v>
      </c>
      <c r="B77" s="4" t="s">
        <v>399</v>
      </c>
      <c r="C77" s="5" t="s">
        <v>16</v>
      </c>
      <c r="D77" s="5" t="str">
        <f>_xlfn.IFNA(VLOOKUP(C77,Table1[],2,FALSE),"")</f>
        <v>#00B600</v>
      </c>
      <c r="E77" s="9" t="s">
        <v>276</v>
      </c>
      <c r="F77" t="s">
        <v>280</v>
      </c>
      <c r="G77" s="4" t="s">
        <v>334</v>
      </c>
    </row>
    <row r="78" spans="1:9" x14ac:dyDescent="0.25">
      <c r="A78" s="8" t="s">
        <v>5</v>
      </c>
      <c r="B78" s="4" t="s">
        <v>396</v>
      </c>
      <c r="C78" s="5" t="s">
        <v>11</v>
      </c>
      <c r="D78" s="5" t="str">
        <f>_xlfn.IFNA(VLOOKUP(C78,Table1[],2,FALSE),"")</f>
        <v>#AEAE9F</v>
      </c>
      <c r="E78" s="9" t="s">
        <v>444</v>
      </c>
      <c r="F78" t="s">
        <v>279</v>
      </c>
      <c r="G78" s="9" t="s">
        <v>324</v>
      </c>
    </row>
    <row r="79" spans="1:9" hidden="1" x14ac:dyDescent="0.25">
      <c r="A79" s="8" t="s">
        <v>5</v>
      </c>
      <c r="B79" s="4" t="s">
        <v>401</v>
      </c>
      <c r="C79" s="5" t="s">
        <v>8</v>
      </c>
      <c r="D79" s="5" t="str">
        <f>_xlfn.IFNA(VLOOKUP(C79,Table1[],2,FALSE),"")</f>
        <v>#802AB7</v>
      </c>
      <c r="E79" s="9" t="s">
        <v>415</v>
      </c>
      <c r="F79" t="s">
        <v>280</v>
      </c>
      <c r="G79" s="9" t="s">
        <v>336</v>
      </c>
    </row>
    <row r="80" spans="1:9" x14ac:dyDescent="0.25">
      <c r="A80" s="8" t="s">
        <v>5</v>
      </c>
      <c r="B80" s="4" t="s">
        <v>395</v>
      </c>
      <c r="C80" s="5" t="s">
        <v>14</v>
      </c>
      <c r="D80" s="5" t="str">
        <f>_xlfn.IFNA(VLOOKUP(C80,Table1[],2,FALSE),"")</f>
        <v>#00E5BA</v>
      </c>
      <c r="E80" s="9" t="s">
        <v>322</v>
      </c>
      <c r="F80" t="s">
        <v>279</v>
      </c>
      <c r="G80" s="4" t="s">
        <v>323</v>
      </c>
    </row>
    <row r="81" spans="1:7" hidden="1" x14ac:dyDescent="0.25">
      <c r="A81" s="8" t="s">
        <v>5</v>
      </c>
      <c r="B81" s="4" t="s">
        <v>398</v>
      </c>
      <c r="C81" s="5" t="s">
        <v>11</v>
      </c>
      <c r="D81" s="5" t="str">
        <f>_xlfn.IFNA(VLOOKUP(C81,Table1[],2,FALSE),"")</f>
        <v>#AEAE9F</v>
      </c>
      <c r="E81" s="9" t="s">
        <v>434</v>
      </c>
      <c r="F81" t="s">
        <v>280</v>
      </c>
      <c r="G81" s="9" t="s">
        <v>331</v>
      </c>
    </row>
    <row r="82" spans="1:7" hidden="1" x14ac:dyDescent="0.25">
      <c r="A82" s="8" t="s">
        <v>5</v>
      </c>
      <c r="B82" s="4" t="s">
        <v>401</v>
      </c>
      <c r="C82" s="5" t="s">
        <v>8</v>
      </c>
      <c r="D82" s="5" t="str">
        <f>_xlfn.IFNA(VLOOKUP(C82,Table1[],2,FALSE),"")</f>
        <v>#802AB7</v>
      </c>
      <c r="E82" s="9" t="s">
        <v>414</v>
      </c>
      <c r="F82" t="s">
        <v>280</v>
      </c>
      <c r="G82" s="9" t="s">
        <v>337</v>
      </c>
    </row>
    <row r="83" spans="1:7" hidden="1" x14ac:dyDescent="0.25">
      <c r="A83" s="8" t="s">
        <v>5</v>
      </c>
      <c r="B83" s="4" t="s">
        <v>409</v>
      </c>
      <c r="C83" s="5" t="s">
        <v>11</v>
      </c>
      <c r="D83" s="5" t="str">
        <f>_xlfn.IFNA(VLOOKUP(C83,Table1[],2,FALSE),"")</f>
        <v>#AEAE9F</v>
      </c>
      <c r="E83" s="9" t="s">
        <v>411</v>
      </c>
      <c r="F83" t="s">
        <v>281</v>
      </c>
      <c r="G83" s="4" t="s">
        <v>365</v>
      </c>
    </row>
    <row r="84" spans="1:7" x14ac:dyDescent="0.25">
      <c r="A84" s="8" t="s">
        <v>5</v>
      </c>
      <c r="B84" s="4" t="s">
        <v>394</v>
      </c>
      <c r="C84" s="5" t="s">
        <v>16</v>
      </c>
      <c r="D84" s="5" t="str">
        <f>_xlfn.IFNA(VLOOKUP(C84,Table1[],2,FALSE),"")</f>
        <v>#00B600</v>
      </c>
      <c r="E84" s="9" t="s">
        <v>448</v>
      </c>
      <c r="F84" t="s">
        <v>279</v>
      </c>
      <c r="G84" s="9" t="s">
        <v>321</v>
      </c>
    </row>
    <row r="85" spans="1:7" x14ac:dyDescent="0.25">
      <c r="A85" s="8" t="s">
        <v>5</v>
      </c>
      <c r="B85" s="4" t="s">
        <v>393</v>
      </c>
      <c r="C85" s="5" t="s">
        <v>22</v>
      </c>
      <c r="D85" s="5" t="str">
        <f>_xlfn.IFNA(VLOOKUP(C85,Table1[],2,FALSE),"")</f>
        <v>#FA0028</v>
      </c>
      <c r="E85" s="9" t="s">
        <v>451</v>
      </c>
      <c r="F85" t="s">
        <v>279</v>
      </c>
      <c r="G85" s="9" t="s">
        <v>317</v>
      </c>
    </row>
    <row r="86" spans="1:7" x14ac:dyDescent="0.25">
      <c r="A86" s="8" t="s">
        <v>5</v>
      </c>
      <c r="B86" s="4" t="s">
        <v>393</v>
      </c>
      <c r="C86" s="5" t="s">
        <v>22</v>
      </c>
      <c r="D86" s="5" t="str">
        <f>_xlfn.IFNA(VLOOKUP(C86,Table1[],2,FALSE),"")</f>
        <v>#FA0028</v>
      </c>
      <c r="E86" s="9" t="s">
        <v>452</v>
      </c>
      <c r="F86" t="s">
        <v>279</v>
      </c>
      <c r="G86" s="9" t="s">
        <v>319</v>
      </c>
    </row>
    <row r="87" spans="1:7" hidden="1" x14ac:dyDescent="0.25">
      <c r="A87" s="8" t="s">
        <v>5</v>
      </c>
      <c r="B87" s="4" t="s">
        <v>401</v>
      </c>
      <c r="C87" s="5" t="s">
        <v>8</v>
      </c>
      <c r="D87" s="5" t="str">
        <f>_xlfn.IFNA(VLOOKUP(C87,Table1[],2,FALSE),"")</f>
        <v>#802AB7</v>
      </c>
      <c r="E87" s="9" t="s">
        <v>413</v>
      </c>
      <c r="F87" t="s">
        <v>280</v>
      </c>
      <c r="G87" s="4" t="s">
        <v>338</v>
      </c>
    </row>
    <row r="88" spans="1:7" hidden="1" x14ac:dyDescent="0.25">
      <c r="A88" s="8" t="s">
        <v>5</v>
      </c>
      <c r="B88" s="4" t="s">
        <v>399</v>
      </c>
      <c r="C88" s="5" t="s">
        <v>16</v>
      </c>
      <c r="D88" s="5" t="str">
        <f>_xlfn.IFNA(VLOOKUP(C88,Table1[],2,FALSE),"")</f>
        <v>#00B600</v>
      </c>
      <c r="E88" s="9" t="s">
        <v>442</v>
      </c>
      <c r="F88" t="s">
        <v>280</v>
      </c>
      <c r="G88" s="5" t="s">
        <v>333</v>
      </c>
    </row>
    <row r="89" spans="1:7" hidden="1" x14ac:dyDescent="0.25">
      <c r="A89" s="8" t="s">
        <v>5</v>
      </c>
      <c r="B89" s="4" t="s">
        <v>406</v>
      </c>
      <c r="C89" s="5" t="s">
        <v>16</v>
      </c>
      <c r="D89" s="5" t="str">
        <f>_xlfn.IFNA(VLOOKUP(C89,Table1[],2,FALSE),"")</f>
        <v>#00B600</v>
      </c>
      <c r="E89" s="9" t="s">
        <v>429</v>
      </c>
      <c r="F89" t="s">
        <v>281</v>
      </c>
      <c r="G89" s="9" t="s">
        <v>360</v>
      </c>
    </row>
    <row r="90" spans="1:7" hidden="1" x14ac:dyDescent="0.25">
      <c r="A90" s="8" t="s">
        <v>5</v>
      </c>
      <c r="B90" s="4" t="s">
        <v>407</v>
      </c>
      <c r="C90" s="5" t="s">
        <v>17</v>
      </c>
      <c r="D90" s="5" t="str">
        <f>_xlfn.IFNA(VLOOKUP(C90,Table1[],2,FALSE),"")</f>
        <v>#FEDB00</v>
      </c>
      <c r="E90" s="9" t="s">
        <v>450</v>
      </c>
      <c r="F90" t="s">
        <v>281</v>
      </c>
      <c r="G90" s="9" t="s">
        <v>361</v>
      </c>
    </row>
    <row r="91" spans="1:7" hidden="1" x14ac:dyDescent="0.25">
      <c r="A91" s="8" t="s">
        <v>5</v>
      </c>
      <c r="B91" s="4" t="s">
        <v>406</v>
      </c>
      <c r="C91" s="5" t="s">
        <v>16</v>
      </c>
      <c r="D91" s="5" t="str">
        <f>_xlfn.IFNA(VLOOKUP(C91,Table1[],2,FALSE),"")</f>
        <v>#00B600</v>
      </c>
      <c r="E91" s="9" t="s">
        <v>430</v>
      </c>
      <c r="F91" t="s">
        <v>281</v>
      </c>
      <c r="G91" s="9" t="s">
        <v>358</v>
      </c>
    </row>
    <row r="92" spans="1:7" hidden="1" x14ac:dyDescent="0.25">
      <c r="A92" s="8" t="s">
        <v>5</v>
      </c>
      <c r="B92" s="4" t="s">
        <v>406</v>
      </c>
      <c r="C92" s="5" t="s">
        <v>16</v>
      </c>
      <c r="D92" s="5" t="str">
        <f>_xlfn.IFNA(VLOOKUP(C92,Table1[],2,FALSE),"")</f>
        <v>#00B600</v>
      </c>
      <c r="E92" s="9" t="s">
        <v>431</v>
      </c>
      <c r="F92" t="s">
        <v>281</v>
      </c>
      <c r="G92" s="9" t="s">
        <v>359</v>
      </c>
    </row>
    <row r="93" spans="1:7" hidden="1" x14ac:dyDescent="0.25">
      <c r="A93" s="8" t="s">
        <v>5</v>
      </c>
      <c r="B93" s="4" t="s">
        <v>397</v>
      </c>
      <c r="C93" s="5" t="s">
        <v>9</v>
      </c>
      <c r="D93" s="5" t="str">
        <f>_xlfn.IFNA(VLOOKUP(C93,Table1[],2,FALSE),"")</f>
        <v>#0060FF</v>
      </c>
      <c r="E93" s="9" t="s">
        <v>424</v>
      </c>
      <c r="F93" t="s">
        <v>280</v>
      </c>
      <c r="G93" s="9" t="s">
        <v>328</v>
      </c>
    </row>
    <row r="94" spans="1:7" hidden="1" x14ac:dyDescent="0.25">
      <c r="A94" s="8" t="s">
        <v>5</v>
      </c>
      <c r="B94" s="4" t="s">
        <v>403</v>
      </c>
      <c r="C94" s="5" t="s">
        <v>8</v>
      </c>
      <c r="D94" s="5" t="str">
        <f>_xlfn.IFNA(VLOOKUP(C94,Table1[],2,FALSE),"")</f>
        <v>#802AB7</v>
      </c>
      <c r="E94" s="9" t="s">
        <v>427</v>
      </c>
      <c r="F94" t="s">
        <v>282</v>
      </c>
      <c r="G94" s="4" t="s">
        <v>340</v>
      </c>
    </row>
    <row r="95" spans="1:7" x14ac:dyDescent="0.25">
      <c r="A95" s="8" t="s">
        <v>5</v>
      </c>
      <c r="B95" s="4" t="s">
        <v>393</v>
      </c>
      <c r="C95" s="5" t="s">
        <v>22</v>
      </c>
      <c r="D95" s="5" t="str">
        <f>_xlfn.IFNA(VLOOKUP(C95,Table1[],2,FALSE),"")</f>
        <v>#FA0028</v>
      </c>
      <c r="E95" s="9" t="s">
        <v>453</v>
      </c>
      <c r="F95" t="s">
        <v>279</v>
      </c>
      <c r="G95" s="4" t="s">
        <v>318</v>
      </c>
    </row>
  </sheetData>
  <autoFilter ref="A1:H95" xr:uid="{C9A74058-F4BE-4853-A17D-FE42B8604787}">
    <filterColumn colId="5">
      <filters>
        <filter val="Emocional"/>
      </filters>
    </filterColumn>
    <sortState xmlns:xlrd2="http://schemas.microsoft.com/office/spreadsheetml/2017/richdata2" ref="A11:H95">
      <sortCondition ref="A1:A95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B9C2D1-30AF-46BB-9CD9-7F60BCF06106}">
          <x14:formula1>
            <xm:f>CATA!$A$1:$A$4</xm:f>
          </x14:formula1>
          <xm:sqref>C1</xm:sqref>
        </x14:dataValidation>
        <x14:dataValidation type="list" allowBlank="1" showInputMessage="1" showErrorMessage="1" xr:uid="{7150EAEA-E9D5-4871-92EA-AFA967CD5B48}">
          <x14:formula1>
            <xm:f>CATA!$A:$A</xm:f>
          </x14:formula1>
          <xm:sqref>C2:C95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C8F9-41B8-4D5C-9986-A78E8FCB6462}">
  <dimension ref="A1:R95"/>
  <sheetViews>
    <sheetView topLeftCell="A25" zoomScaleNormal="100" workbookViewId="0">
      <selection activeCell="A4" sqref="A4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  <col min="12" max="12" width="35.7109375" bestFit="1" customWidth="1"/>
  </cols>
  <sheetData>
    <row r="1" spans="1:1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178</v>
      </c>
      <c r="G1" s="3" t="s">
        <v>386</v>
      </c>
      <c r="H1" t="s">
        <v>25</v>
      </c>
      <c r="Q1" t="s">
        <v>387</v>
      </c>
      <c r="R1" t="s">
        <v>388</v>
      </c>
    </row>
    <row r="2" spans="1:18" x14ac:dyDescent="0.25">
      <c r="A2" s="8" t="s">
        <v>6</v>
      </c>
      <c r="B2" s="4" t="s">
        <v>391</v>
      </c>
      <c r="C2" s="5" t="s">
        <v>8</v>
      </c>
      <c r="D2" s="5" t="str">
        <f>_xlfn.IFNA(VLOOKUP(C2,Table1[],2,FALSE),"")</f>
        <v>#802AB7</v>
      </c>
      <c r="E2" s="9" t="str">
        <f>LEFT(G2,FIND(" - ",G2))</f>
        <v xml:space="preserve">Easy to find </v>
      </c>
      <c r="F2" t="s">
        <v>283</v>
      </c>
      <c r="G2" s="9" t="s">
        <v>311</v>
      </c>
      <c r="H2" t="s">
        <v>26</v>
      </c>
      <c r="L2" s="9" t="str">
        <f>LEFT(B2,FIND(" - ",B2)-1)</f>
        <v>Accessible</v>
      </c>
      <c r="M2" t="str">
        <f>VLOOKUP(L2,Q:R,2,FALSE)</f>
        <v>Accessible - 2.4% (24.3%)</v>
      </c>
      <c r="Q2" t="s">
        <v>260</v>
      </c>
      <c r="R2" t="s">
        <v>389</v>
      </c>
    </row>
    <row r="3" spans="1:18" x14ac:dyDescent="0.25">
      <c r="A3" s="8" t="s">
        <v>6</v>
      </c>
      <c r="B3" s="4" t="s">
        <v>391</v>
      </c>
      <c r="C3" s="5" t="s">
        <v>8</v>
      </c>
      <c r="D3" s="5" t="str">
        <f>_xlfn.IFNA(VLOOKUP(C3,Table1[],2,FALSE),"")</f>
        <v>#802AB7</v>
      </c>
      <c r="E3" s="9" t="str">
        <f t="shared" ref="E3:E66" si="0">LEFT(G3,FIND(" - ",G3))</f>
        <v xml:space="preserve">Fair value </v>
      </c>
      <c r="F3" t="s">
        <v>283</v>
      </c>
      <c r="G3" s="9" t="s">
        <v>310</v>
      </c>
      <c r="L3" s="9" t="str">
        <f t="shared" ref="L3:L48" si="1">LEFT(B3,FIND(" - ",B3)-1)</f>
        <v>Accessible</v>
      </c>
      <c r="M3" t="str">
        <f t="shared" ref="M3:M48" si="2">VLOOKUP(L3,Q:R,2,FALSE)</f>
        <v>Accessible - 2.4% (24.3%)</v>
      </c>
      <c r="Q3" t="s">
        <v>260</v>
      </c>
      <c r="R3" t="s">
        <v>389</v>
      </c>
    </row>
    <row r="4" spans="1:18" x14ac:dyDescent="0.25">
      <c r="A4" s="8" t="s">
        <v>6</v>
      </c>
      <c r="B4" s="4" t="s">
        <v>390</v>
      </c>
      <c r="C4" s="5" t="s">
        <v>9</v>
      </c>
      <c r="D4" s="5" t="str">
        <f>_xlfn.IFNA(VLOOKUP(C4,Table1[],2,FALSE),"")</f>
        <v>#0060FF</v>
      </c>
      <c r="E4" s="9" t="str">
        <f t="shared" si="0"/>
        <v xml:space="preserve">Engaging advertising </v>
      </c>
      <c r="F4" t="s">
        <v>283</v>
      </c>
      <c r="G4" s="9" t="s">
        <v>308</v>
      </c>
      <c r="L4" s="9" t="str">
        <f t="shared" si="1"/>
        <v>Attractive deals and marketing appeal</v>
      </c>
      <c r="M4" t="str">
        <f t="shared" si="2"/>
        <v>Attractive deals and marketing appeal - 3.2% (33.0%)</v>
      </c>
      <c r="Q4" t="s">
        <v>260</v>
      </c>
      <c r="R4" t="s">
        <v>389</v>
      </c>
    </row>
    <row r="5" spans="1:18" x14ac:dyDescent="0.25">
      <c r="A5" s="8" t="s">
        <v>6</v>
      </c>
      <c r="B5" s="4" t="s">
        <v>390</v>
      </c>
      <c r="C5" s="5" t="s">
        <v>9</v>
      </c>
      <c r="D5" s="5" t="str">
        <f>_xlfn.IFNA(VLOOKUP(C5,Table1[],2,FALSE),"")</f>
        <v>#0060FF</v>
      </c>
      <c r="E5" s="9" t="str">
        <f t="shared" si="0"/>
        <v xml:space="preserve">It has offers or promotions </v>
      </c>
      <c r="F5" t="s">
        <v>283</v>
      </c>
      <c r="G5" s="9" t="s">
        <v>309</v>
      </c>
      <c r="L5" s="9" t="str">
        <f t="shared" si="1"/>
        <v>Attractive deals and marketing appeal</v>
      </c>
      <c r="M5" t="str">
        <f t="shared" si="2"/>
        <v>Attractive deals and marketing appeal - 3.2% (33.0%)</v>
      </c>
      <c r="Q5" t="s">
        <v>307</v>
      </c>
      <c r="R5" t="s">
        <v>390</v>
      </c>
    </row>
    <row r="6" spans="1:18" x14ac:dyDescent="0.25">
      <c r="A6" s="8" t="s">
        <v>6</v>
      </c>
      <c r="B6" s="4" t="s">
        <v>389</v>
      </c>
      <c r="C6" s="5" t="s">
        <v>14</v>
      </c>
      <c r="D6" s="5" t="str">
        <f>_xlfn.IFNA(VLOOKUP(C6,Table1[],2,FALSE),"")</f>
        <v>#00E5BA</v>
      </c>
      <c r="E6" s="9" t="str">
        <f t="shared" si="0"/>
        <v xml:space="preserve">Attractive packaging </v>
      </c>
      <c r="F6" t="s">
        <v>283</v>
      </c>
      <c r="G6" s="9" t="s">
        <v>306</v>
      </c>
      <c r="L6" s="9" t="str">
        <f t="shared" si="1"/>
        <v>Convenient and attractive package</v>
      </c>
      <c r="M6" t="str">
        <f t="shared" si="2"/>
        <v>Convenient and attractive package - 4.1% (42.7%)</v>
      </c>
      <c r="Q6" t="s">
        <v>307</v>
      </c>
      <c r="R6" t="s">
        <v>390</v>
      </c>
    </row>
    <row r="7" spans="1:18" x14ac:dyDescent="0.25">
      <c r="A7" s="8" t="s">
        <v>6</v>
      </c>
      <c r="B7" s="4" t="s">
        <v>389</v>
      </c>
      <c r="C7" s="5" t="s">
        <v>14</v>
      </c>
      <c r="D7" s="5" t="str">
        <f>_xlfn.IFNA(VLOOKUP(C7,Table1[],2,FALSE),"")</f>
        <v>#00E5BA</v>
      </c>
      <c r="E7" s="9" t="str">
        <f t="shared" si="0"/>
        <v xml:space="preserve">Convenient presentations </v>
      </c>
      <c r="F7" t="s">
        <v>283</v>
      </c>
      <c r="G7" s="9" t="s">
        <v>305</v>
      </c>
      <c r="L7" s="9" t="str">
        <f t="shared" si="1"/>
        <v>Convenient and attractive package</v>
      </c>
      <c r="M7" t="str">
        <f t="shared" si="2"/>
        <v>Convenient and attractive package - 4.1% (42.7%)</v>
      </c>
      <c r="Q7" t="s">
        <v>261</v>
      </c>
      <c r="R7" t="s">
        <v>391</v>
      </c>
    </row>
    <row r="8" spans="1:18" x14ac:dyDescent="0.25">
      <c r="A8" s="8" t="s">
        <v>6</v>
      </c>
      <c r="B8" s="4" t="s">
        <v>389</v>
      </c>
      <c r="C8" s="5" t="s">
        <v>14</v>
      </c>
      <c r="D8" s="5" t="str">
        <f>_xlfn.IFNA(VLOOKUP(C8,Table1[],2,FALSE),"")</f>
        <v>#00E5BA</v>
      </c>
      <c r="E8" s="9" t="str">
        <f t="shared" si="0"/>
        <v xml:space="preserve">Ideal size </v>
      </c>
      <c r="F8" t="s">
        <v>283</v>
      </c>
      <c r="G8" s="9" t="s">
        <v>304</v>
      </c>
      <c r="L8" s="9" t="str">
        <f t="shared" si="1"/>
        <v>Convenient and attractive package</v>
      </c>
      <c r="M8" t="str">
        <f t="shared" si="2"/>
        <v>Convenient and attractive package - 4.1% (42.7%)</v>
      </c>
      <c r="Q8" t="s">
        <v>261</v>
      </c>
      <c r="R8" t="s">
        <v>391</v>
      </c>
    </row>
    <row r="9" spans="1:18" x14ac:dyDescent="0.25">
      <c r="A9" s="8" t="s">
        <v>6</v>
      </c>
      <c r="B9" s="4" t="s">
        <v>397</v>
      </c>
      <c r="C9" s="5" t="s">
        <v>9</v>
      </c>
      <c r="D9" s="5" t="str">
        <f>_xlfn.IFNA(VLOOKUP(C9,Table1[],2,FALSE),"")</f>
        <v>#0060FF</v>
      </c>
      <c r="E9" s="9" t="str">
        <f t="shared" si="0"/>
        <v xml:space="preserve">Flavor </v>
      </c>
      <c r="F9" t="s">
        <v>280</v>
      </c>
      <c r="G9" s="9" t="s">
        <v>326</v>
      </c>
      <c r="L9" s="9" t="str">
        <f t="shared" si="1"/>
        <v>Delicious quality</v>
      </c>
      <c r="M9" t="str">
        <f t="shared" si="2"/>
        <v>Delicious quality - 3.9% (42.1%)</v>
      </c>
      <c r="Q9" t="s">
        <v>312</v>
      </c>
      <c r="R9" t="s">
        <v>392</v>
      </c>
    </row>
    <row r="10" spans="1:18" x14ac:dyDescent="0.25">
      <c r="A10" s="8" t="s">
        <v>6</v>
      </c>
      <c r="B10" s="4" t="s">
        <v>397</v>
      </c>
      <c r="C10" s="5" t="s">
        <v>9</v>
      </c>
      <c r="D10" s="5" t="str">
        <f>_xlfn.IFNA(VLOOKUP(C10,Table1[],2,FALSE),"")</f>
        <v>#0060FF</v>
      </c>
      <c r="E10" s="9" t="str">
        <f t="shared" si="0"/>
        <v xml:space="preserve">High quality </v>
      </c>
      <c r="F10" t="s">
        <v>280</v>
      </c>
      <c r="G10" s="9" t="s">
        <v>327</v>
      </c>
      <c r="L10" s="9" t="str">
        <f t="shared" si="1"/>
        <v>Delicious quality</v>
      </c>
      <c r="M10" t="str">
        <f t="shared" si="2"/>
        <v>Delicious quality - 3.9% (42.1%)</v>
      </c>
      <c r="Q10" t="s">
        <v>312</v>
      </c>
      <c r="R10" t="s">
        <v>392</v>
      </c>
    </row>
    <row r="11" spans="1:18" x14ac:dyDescent="0.25">
      <c r="A11" s="8" t="s">
        <v>6</v>
      </c>
      <c r="B11" s="4" t="s">
        <v>397</v>
      </c>
      <c r="C11" s="5" t="s">
        <v>9</v>
      </c>
      <c r="D11" s="5" t="str">
        <f>_xlfn.IFNA(VLOOKUP(C11,Table1[],2,FALSE),"")</f>
        <v>#0060FF</v>
      </c>
      <c r="E11" s="9" t="str">
        <f t="shared" si="0"/>
        <v xml:space="preserve">Variety of flavors </v>
      </c>
      <c r="F11" t="s">
        <v>280</v>
      </c>
      <c r="G11" s="9" t="s">
        <v>328</v>
      </c>
      <c r="L11" s="9" t="str">
        <f t="shared" si="1"/>
        <v>Delicious quality</v>
      </c>
      <c r="M11" t="str">
        <f t="shared" si="2"/>
        <v>Delicious quality - 3.9% (42.1%)</v>
      </c>
      <c r="Q11" t="s">
        <v>312</v>
      </c>
      <c r="R11" t="s">
        <v>392</v>
      </c>
    </row>
    <row r="12" spans="1:18" x14ac:dyDescent="0.25">
      <c r="A12" s="8" t="s">
        <v>6</v>
      </c>
      <c r="B12" s="4" t="s">
        <v>410</v>
      </c>
      <c r="C12" s="5" t="s">
        <v>9</v>
      </c>
      <c r="D12" s="5" t="str">
        <f>_xlfn.IFNA(VLOOKUP(C12,Table1[],2,FALSE),"")</f>
        <v>#0060FF</v>
      </c>
      <c r="E12" s="9" t="str">
        <f t="shared" si="0"/>
        <v xml:space="preserve">Is for when I go from one place to another </v>
      </c>
      <c r="F12" t="s">
        <v>281</v>
      </c>
      <c r="G12" s="5" t="s">
        <v>366</v>
      </c>
      <c r="L12" s="9" t="str">
        <f t="shared" si="1"/>
        <v>For commuting</v>
      </c>
      <c r="M12" t="str">
        <f t="shared" si="2"/>
        <v>For commuting - 0.5% (4.6%)</v>
      </c>
      <c r="Q12" t="s">
        <v>312</v>
      </c>
      <c r="R12" t="s">
        <v>392</v>
      </c>
    </row>
    <row r="13" spans="1:18" x14ac:dyDescent="0.25">
      <c r="A13" s="8" t="s">
        <v>6</v>
      </c>
      <c r="B13" s="4" t="s">
        <v>409</v>
      </c>
      <c r="C13" s="5" t="s">
        <v>11</v>
      </c>
      <c r="D13" s="5" t="str">
        <f>_xlfn.IFNA(VLOOKUP(C13,Table1[],2,FALSE),"")</f>
        <v>#AEAE9F</v>
      </c>
      <c r="E13" s="9" t="str">
        <f t="shared" si="0"/>
        <v xml:space="preserve">Related to moments of entertainment </v>
      </c>
      <c r="F13" t="s">
        <v>281</v>
      </c>
      <c r="G13" s="4" t="s">
        <v>365</v>
      </c>
      <c r="L13" s="9" t="str">
        <f t="shared" si="1"/>
        <v>For entertainment</v>
      </c>
      <c r="M13" t="str">
        <f t="shared" si="2"/>
        <v>For entertainment - 0.6% (6.0%)</v>
      </c>
      <c r="Q13" t="s">
        <v>265</v>
      </c>
      <c r="R13" t="s">
        <v>393</v>
      </c>
    </row>
    <row r="14" spans="1:18" x14ac:dyDescent="0.25">
      <c r="A14" s="8" t="s">
        <v>6</v>
      </c>
      <c r="B14" s="4" t="s">
        <v>403</v>
      </c>
      <c r="C14" s="5" t="s">
        <v>8</v>
      </c>
      <c r="D14" s="5" t="str">
        <f>_xlfn.IFNA(VLOOKUP(C14,Table1[],2,FALSE),"")</f>
        <v>#802AB7</v>
      </c>
      <c r="E14" s="9" t="str">
        <f t="shared" si="0"/>
        <v xml:space="preserve">For someone like me </v>
      </c>
      <c r="F14" t="s">
        <v>282</v>
      </c>
      <c r="G14" s="4" t="s">
        <v>341</v>
      </c>
      <c r="L14" s="9" t="str">
        <f t="shared" si="1"/>
        <v>For me to indulge</v>
      </c>
      <c r="M14" t="str">
        <f t="shared" si="2"/>
        <v>For me to indulge - 6.1% (52.4%)</v>
      </c>
      <c r="Q14" t="s">
        <v>265</v>
      </c>
      <c r="R14" t="s">
        <v>393</v>
      </c>
    </row>
    <row r="15" spans="1:18" x14ac:dyDescent="0.25">
      <c r="A15" s="8" t="s">
        <v>6</v>
      </c>
      <c r="B15" s="4" t="s">
        <v>403</v>
      </c>
      <c r="C15" s="5" t="s">
        <v>8</v>
      </c>
      <c r="D15" s="5" t="str">
        <f>_xlfn.IFNA(VLOOKUP(C15,Table1[],2,FALSE),"")</f>
        <v>#802AB7</v>
      </c>
      <c r="E15" s="9" t="str">
        <f t="shared" si="0"/>
        <v xml:space="preserve">When I want to treat myself </v>
      </c>
      <c r="F15" t="s">
        <v>282</v>
      </c>
      <c r="G15" s="4" t="s">
        <v>340</v>
      </c>
      <c r="L15" s="9" t="str">
        <f t="shared" si="1"/>
        <v>For me to indulge</v>
      </c>
      <c r="M15" t="str">
        <f t="shared" si="2"/>
        <v>For me to indulge - 6.1% (52.4%)</v>
      </c>
      <c r="Q15" t="s">
        <v>265</v>
      </c>
      <c r="R15" t="s">
        <v>393</v>
      </c>
    </row>
    <row r="16" spans="1:18" x14ac:dyDescent="0.25">
      <c r="A16" s="8" t="s">
        <v>6</v>
      </c>
      <c r="B16" s="4" t="s">
        <v>408</v>
      </c>
      <c r="C16" s="5" t="s">
        <v>14</v>
      </c>
      <c r="D16" s="5" t="str">
        <f>_xlfn.IFNA(VLOOKUP(C16,Table1[],2,FALSE),"")</f>
        <v>#00E5BA</v>
      </c>
      <c r="E16" s="9" t="str">
        <f t="shared" si="0"/>
        <v xml:space="preserve">For everyday </v>
      </c>
      <c r="F16" t="s">
        <v>281</v>
      </c>
      <c r="G16" s="4" t="s">
        <v>364</v>
      </c>
      <c r="L16" s="9" t="str">
        <f t="shared" si="1"/>
        <v>For my daily routine</v>
      </c>
      <c r="M16" t="str">
        <f t="shared" si="2"/>
        <v>For my daily routine - 1.5% (15.6%)</v>
      </c>
      <c r="Q16" t="s">
        <v>320</v>
      </c>
      <c r="R16" t="s">
        <v>394</v>
      </c>
    </row>
    <row r="17" spans="1:18" x14ac:dyDescent="0.25">
      <c r="A17" s="8" t="s">
        <v>6</v>
      </c>
      <c r="B17" s="4" t="s">
        <v>408</v>
      </c>
      <c r="C17" s="5" t="s">
        <v>14</v>
      </c>
      <c r="D17" s="5" t="str">
        <f>_xlfn.IFNA(VLOOKUP(C17,Table1[],2,FALSE),"")</f>
        <v>#00E5BA</v>
      </c>
      <c r="E17" s="9" t="str">
        <f t="shared" si="0"/>
        <v xml:space="preserve">For enjoying when I am alone </v>
      </c>
      <c r="F17" t="s">
        <v>281</v>
      </c>
      <c r="G17" s="4" t="s">
        <v>363</v>
      </c>
      <c r="L17" s="9" t="str">
        <f t="shared" si="1"/>
        <v>For my daily routine</v>
      </c>
      <c r="M17" t="str">
        <f t="shared" si="2"/>
        <v>For my daily routine - 1.5% (15.6%)</v>
      </c>
      <c r="Q17" t="s">
        <v>322</v>
      </c>
      <c r="R17" t="s">
        <v>395</v>
      </c>
    </row>
    <row r="18" spans="1:18" x14ac:dyDescent="0.25">
      <c r="A18" s="8" t="s">
        <v>6</v>
      </c>
      <c r="B18" s="4" t="s">
        <v>406</v>
      </c>
      <c r="C18" s="5" t="s">
        <v>16</v>
      </c>
      <c r="D18" s="5" t="str">
        <f>_xlfn.IFNA(VLOOKUP(C18,Table1[],2,FALSE),"")</f>
        <v>#00B600</v>
      </c>
      <c r="E18" s="9" t="str">
        <f t="shared" si="0"/>
        <v xml:space="preserve">To accompany meals </v>
      </c>
      <c r="F18" t="s">
        <v>281</v>
      </c>
      <c r="G18" s="9" t="s">
        <v>360</v>
      </c>
      <c r="L18" s="9" t="str">
        <f t="shared" si="1"/>
        <v>For sharing at meals</v>
      </c>
      <c r="M18" t="str">
        <f t="shared" si="2"/>
        <v>For sharing at meals - 4.7% (47.4%)</v>
      </c>
      <c r="Q18" t="s">
        <v>263</v>
      </c>
      <c r="R18" t="s">
        <v>396</v>
      </c>
    </row>
    <row r="19" spans="1:18" x14ac:dyDescent="0.25">
      <c r="A19" s="8" t="s">
        <v>6</v>
      </c>
      <c r="B19" s="4" t="s">
        <v>406</v>
      </c>
      <c r="C19" s="5" t="s">
        <v>16</v>
      </c>
      <c r="D19" s="5" t="str">
        <f>_xlfn.IFNA(VLOOKUP(C19,Table1[],2,FALSE),"")</f>
        <v>#00B600</v>
      </c>
      <c r="E19" s="9" t="str">
        <f t="shared" si="0"/>
        <v xml:space="preserve">To share with friends </v>
      </c>
      <c r="F19" t="s">
        <v>281</v>
      </c>
      <c r="G19" s="9" t="s">
        <v>358</v>
      </c>
      <c r="L19" s="9" t="str">
        <f t="shared" si="1"/>
        <v>For sharing at meals</v>
      </c>
      <c r="M19" t="str">
        <f t="shared" si="2"/>
        <v>For sharing at meals - 4.7% (47.4%)</v>
      </c>
      <c r="Q19" t="s">
        <v>263</v>
      </c>
      <c r="R19" t="s">
        <v>396</v>
      </c>
    </row>
    <row r="20" spans="1:18" x14ac:dyDescent="0.25">
      <c r="A20" s="8" t="s">
        <v>6</v>
      </c>
      <c r="B20" s="4" t="s">
        <v>406</v>
      </c>
      <c r="C20" s="5" t="s">
        <v>16</v>
      </c>
      <c r="D20" s="5" t="str">
        <f>_xlfn.IFNA(VLOOKUP(C20,Table1[],2,FALSE),"")</f>
        <v>#00B600</v>
      </c>
      <c r="E20" s="9" t="str">
        <f t="shared" si="0"/>
        <v xml:space="preserve">To share with the whole family </v>
      </c>
      <c r="F20" t="s">
        <v>281</v>
      </c>
      <c r="G20" s="9" t="s">
        <v>359</v>
      </c>
      <c r="L20" s="9" t="str">
        <f t="shared" si="1"/>
        <v>For sharing at meals</v>
      </c>
      <c r="M20" t="str">
        <f t="shared" si="2"/>
        <v>For sharing at meals - 4.7% (47.4%)</v>
      </c>
      <c r="Q20" t="s">
        <v>266</v>
      </c>
      <c r="R20" t="s">
        <v>397</v>
      </c>
    </row>
    <row r="21" spans="1:18" x14ac:dyDescent="0.25">
      <c r="A21" s="8" t="s">
        <v>6</v>
      </c>
      <c r="B21" s="4" t="s">
        <v>398</v>
      </c>
      <c r="C21" s="5" t="s">
        <v>11</v>
      </c>
      <c r="D21" s="5" t="str">
        <f>_xlfn.IFNA(VLOOKUP(C21,Table1[],2,FALSE),"")</f>
        <v>#AEAE9F</v>
      </c>
      <c r="E21" s="9" t="str">
        <f t="shared" si="0"/>
        <v xml:space="preserve">Light and balanced </v>
      </c>
      <c r="F21" t="s">
        <v>280</v>
      </c>
      <c r="G21" s="4" t="s">
        <v>330</v>
      </c>
      <c r="L21" s="9" t="str">
        <f t="shared" si="1"/>
        <v>Light and pleasant recharge</v>
      </c>
      <c r="M21" t="str">
        <f t="shared" si="2"/>
        <v>Light and pleasant recharge - 2.3% (25.2%)</v>
      </c>
      <c r="Q21" t="s">
        <v>266</v>
      </c>
      <c r="R21" t="s">
        <v>397</v>
      </c>
    </row>
    <row r="22" spans="1:18" x14ac:dyDescent="0.25">
      <c r="A22" s="8" t="s">
        <v>6</v>
      </c>
      <c r="B22" s="4" t="s">
        <v>398</v>
      </c>
      <c r="C22" s="5" t="s">
        <v>11</v>
      </c>
      <c r="D22" s="5" t="str">
        <f>_xlfn.IFNA(VLOOKUP(C22,Table1[],2,FALSE),"")</f>
        <v>#AEAE9F</v>
      </c>
      <c r="E22" s="9" t="str">
        <f t="shared" si="0"/>
        <v xml:space="preserve">Leaves a pleasant sensation </v>
      </c>
      <c r="F22" t="s">
        <v>280</v>
      </c>
      <c r="G22" s="9" t="s">
        <v>329</v>
      </c>
      <c r="L22" s="9" t="str">
        <f t="shared" si="1"/>
        <v>Light and pleasant recharge</v>
      </c>
      <c r="M22" t="str">
        <f t="shared" si="2"/>
        <v>Light and pleasant recharge - 2.3% (25.2%)</v>
      </c>
      <c r="Q22" t="s">
        <v>266</v>
      </c>
      <c r="R22" t="s">
        <v>397</v>
      </c>
    </row>
    <row r="23" spans="1:18" x14ac:dyDescent="0.25">
      <c r="A23" s="8" t="s">
        <v>6</v>
      </c>
      <c r="B23" s="4" t="s">
        <v>398</v>
      </c>
      <c r="C23" s="5" t="s">
        <v>11</v>
      </c>
      <c r="D23" s="5" t="str">
        <f>_xlfn.IFNA(VLOOKUP(C23,Table1[],2,FALSE),"")</f>
        <v>#AEAE9F</v>
      </c>
      <c r="E23" s="9" t="str">
        <f t="shared" si="0"/>
        <v xml:space="preserve">Recharges you with energy </v>
      </c>
      <c r="F23" t="s">
        <v>280</v>
      </c>
      <c r="G23" s="9" t="s">
        <v>331</v>
      </c>
      <c r="L23" s="9" t="str">
        <f t="shared" si="1"/>
        <v>Light and pleasant recharge</v>
      </c>
      <c r="M23" t="str">
        <f t="shared" si="2"/>
        <v>Light and pleasant recharge - 2.3% (25.2%)</v>
      </c>
      <c r="Q23" t="s">
        <v>300</v>
      </c>
      <c r="R23" t="s">
        <v>398</v>
      </c>
    </row>
    <row r="24" spans="1:18" x14ac:dyDescent="0.25">
      <c r="A24" s="8" t="s">
        <v>6</v>
      </c>
      <c r="B24" s="4" t="s">
        <v>402</v>
      </c>
      <c r="C24" s="5" t="s">
        <v>14</v>
      </c>
      <c r="D24" s="5" t="str">
        <f>_xlfn.IFNA(VLOOKUP(C24,Table1[],2,FALSE),"")</f>
        <v>#00E5BA</v>
      </c>
      <c r="E24" s="9" t="str">
        <f t="shared" si="0"/>
        <v xml:space="preserve">Mixer </v>
      </c>
      <c r="F24" t="s">
        <v>280</v>
      </c>
      <c r="G24" s="9" t="s">
        <v>339</v>
      </c>
      <c r="L24" s="9" t="str">
        <f t="shared" si="1"/>
        <v>Mixology</v>
      </c>
      <c r="M24" t="str">
        <f t="shared" si="2"/>
        <v>Mixology - 0.2% (1.9%)</v>
      </c>
      <c r="Q24" t="s">
        <v>300</v>
      </c>
      <c r="R24" t="s">
        <v>398</v>
      </c>
    </row>
    <row r="25" spans="1:18" x14ac:dyDescent="0.25">
      <c r="A25" s="8" t="s">
        <v>6</v>
      </c>
      <c r="B25" s="4" t="s">
        <v>404</v>
      </c>
      <c r="C25" s="5" t="s">
        <v>9</v>
      </c>
      <c r="D25" s="5" t="str">
        <f>_xlfn.IFNA(VLOOKUP(C25,Table1[],2,FALSE),"")</f>
        <v>#0060FF</v>
      </c>
      <c r="E25" s="9" t="str">
        <f t="shared" si="0"/>
        <v xml:space="preserve">Innovative </v>
      </c>
      <c r="F25" t="s">
        <v>282</v>
      </c>
      <c r="G25" s="5" t="s">
        <v>342</v>
      </c>
      <c r="L25" s="9" t="str">
        <f t="shared" si="1"/>
        <v>Modern and innovative</v>
      </c>
      <c r="M25" t="str">
        <f t="shared" si="2"/>
        <v>Modern and innovative - 3.1% (26.6%)</v>
      </c>
      <c r="Q25" t="s">
        <v>300</v>
      </c>
      <c r="R25" t="s">
        <v>398</v>
      </c>
    </row>
    <row r="26" spans="1:18" x14ac:dyDescent="0.25">
      <c r="A26" s="8" t="s">
        <v>6</v>
      </c>
      <c r="B26" s="4" t="s">
        <v>404</v>
      </c>
      <c r="C26" s="5" t="s">
        <v>9</v>
      </c>
      <c r="D26" s="5" t="str">
        <f>_xlfn.IFNA(VLOOKUP(C26,Table1[],2,FALSE),"")</f>
        <v>#0060FF</v>
      </c>
      <c r="E26" s="9" t="str">
        <f t="shared" si="0"/>
        <v xml:space="preserve">Modern </v>
      </c>
      <c r="F26" t="s">
        <v>282</v>
      </c>
      <c r="G26" s="4" t="s">
        <v>343</v>
      </c>
      <c r="L26" s="9" t="str">
        <f t="shared" si="1"/>
        <v>Modern and innovative</v>
      </c>
      <c r="M26" t="str">
        <f t="shared" si="2"/>
        <v>Modern and innovative - 3.1% (26.6%)</v>
      </c>
      <c r="Q26" t="s">
        <v>276</v>
      </c>
      <c r="R26" t="s">
        <v>399</v>
      </c>
    </row>
    <row r="27" spans="1:18" x14ac:dyDescent="0.25">
      <c r="A27" s="8" t="s">
        <v>6</v>
      </c>
      <c r="B27" s="4" t="s">
        <v>392</v>
      </c>
      <c r="C27" s="5" t="s">
        <v>9</v>
      </c>
      <c r="D27" s="5" t="str">
        <f>_xlfn.IFNA(VLOOKUP(C27,Table1[],2,FALSE),"")</f>
        <v>#0060FF</v>
      </c>
      <c r="E27" s="9" t="str">
        <f t="shared" si="0"/>
        <v xml:space="preserve">Fun </v>
      </c>
      <c r="F27" t="s">
        <v>279</v>
      </c>
      <c r="G27" s="9" t="s">
        <v>313</v>
      </c>
      <c r="L27" s="9" t="str">
        <f t="shared" si="1"/>
        <v>My fun rebellious childhood</v>
      </c>
      <c r="M27" t="str">
        <f t="shared" si="2"/>
        <v>My fun rebellious childhood - 3.0% (38.8%)</v>
      </c>
      <c r="Q27" t="s">
        <v>276</v>
      </c>
      <c r="R27" t="s">
        <v>399</v>
      </c>
    </row>
    <row r="28" spans="1:18" x14ac:dyDescent="0.25">
      <c r="A28" s="8" t="s">
        <v>6</v>
      </c>
      <c r="B28" s="4" t="s">
        <v>392</v>
      </c>
      <c r="C28" s="5" t="s">
        <v>9</v>
      </c>
      <c r="D28" s="5" t="str">
        <f>_xlfn.IFNA(VLOOKUP(C28,Table1[],2,FALSE),"")</f>
        <v>#0060FF</v>
      </c>
      <c r="E28" s="9" t="str">
        <f t="shared" si="0"/>
        <v xml:space="preserve">Rebellious irreverent style </v>
      </c>
      <c r="F28" t="s">
        <v>279</v>
      </c>
      <c r="G28" s="9" t="s">
        <v>316</v>
      </c>
      <c r="L28" s="9" t="str">
        <f t="shared" si="1"/>
        <v>My fun rebellious childhood</v>
      </c>
      <c r="M28" t="str">
        <f t="shared" si="2"/>
        <v>My fun rebellious childhood - 3.0% (38.8%)</v>
      </c>
      <c r="Q28" t="s">
        <v>276</v>
      </c>
      <c r="R28" t="s">
        <v>399</v>
      </c>
    </row>
    <row r="29" spans="1:18" x14ac:dyDescent="0.25">
      <c r="A29" s="8" t="s">
        <v>6</v>
      </c>
      <c r="B29" s="4" t="s">
        <v>392</v>
      </c>
      <c r="C29" s="5" t="s">
        <v>9</v>
      </c>
      <c r="D29" s="5" t="str">
        <f>_xlfn.IFNA(VLOOKUP(C29,Table1[],2,FALSE),"")</f>
        <v>#0060FF</v>
      </c>
      <c r="E29" s="9" t="str">
        <f t="shared" si="0"/>
        <v xml:space="preserve">Remember your childhood </v>
      </c>
      <c r="F29" t="s">
        <v>279</v>
      </c>
      <c r="G29" s="5" t="s">
        <v>315</v>
      </c>
      <c r="L29" s="9" t="str">
        <f t="shared" si="1"/>
        <v>My fun rebellious childhood</v>
      </c>
      <c r="M29" t="str">
        <f t="shared" si="2"/>
        <v>My fun rebellious childhood - 3.0% (38.8%)</v>
      </c>
      <c r="Q29" t="s">
        <v>301</v>
      </c>
      <c r="R29" t="s">
        <v>400</v>
      </c>
    </row>
    <row r="30" spans="1:18" x14ac:dyDescent="0.25">
      <c r="A30" s="8" t="s">
        <v>6</v>
      </c>
      <c r="B30" s="4" t="s">
        <v>392</v>
      </c>
      <c r="C30" s="5" t="s">
        <v>9</v>
      </c>
      <c r="D30" s="5" t="str">
        <f>_xlfn.IFNA(VLOOKUP(C30,Table1[],2,FALSE),"")</f>
        <v>#0060FF</v>
      </c>
      <c r="E30" s="9" t="str">
        <f t="shared" si="0"/>
        <v xml:space="preserve">You identify </v>
      </c>
      <c r="F30" t="s">
        <v>279</v>
      </c>
      <c r="G30" s="9" t="s">
        <v>314</v>
      </c>
      <c r="L30" s="9" t="str">
        <f t="shared" si="1"/>
        <v>My fun rebellious childhood</v>
      </c>
      <c r="M30" t="str">
        <f t="shared" si="2"/>
        <v>My fun rebellious childhood - 3.0% (38.8%)</v>
      </c>
      <c r="Q30" t="s">
        <v>299</v>
      </c>
      <c r="R30" t="s">
        <v>401</v>
      </c>
    </row>
    <row r="31" spans="1:18" x14ac:dyDescent="0.25">
      <c r="A31" s="8" t="s">
        <v>6</v>
      </c>
      <c r="B31" s="4" t="s">
        <v>399</v>
      </c>
      <c r="C31" s="5" t="s">
        <v>16</v>
      </c>
      <c r="D31" s="5" t="str">
        <f>_xlfn.IFNA(VLOOKUP(C31,Table1[],2,FALSE),"")</f>
        <v>#00B600</v>
      </c>
      <c r="E31" s="9" t="str">
        <f t="shared" si="0"/>
        <v xml:space="preserve">Natural flavor </v>
      </c>
      <c r="F31" t="s">
        <v>280</v>
      </c>
      <c r="G31" s="9" t="s">
        <v>332</v>
      </c>
      <c r="L31" s="9" t="str">
        <f t="shared" si="1"/>
        <v>Natural ingredients</v>
      </c>
      <c r="M31" t="str">
        <f t="shared" si="2"/>
        <v>Natural ingredients - 1.3% (14.1%)</v>
      </c>
      <c r="Q31" t="s">
        <v>299</v>
      </c>
      <c r="R31" t="s">
        <v>401</v>
      </c>
    </row>
    <row r="32" spans="1:18" x14ac:dyDescent="0.25">
      <c r="A32" s="8" t="s">
        <v>6</v>
      </c>
      <c r="B32" s="4" t="s">
        <v>399</v>
      </c>
      <c r="C32" s="5" t="s">
        <v>16</v>
      </c>
      <c r="D32" s="5" t="str">
        <f>_xlfn.IFNA(VLOOKUP(C32,Table1[],2,FALSE),"")</f>
        <v>#00B600</v>
      </c>
      <c r="E32" s="9" t="str">
        <f t="shared" si="0"/>
        <v xml:space="preserve">Natural ingredients </v>
      </c>
      <c r="F32" t="s">
        <v>280</v>
      </c>
      <c r="G32" s="4" t="s">
        <v>334</v>
      </c>
      <c r="L32" s="9" t="str">
        <f t="shared" si="1"/>
        <v>Natural ingredients</v>
      </c>
      <c r="M32" t="str">
        <f t="shared" si="2"/>
        <v>Natural ingredients - 1.3% (14.1%)</v>
      </c>
      <c r="Q32" t="s">
        <v>299</v>
      </c>
      <c r="R32" t="s">
        <v>401</v>
      </c>
    </row>
    <row r="33" spans="1:18" x14ac:dyDescent="0.25">
      <c r="A33" s="8" t="s">
        <v>6</v>
      </c>
      <c r="B33" s="4" t="s">
        <v>399</v>
      </c>
      <c r="C33" s="5" t="s">
        <v>16</v>
      </c>
      <c r="D33" s="5" t="str">
        <f>_xlfn.IFNA(VLOOKUP(C33,Table1[],2,FALSE),"")</f>
        <v>#00B600</v>
      </c>
      <c r="E33" s="9" t="str">
        <f t="shared" si="0"/>
        <v xml:space="preserve">Tastes more like fruit </v>
      </c>
      <c r="F33" t="s">
        <v>280</v>
      </c>
      <c r="G33" s="5" t="s">
        <v>333</v>
      </c>
      <c r="L33" s="9" t="str">
        <f t="shared" si="1"/>
        <v>Natural ingredients</v>
      </c>
      <c r="M33" t="str">
        <f t="shared" si="2"/>
        <v>Natural ingredients - 1.3% (14.1%)</v>
      </c>
      <c r="Q33" t="s">
        <v>267</v>
      </c>
      <c r="R33" t="s">
        <v>402</v>
      </c>
    </row>
    <row r="34" spans="1:18" x14ac:dyDescent="0.25">
      <c r="A34" s="8" t="s">
        <v>6</v>
      </c>
      <c r="B34" s="4" t="s">
        <v>396</v>
      </c>
      <c r="C34" s="5" t="s">
        <v>11</v>
      </c>
      <c r="D34" s="5" t="str">
        <f>_xlfn.IFNA(VLOOKUP(C34,Table1[],2,FALSE),"")</f>
        <v>#AEAE9F</v>
      </c>
      <c r="E34" s="9" t="str">
        <f t="shared" si="0"/>
        <v xml:space="preserve">Great career </v>
      </c>
      <c r="F34" t="s">
        <v>279</v>
      </c>
      <c r="G34" s="9" t="s">
        <v>325</v>
      </c>
      <c r="L34" s="9" t="str">
        <f t="shared" si="1"/>
        <v>Popular</v>
      </c>
      <c r="M34" t="str">
        <f t="shared" si="2"/>
        <v>Popular - 0.2% (3.0%)</v>
      </c>
      <c r="Q34" t="s">
        <v>273</v>
      </c>
      <c r="R34" t="s">
        <v>403</v>
      </c>
    </row>
    <row r="35" spans="1:18" x14ac:dyDescent="0.25">
      <c r="A35" s="8" t="s">
        <v>6</v>
      </c>
      <c r="B35" s="4" t="s">
        <v>396</v>
      </c>
      <c r="C35" s="5" t="s">
        <v>11</v>
      </c>
      <c r="D35" s="5" t="str">
        <f>_xlfn.IFNA(VLOOKUP(C35,Table1[],2,FALSE),"")</f>
        <v>#AEAE9F</v>
      </c>
      <c r="E35" s="9" t="str">
        <f t="shared" si="0"/>
        <v xml:space="preserve">It is popular </v>
      </c>
      <c r="F35" t="s">
        <v>279</v>
      </c>
      <c r="G35" s="9" t="s">
        <v>324</v>
      </c>
      <c r="L35" s="9" t="str">
        <f t="shared" si="1"/>
        <v>Popular</v>
      </c>
      <c r="M35" t="str">
        <f t="shared" si="2"/>
        <v>Popular - 0.2% (3.0%)</v>
      </c>
      <c r="Q35" t="s">
        <v>273</v>
      </c>
      <c r="R35" t="s">
        <v>403</v>
      </c>
    </row>
    <row r="36" spans="1:18" x14ac:dyDescent="0.25">
      <c r="A36" s="8" t="s">
        <v>6</v>
      </c>
      <c r="B36" s="4" t="s">
        <v>405</v>
      </c>
      <c r="C36" s="5" t="s">
        <v>16</v>
      </c>
      <c r="D36" s="5" t="str">
        <f>_xlfn.IFNA(VLOOKUP(C36,Table1[],2,FALSE),"")</f>
        <v>#00B600</v>
      </c>
      <c r="E36" s="9" t="str">
        <f t="shared" si="0"/>
        <v xml:space="preserve">Helps you see the good side of life </v>
      </c>
      <c r="F36" t="s">
        <v>282</v>
      </c>
      <c r="G36" s="4" t="s">
        <v>345</v>
      </c>
      <c r="L36" s="9" t="str">
        <f t="shared" si="1"/>
        <v>Positive identity</v>
      </c>
      <c r="M36" t="str">
        <f t="shared" si="2"/>
        <v>Positive identity - 2.5% (21.0%)</v>
      </c>
      <c r="Q36" t="s">
        <v>272</v>
      </c>
      <c r="R36" t="s">
        <v>404</v>
      </c>
    </row>
    <row r="37" spans="1:18" x14ac:dyDescent="0.25">
      <c r="A37" s="8" t="s">
        <v>6</v>
      </c>
      <c r="B37" s="4" t="s">
        <v>405</v>
      </c>
      <c r="C37" s="5" t="s">
        <v>16</v>
      </c>
      <c r="D37" s="5" t="str">
        <f>_xlfn.IFNA(VLOOKUP(C37,Table1[],2,FALSE),"")</f>
        <v>#00B600</v>
      </c>
      <c r="E37" s="9" t="str">
        <f t="shared" si="0"/>
        <v xml:space="preserve">I like to be seen consuming it </v>
      </c>
      <c r="F37" t="s">
        <v>282</v>
      </c>
      <c r="G37" s="4" t="s">
        <v>344</v>
      </c>
      <c r="L37" s="9" t="str">
        <f t="shared" si="1"/>
        <v>Positive identity</v>
      </c>
      <c r="M37" t="str">
        <f t="shared" si="2"/>
        <v>Positive identity - 2.5% (21.0%)</v>
      </c>
      <c r="Q37" t="s">
        <v>272</v>
      </c>
      <c r="R37" t="s">
        <v>404</v>
      </c>
    </row>
    <row r="38" spans="1:18" x14ac:dyDescent="0.25">
      <c r="A38" s="8" t="s">
        <v>6</v>
      </c>
      <c r="B38" s="4" t="s">
        <v>400</v>
      </c>
      <c r="C38" s="5" t="s">
        <v>20</v>
      </c>
      <c r="D38" s="5" t="str">
        <f>_xlfn.IFNA(VLOOKUP(C38,Table1[],2,FALSE),"")</f>
        <v>#FF5000</v>
      </c>
      <c r="E38" s="9" t="str">
        <f t="shared" si="0"/>
        <v xml:space="preserve">Helps you relax your body and mind </v>
      </c>
      <c r="F38" t="s">
        <v>280</v>
      </c>
      <c r="G38" s="9" t="s">
        <v>335</v>
      </c>
      <c r="L38" s="9" t="str">
        <f t="shared" si="1"/>
        <v>Relaxation</v>
      </c>
      <c r="M38" t="str">
        <f t="shared" si="2"/>
        <v>Relaxation - 1.3% (13.7%)</v>
      </c>
      <c r="Q38" t="s">
        <v>271</v>
      </c>
      <c r="R38" t="s">
        <v>405</v>
      </c>
    </row>
    <row r="39" spans="1:18" x14ac:dyDescent="0.25">
      <c r="A39" s="8" t="s">
        <v>6</v>
      </c>
      <c r="B39" s="4" t="s">
        <v>395</v>
      </c>
      <c r="C39" s="5" t="s">
        <v>14</v>
      </c>
      <c r="D39" s="5" t="str">
        <f>_xlfn.IFNA(VLOOKUP(C39,Table1[],2,FALSE),"")</f>
        <v>#00E5BA</v>
      </c>
      <c r="E39" s="9" t="str">
        <f t="shared" si="0"/>
        <v xml:space="preserve">Reliable </v>
      </c>
      <c r="F39" t="s">
        <v>279</v>
      </c>
      <c r="G39" s="4" t="s">
        <v>323</v>
      </c>
      <c r="L39" s="9" t="str">
        <f t="shared" si="1"/>
        <v>Reliable</v>
      </c>
      <c r="M39" t="str">
        <f t="shared" si="2"/>
        <v>Reliable - 1.1% (14.5%)</v>
      </c>
      <c r="Q39" t="s">
        <v>271</v>
      </c>
      <c r="R39" t="s">
        <v>405</v>
      </c>
    </row>
    <row r="40" spans="1:18" x14ac:dyDescent="0.25">
      <c r="A40" s="8" t="s">
        <v>6</v>
      </c>
      <c r="B40" s="4" t="s">
        <v>394</v>
      </c>
      <c r="C40" s="5" t="s">
        <v>16</v>
      </c>
      <c r="D40" s="5" t="str">
        <f>_xlfn.IFNA(VLOOKUP(C40,Table1[],2,FALSE),"")</f>
        <v>#00B600</v>
      </c>
      <c r="E40" s="9" t="str">
        <f t="shared" si="0"/>
        <v xml:space="preserve">It is sophisticated </v>
      </c>
      <c r="F40" t="s">
        <v>279</v>
      </c>
      <c r="G40" s="9" t="s">
        <v>321</v>
      </c>
      <c r="L40" s="9" t="str">
        <f t="shared" si="1"/>
        <v>Sophisticated</v>
      </c>
      <c r="M40" t="str">
        <f t="shared" si="2"/>
        <v>Sophisticated - 1.2% (15.9%)</v>
      </c>
      <c r="Q40" t="s">
        <v>346</v>
      </c>
      <c r="R40" t="s">
        <v>347</v>
      </c>
    </row>
    <row r="41" spans="1:18" x14ac:dyDescent="0.25">
      <c r="A41" s="8" t="s">
        <v>6</v>
      </c>
      <c r="B41" s="4" t="s">
        <v>407</v>
      </c>
      <c r="C41" s="5" t="s">
        <v>17</v>
      </c>
      <c r="D41" s="5" t="str">
        <f>_xlfn.IFNA(VLOOKUP(C41,Table1[],2,FALSE),"")</f>
        <v>#FEDB00</v>
      </c>
      <c r="E41" s="9" t="str">
        <f t="shared" si="0"/>
        <v xml:space="preserve">Is for a celebratory occasion </v>
      </c>
      <c r="F41" t="s">
        <v>281</v>
      </c>
      <c r="G41" s="9" t="s">
        <v>362</v>
      </c>
      <c r="L41" s="9" t="str">
        <f t="shared" si="1"/>
        <v>Special occasions</v>
      </c>
      <c r="M41" t="str">
        <f t="shared" si="2"/>
        <v>Special occasions - 2.6% (26.3%)</v>
      </c>
      <c r="Q41" t="s">
        <v>348</v>
      </c>
      <c r="R41" t="s">
        <v>349</v>
      </c>
    </row>
    <row r="42" spans="1:18" x14ac:dyDescent="0.25">
      <c r="A42" s="8" t="s">
        <v>6</v>
      </c>
      <c r="B42" s="4" t="s">
        <v>407</v>
      </c>
      <c r="C42" s="5" t="s">
        <v>17</v>
      </c>
      <c r="D42" s="5" t="str">
        <f>_xlfn.IFNA(VLOOKUP(C42,Table1[],2,FALSE),"")</f>
        <v>#FEDB00</v>
      </c>
      <c r="E42" s="9" t="str">
        <f t="shared" si="0"/>
        <v xml:space="preserve">To enhance moments </v>
      </c>
      <c r="F42" t="s">
        <v>281</v>
      </c>
      <c r="G42" s="9" t="s">
        <v>361</v>
      </c>
      <c r="L42" s="9" t="str">
        <f t="shared" si="1"/>
        <v>Special occasions</v>
      </c>
      <c r="M42" t="str">
        <f t="shared" si="2"/>
        <v>Special occasions - 2.6% (26.3%)</v>
      </c>
      <c r="Q42" t="s">
        <v>350</v>
      </c>
      <c r="R42" t="s">
        <v>351</v>
      </c>
    </row>
    <row r="43" spans="1:18" x14ac:dyDescent="0.25">
      <c r="A43" s="8" t="s">
        <v>6</v>
      </c>
      <c r="B43" s="4" t="s">
        <v>393</v>
      </c>
      <c r="C43" s="5" t="s">
        <v>22</v>
      </c>
      <c r="D43" s="5" t="str">
        <f>_xlfn.IFNA(VLOOKUP(C43,Table1[],2,FALSE),"")</f>
        <v>#FA0028</v>
      </c>
      <c r="E43" s="9" t="str">
        <f t="shared" si="0"/>
        <v xml:space="preserve">Irresistible </v>
      </c>
      <c r="F43" t="s">
        <v>279</v>
      </c>
      <c r="G43" s="9" t="s">
        <v>317</v>
      </c>
      <c r="L43" s="9" t="str">
        <f t="shared" si="1"/>
        <v>Unique irresistible sensation</v>
      </c>
      <c r="M43" t="str">
        <f t="shared" si="2"/>
        <v>Unique irresistible sensation - 2.1% (27.9%)</v>
      </c>
      <c r="Q43" t="s">
        <v>352</v>
      </c>
      <c r="R43" t="s">
        <v>353</v>
      </c>
    </row>
    <row r="44" spans="1:18" x14ac:dyDescent="0.25">
      <c r="A44" s="8" t="s">
        <v>6</v>
      </c>
      <c r="B44" s="4" t="s">
        <v>393</v>
      </c>
      <c r="C44" s="5" t="s">
        <v>22</v>
      </c>
      <c r="D44" s="5" t="str">
        <f>_xlfn.IFNA(VLOOKUP(C44,Table1[],2,FALSE),"")</f>
        <v>#FA0028</v>
      </c>
      <c r="E44" s="9" t="str">
        <f t="shared" si="0"/>
        <v xml:space="preserve">Offers something different </v>
      </c>
      <c r="F44" t="s">
        <v>279</v>
      </c>
      <c r="G44" s="9" t="s">
        <v>319</v>
      </c>
      <c r="L44" s="9" t="str">
        <f t="shared" si="1"/>
        <v>Unique irresistible sensation</v>
      </c>
      <c r="M44" t="str">
        <f t="shared" si="2"/>
        <v>Unique irresistible sensation - 2.1% (27.9%)</v>
      </c>
      <c r="Q44" t="s">
        <v>354</v>
      </c>
      <c r="R44" t="s">
        <v>355</v>
      </c>
    </row>
    <row r="45" spans="1:18" x14ac:dyDescent="0.25">
      <c r="A45" s="8" t="s">
        <v>6</v>
      </c>
      <c r="B45" s="4" t="s">
        <v>393</v>
      </c>
      <c r="C45" s="5" t="s">
        <v>22</v>
      </c>
      <c r="D45" s="5" t="str">
        <f>_xlfn.IFNA(VLOOKUP(C45,Table1[],2,FALSE),"")</f>
        <v>#FA0028</v>
      </c>
      <c r="E45" s="9" t="str">
        <f t="shared" si="0"/>
        <v xml:space="preserve">Stimulates your senses </v>
      </c>
      <c r="F45" t="s">
        <v>279</v>
      </c>
      <c r="G45" s="4" t="s">
        <v>318</v>
      </c>
      <c r="L45" s="9" t="str">
        <f t="shared" si="1"/>
        <v>Unique irresistible sensation</v>
      </c>
      <c r="M45" t="str">
        <f t="shared" si="2"/>
        <v>Unique irresistible sensation - 2.1% (27.9%)</v>
      </c>
      <c r="Q45" t="s">
        <v>356</v>
      </c>
      <c r="R45" t="s">
        <v>357</v>
      </c>
    </row>
    <row r="46" spans="1:18" x14ac:dyDescent="0.25">
      <c r="A46" s="8" t="s">
        <v>6</v>
      </c>
      <c r="B46" s="4" t="s">
        <v>401</v>
      </c>
      <c r="C46" s="5" t="s">
        <v>8</v>
      </c>
      <c r="D46" s="5" t="str">
        <f>_xlfn.IFNA(VLOOKUP(C46,Table1[],2,FALSE),"")</f>
        <v>#802AB7</v>
      </c>
      <c r="E46" s="9" t="str">
        <f t="shared" si="0"/>
        <v xml:space="preserve">Quenches thirst </v>
      </c>
      <c r="F46" t="s">
        <v>280</v>
      </c>
      <c r="G46" s="9" t="s">
        <v>336</v>
      </c>
      <c r="L46" s="9" t="str">
        <f t="shared" si="1"/>
        <v>Worry-free refreshment</v>
      </c>
      <c r="M46" t="str">
        <f t="shared" si="2"/>
        <v>Worry-free refreshment - 0.3% (3.0%)</v>
      </c>
      <c r="Q46" t="s">
        <v>269</v>
      </c>
      <c r="R46" t="s">
        <v>406</v>
      </c>
    </row>
    <row r="47" spans="1:18" x14ac:dyDescent="0.25">
      <c r="A47" s="8" t="s">
        <v>6</v>
      </c>
      <c r="B47" s="4" t="s">
        <v>401</v>
      </c>
      <c r="C47" s="5" t="s">
        <v>8</v>
      </c>
      <c r="D47" s="5" t="str">
        <f>_xlfn.IFNA(VLOOKUP(C47,Table1[],2,FALSE),"")</f>
        <v>#802AB7</v>
      </c>
      <c r="E47" s="9" t="str">
        <f t="shared" si="0"/>
        <v xml:space="preserve">Refreshing </v>
      </c>
      <c r="F47" t="s">
        <v>280</v>
      </c>
      <c r="G47" s="9" t="s">
        <v>337</v>
      </c>
      <c r="L47" s="9" t="str">
        <f t="shared" si="1"/>
        <v>Worry-free refreshment</v>
      </c>
      <c r="M47" t="str">
        <f t="shared" si="2"/>
        <v>Worry-free refreshment - 0.3% (3.0%)</v>
      </c>
      <c r="Q47" t="s">
        <v>269</v>
      </c>
      <c r="R47" t="s">
        <v>406</v>
      </c>
    </row>
    <row r="48" spans="1:18" x14ac:dyDescent="0.25">
      <c r="A48" s="8" t="s">
        <v>6</v>
      </c>
      <c r="B48" s="4" t="s">
        <v>401</v>
      </c>
      <c r="C48" s="5" t="s">
        <v>8</v>
      </c>
      <c r="D48" s="5" t="str">
        <f>_xlfn.IFNA(VLOOKUP(C48,Table1[],2,FALSE),"")</f>
        <v>#802AB7</v>
      </c>
      <c r="E48" s="9" t="str">
        <f t="shared" si="0"/>
        <v xml:space="preserve">Sweetness options </v>
      </c>
      <c r="F48" t="s">
        <v>280</v>
      </c>
      <c r="G48" s="4" t="s">
        <v>338</v>
      </c>
      <c r="L48" s="9" t="str">
        <f t="shared" si="1"/>
        <v>Worry-free refreshment</v>
      </c>
      <c r="M48" t="str">
        <f t="shared" si="2"/>
        <v>Worry-free refreshment - 0.3% (3.0%)</v>
      </c>
      <c r="Q48" t="s">
        <v>269</v>
      </c>
      <c r="R48" t="s">
        <v>406</v>
      </c>
    </row>
    <row r="49" spans="1:18" x14ac:dyDescent="0.25">
      <c r="A49" s="5" t="s">
        <v>5</v>
      </c>
      <c r="B49" s="4" t="s">
        <v>367</v>
      </c>
      <c r="C49" s="5" t="s">
        <v>8</v>
      </c>
      <c r="D49" s="5" t="str">
        <f>_xlfn.IFNA(VLOOKUP(C49,Table1[],2,FALSE),"")</f>
        <v>#802AB7</v>
      </c>
      <c r="E49" s="9" t="str">
        <f t="shared" si="0"/>
        <v xml:space="preserve">Easy to find </v>
      </c>
      <c r="F49" t="s">
        <v>283</v>
      </c>
      <c r="G49" s="9" t="s">
        <v>311</v>
      </c>
      <c r="Q49" t="s">
        <v>268</v>
      </c>
      <c r="R49" t="s">
        <v>407</v>
      </c>
    </row>
    <row r="50" spans="1:18" x14ac:dyDescent="0.25">
      <c r="A50" s="5" t="s">
        <v>5</v>
      </c>
      <c r="B50" s="4" t="s">
        <v>367</v>
      </c>
      <c r="C50" s="5" t="s">
        <v>8</v>
      </c>
      <c r="D50" s="5" t="str">
        <f>_xlfn.IFNA(VLOOKUP(C50,Table1[],2,FALSE),"")</f>
        <v>#802AB7</v>
      </c>
      <c r="E50" s="9" t="str">
        <f t="shared" si="0"/>
        <v xml:space="preserve">Fair value </v>
      </c>
      <c r="F50" t="s">
        <v>283</v>
      </c>
      <c r="G50" s="9" t="s">
        <v>310</v>
      </c>
      <c r="Q50" t="s">
        <v>268</v>
      </c>
      <c r="R50" t="s">
        <v>407</v>
      </c>
    </row>
    <row r="51" spans="1:18" ht="15" customHeight="1" x14ac:dyDescent="0.25">
      <c r="A51" s="5" t="s">
        <v>5</v>
      </c>
      <c r="B51" s="4" t="s">
        <v>368</v>
      </c>
      <c r="C51" s="5" t="s">
        <v>9</v>
      </c>
      <c r="D51" s="5" t="str">
        <f>_xlfn.IFNA(VLOOKUP(C51,Table1[],2,FALSE),"")</f>
        <v>#0060FF</v>
      </c>
      <c r="E51" s="9" t="str">
        <f t="shared" si="0"/>
        <v xml:space="preserve">Engaging advertising </v>
      </c>
      <c r="F51" t="s">
        <v>283</v>
      </c>
      <c r="G51" s="9" t="s">
        <v>308</v>
      </c>
      <c r="H51" s="7"/>
      <c r="Q51" t="s">
        <v>302</v>
      </c>
      <c r="R51" t="s">
        <v>408</v>
      </c>
    </row>
    <row r="52" spans="1:18" ht="15" customHeight="1" x14ac:dyDescent="0.25">
      <c r="A52" s="5" t="s">
        <v>5</v>
      </c>
      <c r="B52" s="4" t="s">
        <v>368</v>
      </c>
      <c r="C52" s="5" t="s">
        <v>9</v>
      </c>
      <c r="D52" s="5" t="str">
        <f>_xlfn.IFNA(VLOOKUP(C52,Table1[],2,FALSE),"")</f>
        <v>#0060FF</v>
      </c>
      <c r="E52" s="9" t="str">
        <f t="shared" si="0"/>
        <v xml:space="preserve">It has offers or promotions </v>
      </c>
      <c r="F52" t="s">
        <v>283</v>
      </c>
      <c r="G52" s="9" t="s">
        <v>309</v>
      </c>
      <c r="H52" s="7"/>
      <c r="Q52" t="s">
        <v>302</v>
      </c>
      <c r="R52" t="s">
        <v>408</v>
      </c>
    </row>
    <row r="53" spans="1:18" ht="15" customHeight="1" x14ac:dyDescent="0.25">
      <c r="A53" s="5" t="s">
        <v>5</v>
      </c>
      <c r="B53" s="4" t="s">
        <v>369</v>
      </c>
      <c r="C53" s="5" t="s">
        <v>8</v>
      </c>
      <c r="D53" s="5" t="str">
        <f>_xlfn.IFNA(VLOOKUP(C53,Table1[],2,FALSE),"")</f>
        <v>#802AB7</v>
      </c>
      <c r="E53" s="9" t="str">
        <f t="shared" si="0"/>
        <v xml:space="preserve">Flavor </v>
      </c>
      <c r="F53" t="s">
        <v>280</v>
      </c>
      <c r="G53" s="5" t="s">
        <v>326</v>
      </c>
      <c r="H53" s="7"/>
      <c r="Q53" t="s">
        <v>278</v>
      </c>
      <c r="R53" t="s">
        <v>409</v>
      </c>
    </row>
    <row r="54" spans="1:18" ht="15" customHeight="1" x14ac:dyDescent="0.25">
      <c r="A54" s="5" t="s">
        <v>5</v>
      </c>
      <c r="B54" s="4" t="s">
        <v>369</v>
      </c>
      <c r="C54" s="5" t="s">
        <v>8</v>
      </c>
      <c r="D54" s="5" t="str">
        <f>_xlfn.IFNA(VLOOKUP(C54,Table1[],2,FALSE),"")</f>
        <v>#802AB7</v>
      </c>
      <c r="E54" s="9" t="str">
        <f t="shared" si="0"/>
        <v xml:space="preserve">High quality </v>
      </c>
      <c r="F54" t="s">
        <v>280</v>
      </c>
      <c r="G54" s="5" t="s">
        <v>327</v>
      </c>
      <c r="H54" s="7"/>
      <c r="Q54" t="s">
        <v>303</v>
      </c>
      <c r="R54" t="s">
        <v>410</v>
      </c>
    </row>
    <row r="55" spans="1:18" ht="15" customHeight="1" x14ac:dyDescent="0.25">
      <c r="A55" s="5" t="s">
        <v>5</v>
      </c>
      <c r="B55" s="4" t="s">
        <v>369</v>
      </c>
      <c r="C55" s="5" t="s">
        <v>8</v>
      </c>
      <c r="D55" s="5" t="str">
        <f>_xlfn.IFNA(VLOOKUP(C55,Table1[],2,FALSE),"")</f>
        <v>#802AB7</v>
      </c>
      <c r="E55" s="9" t="str">
        <f t="shared" si="0"/>
        <v xml:space="preserve">Leaves a pleasant sensation </v>
      </c>
      <c r="F55" t="s">
        <v>280</v>
      </c>
      <c r="G55" s="5" t="s">
        <v>329</v>
      </c>
      <c r="H55" s="7"/>
    </row>
    <row r="56" spans="1:18" ht="15" customHeight="1" x14ac:dyDescent="0.25">
      <c r="A56" s="5" t="s">
        <v>5</v>
      </c>
      <c r="B56" s="4" t="s">
        <v>369</v>
      </c>
      <c r="C56" s="5" t="s">
        <v>8</v>
      </c>
      <c r="D56" s="5" t="str">
        <f>_xlfn.IFNA(VLOOKUP(C56,Table1[],2,FALSE),"")</f>
        <v>#802AB7</v>
      </c>
      <c r="E56" s="9" t="str">
        <f t="shared" si="0"/>
        <v xml:space="preserve">Light and balanced </v>
      </c>
      <c r="F56" t="s">
        <v>280</v>
      </c>
      <c r="G56" s="5" t="s">
        <v>330</v>
      </c>
      <c r="H56" s="7"/>
    </row>
    <row r="57" spans="1:18" ht="15" customHeight="1" x14ac:dyDescent="0.25">
      <c r="A57" s="5" t="s">
        <v>5</v>
      </c>
      <c r="B57" s="4" t="s">
        <v>369</v>
      </c>
      <c r="C57" s="5" t="s">
        <v>8</v>
      </c>
      <c r="D57" s="5" t="str">
        <f>_xlfn.IFNA(VLOOKUP(C57,Table1[],2,FALSE),"")</f>
        <v>#802AB7</v>
      </c>
      <c r="E57" s="9" t="str">
        <f t="shared" si="0"/>
        <v xml:space="preserve">Quenches thirst </v>
      </c>
      <c r="F57" t="s">
        <v>280</v>
      </c>
      <c r="G57" s="5" t="s">
        <v>336</v>
      </c>
      <c r="H57" s="7"/>
    </row>
    <row r="58" spans="1:18" ht="15" customHeight="1" x14ac:dyDescent="0.25">
      <c r="A58" s="5" t="s">
        <v>5</v>
      </c>
      <c r="B58" s="4" t="s">
        <v>369</v>
      </c>
      <c r="C58" s="5" t="s">
        <v>8</v>
      </c>
      <c r="D58" s="5" t="str">
        <f>_xlfn.IFNA(VLOOKUP(C58,Table1[],2,FALSE),"")</f>
        <v>#802AB7</v>
      </c>
      <c r="E58" s="9" t="str">
        <f t="shared" si="0"/>
        <v xml:space="preserve">Refreshing </v>
      </c>
      <c r="F58" t="s">
        <v>280</v>
      </c>
      <c r="G58" s="5" t="s">
        <v>337</v>
      </c>
    </row>
    <row r="59" spans="1:18" ht="15" customHeight="1" x14ac:dyDescent="0.25">
      <c r="A59" s="5" t="s">
        <v>5</v>
      </c>
      <c r="B59" s="4" t="s">
        <v>370</v>
      </c>
      <c r="C59" s="5" t="s">
        <v>14</v>
      </c>
      <c r="D59" s="5" t="str">
        <f>_xlfn.IFNA(VLOOKUP(C59,Table1[],2,FALSE),"")</f>
        <v>#00E5BA</v>
      </c>
      <c r="E59" s="9" t="str">
        <f t="shared" si="0"/>
        <v xml:space="preserve">Attractive packaging </v>
      </c>
      <c r="F59" t="s">
        <v>283</v>
      </c>
      <c r="G59" s="9" t="s">
        <v>306</v>
      </c>
    </row>
    <row r="60" spans="1:18" ht="15" customHeight="1" x14ac:dyDescent="0.25">
      <c r="A60" s="5" t="s">
        <v>5</v>
      </c>
      <c r="B60" s="4" t="s">
        <v>370</v>
      </c>
      <c r="C60" s="5" t="s">
        <v>14</v>
      </c>
      <c r="D60" s="5" t="str">
        <f>_xlfn.IFNA(VLOOKUP(C60,Table1[],2,FALSE),"")</f>
        <v>#00E5BA</v>
      </c>
      <c r="E60" s="9" t="str">
        <f t="shared" si="0"/>
        <v xml:space="preserve">Ideal size </v>
      </c>
      <c r="F60" t="s">
        <v>283</v>
      </c>
      <c r="G60" s="9" t="s">
        <v>304</v>
      </c>
    </row>
    <row r="61" spans="1:18" ht="15" customHeight="1" x14ac:dyDescent="0.25">
      <c r="A61" s="5" t="s">
        <v>5</v>
      </c>
      <c r="B61" s="4" t="s">
        <v>370</v>
      </c>
      <c r="C61" s="5" t="s">
        <v>14</v>
      </c>
      <c r="D61" s="5" t="str">
        <f>_xlfn.IFNA(VLOOKUP(C61,Table1[],2,FALSE),"")</f>
        <v>#00E5BA</v>
      </c>
      <c r="E61" s="9" t="str">
        <f t="shared" si="0"/>
        <v xml:space="preserve">Convenient presentations </v>
      </c>
      <c r="F61" t="s">
        <v>283</v>
      </c>
      <c r="G61" s="9" t="s">
        <v>305</v>
      </c>
    </row>
    <row r="62" spans="1:18" ht="15" customHeight="1" x14ac:dyDescent="0.25">
      <c r="A62" s="5" t="s">
        <v>5</v>
      </c>
      <c r="B62" s="4" t="s">
        <v>371</v>
      </c>
      <c r="C62" s="5" t="s">
        <v>8</v>
      </c>
      <c r="D62" s="5" t="str">
        <f>_xlfn.IFNA(VLOOKUP(C62,Table1[],2,FALSE),"")</f>
        <v>#802AB7</v>
      </c>
      <c r="E62" s="9" t="str">
        <f t="shared" si="0"/>
        <v xml:space="preserve">For everyday </v>
      </c>
      <c r="F62" t="s">
        <v>281</v>
      </c>
      <c r="G62" s="5" t="s">
        <v>364</v>
      </c>
    </row>
    <row r="63" spans="1:18" ht="15" customHeight="1" x14ac:dyDescent="0.25">
      <c r="A63" s="5" t="s">
        <v>5</v>
      </c>
      <c r="B63" s="4" t="s">
        <v>371</v>
      </c>
      <c r="C63" s="5" t="s">
        <v>8</v>
      </c>
      <c r="D63" s="5" t="str">
        <f>_xlfn.IFNA(VLOOKUP(C63,Table1[],2,FALSE),"")</f>
        <v>#802AB7</v>
      </c>
      <c r="E63" s="9" t="str">
        <f t="shared" si="0"/>
        <v xml:space="preserve">Is for when I go from one place to another </v>
      </c>
      <c r="F63" t="s">
        <v>281</v>
      </c>
      <c r="G63" s="5" t="s">
        <v>366</v>
      </c>
    </row>
    <row r="64" spans="1:18" ht="15" customHeight="1" x14ac:dyDescent="0.25">
      <c r="A64" s="5" t="s">
        <v>5</v>
      </c>
      <c r="B64" s="4" t="s">
        <v>372</v>
      </c>
      <c r="C64" s="5" t="s">
        <v>8</v>
      </c>
      <c r="D64" s="5" t="str">
        <f>_xlfn.IFNA(VLOOKUP(C64,Table1[],2,FALSE),"")</f>
        <v>#802AB7</v>
      </c>
      <c r="E64" s="9" t="str">
        <f t="shared" si="0"/>
        <v xml:space="preserve">It is sophisticated </v>
      </c>
      <c r="F64" t="s">
        <v>279</v>
      </c>
      <c r="G64" s="9" t="s">
        <v>321</v>
      </c>
    </row>
    <row r="65" spans="1:7" ht="15" customHeight="1" x14ac:dyDescent="0.25">
      <c r="A65" s="5" t="s">
        <v>5</v>
      </c>
      <c r="B65" s="4" t="s">
        <v>372</v>
      </c>
      <c r="C65" s="5" t="s">
        <v>8</v>
      </c>
      <c r="D65" s="5" t="str">
        <f>_xlfn.IFNA(VLOOKUP(C65,Table1[],2,FALSE),"")</f>
        <v>#802AB7</v>
      </c>
      <c r="E65" s="9" t="str">
        <f t="shared" si="0"/>
        <v xml:space="preserve">Offers something different </v>
      </c>
      <c r="F65" t="s">
        <v>279</v>
      </c>
      <c r="G65" s="9" t="s">
        <v>319</v>
      </c>
    </row>
    <row r="66" spans="1:7" ht="15" customHeight="1" x14ac:dyDescent="0.25">
      <c r="A66" s="5" t="s">
        <v>5</v>
      </c>
      <c r="B66" s="4" t="s">
        <v>373</v>
      </c>
      <c r="C66" s="5" t="s">
        <v>11</v>
      </c>
      <c r="D66" s="5" t="str">
        <f>_xlfn.IFNA(VLOOKUP(C66,Table1[],2,FALSE),"")</f>
        <v>#AEAE9F</v>
      </c>
      <c r="E66" s="9" t="str">
        <f t="shared" si="0"/>
        <v xml:space="preserve">Related to moments of entertainment </v>
      </c>
      <c r="F66" t="s">
        <v>281</v>
      </c>
      <c r="G66" s="5" t="s">
        <v>365</v>
      </c>
    </row>
    <row r="67" spans="1:7" ht="15" customHeight="1" x14ac:dyDescent="0.25">
      <c r="A67" s="5" t="s">
        <v>5</v>
      </c>
      <c r="B67" s="4" t="s">
        <v>374</v>
      </c>
      <c r="C67" s="5" t="s">
        <v>8</v>
      </c>
      <c r="D67" s="5" t="str">
        <f>_xlfn.IFNA(VLOOKUP(C67,Table1[],2,FALSE),"")</f>
        <v>#802AB7</v>
      </c>
      <c r="E67" s="9" t="str">
        <f t="shared" ref="E67:E95" si="3">LEFT(G67,FIND(" - ",G67))</f>
        <v xml:space="preserve">For someone like me </v>
      </c>
      <c r="F67" t="s">
        <v>282</v>
      </c>
      <c r="G67" s="5" t="s">
        <v>341</v>
      </c>
    </row>
    <row r="68" spans="1:7" ht="15" customHeight="1" x14ac:dyDescent="0.25">
      <c r="A68" s="5" t="s">
        <v>5</v>
      </c>
      <c r="B68" s="4" t="s">
        <v>374</v>
      </c>
      <c r="C68" s="5" t="s">
        <v>8</v>
      </c>
      <c r="D68" s="5" t="str">
        <f>_xlfn.IFNA(VLOOKUP(C68,Table1[],2,FALSE),"")</f>
        <v>#802AB7</v>
      </c>
      <c r="E68" s="9" t="str">
        <f t="shared" si="3"/>
        <v xml:space="preserve">When I want to treat myself </v>
      </c>
      <c r="F68" t="s">
        <v>282</v>
      </c>
      <c r="G68" s="5" t="s">
        <v>340</v>
      </c>
    </row>
    <row r="69" spans="1:7" ht="15" customHeight="1" x14ac:dyDescent="0.25">
      <c r="A69" s="5" t="s">
        <v>5</v>
      </c>
      <c r="B69" s="4" t="s">
        <v>375</v>
      </c>
      <c r="C69" s="5" t="s">
        <v>16</v>
      </c>
      <c r="D69" s="5" t="str">
        <f>_xlfn.IFNA(VLOOKUP(C69,Table1[],2,FALSE),"")</f>
        <v>#00B600</v>
      </c>
      <c r="E69" s="9" t="str">
        <f t="shared" si="3"/>
        <v xml:space="preserve">To accompany meals </v>
      </c>
      <c r="F69" t="s">
        <v>281</v>
      </c>
      <c r="G69" s="5" t="s">
        <v>360</v>
      </c>
    </row>
    <row r="70" spans="1:7" ht="15" customHeight="1" x14ac:dyDescent="0.25">
      <c r="A70" s="5" t="s">
        <v>5</v>
      </c>
      <c r="B70" s="4" t="s">
        <v>375</v>
      </c>
      <c r="C70" s="5" t="s">
        <v>16</v>
      </c>
      <c r="D70" s="5" t="str">
        <f>_xlfn.IFNA(VLOOKUP(C70,Table1[],2,FALSE),"")</f>
        <v>#00B600</v>
      </c>
      <c r="E70" s="9" t="str">
        <f t="shared" si="3"/>
        <v xml:space="preserve">To share with friends </v>
      </c>
      <c r="F70" t="s">
        <v>281</v>
      </c>
      <c r="G70" s="5" t="s">
        <v>358</v>
      </c>
    </row>
    <row r="71" spans="1:7" ht="15" customHeight="1" x14ac:dyDescent="0.25">
      <c r="A71" s="5" t="s">
        <v>5</v>
      </c>
      <c r="B71" s="4" t="s">
        <v>375</v>
      </c>
      <c r="C71" s="5" t="s">
        <v>16</v>
      </c>
      <c r="D71" s="5" t="str">
        <f>_xlfn.IFNA(VLOOKUP(C71,Table1[],2,FALSE),"")</f>
        <v>#00B600</v>
      </c>
      <c r="E71" s="9" t="str">
        <f t="shared" si="3"/>
        <v xml:space="preserve">To share with the whole family </v>
      </c>
      <c r="F71" t="s">
        <v>281</v>
      </c>
      <c r="G71" s="5" t="s">
        <v>359</v>
      </c>
    </row>
    <row r="72" spans="1:7" x14ac:dyDescent="0.25">
      <c r="A72" s="5" t="s">
        <v>5</v>
      </c>
      <c r="B72" s="4" t="s">
        <v>376</v>
      </c>
      <c r="C72" s="5" t="s">
        <v>9</v>
      </c>
      <c r="D72" s="5" t="str">
        <f>_xlfn.IFNA(VLOOKUP(C72,Table1[],2,FALSE),"")</f>
        <v>#0060FF</v>
      </c>
      <c r="E72" s="9" t="str">
        <f t="shared" si="3"/>
        <v xml:space="preserve">Innovative </v>
      </c>
      <c r="F72" t="s">
        <v>282</v>
      </c>
      <c r="G72" s="5" t="s">
        <v>342</v>
      </c>
    </row>
    <row r="73" spans="1:7" x14ac:dyDescent="0.25">
      <c r="A73" s="5" t="s">
        <v>5</v>
      </c>
      <c r="B73" s="4" t="s">
        <v>376</v>
      </c>
      <c r="C73" s="5" t="s">
        <v>9</v>
      </c>
      <c r="D73" s="5" t="str">
        <f>_xlfn.IFNA(VLOOKUP(C73,Table1[],2,FALSE),"")</f>
        <v>#0060FF</v>
      </c>
      <c r="E73" s="9" t="str">
        <f t="shared" si="3"/>
        <v xml:space="preserve">Modern </v>
      </c>
      <c r="F73" t="s">
        <v>282</v>
      </c>
      <c r="G73" s="5" t="s">
        <v>343</v>
      </c>
    </row>
    <row r="74" spans="1:7" x14ac:dyDescent="0.25">
      <c r="A74" s="5" t="s">
        <v>5</v>
      </c>
      <c r="B74" s="4" t="s">
        <v>275</v>
      </c>
      <c r="C74" s="5" t="s">
        <v>28</v>
      </c>
      <c r="D74" s="5" t="str">
        <f>_xlfn.IFNA(VLOOKUP(C74,Table1[],2,FALSE),"")</f>
        <v>#D9D9D9</v>
      </c>
      <c r="E74" s="9" t="str">
        <f t="shared" si="3"/>
        <v xml:space="preserve">Rebellious irreverent style </v>
      </c>
      <c r="F74" t="s">
        <v>279</v>
      </c>
      <c r="G74" s="9" t="s">
        <v>316</v>
      </c>
    </row>
    <row r="75" spans="1:7" x14ac:dyDescent="0.25">
      <c r="A75" s="5" t="s">
        <v>5</v>
      </c>
      <c r="B75" s="4" t="s">
        <v>275</v>
      </c>
      <c r="C75" s="5" t="s">
        <v>28</v>
      </c>
      <c r="D75" s="5" t="str">
        <f>_xlfn.IFNA(VLOOKUP(C75,Table1[],2,FALSE),"")</f>
        <v>#D9D9D9</v>
      </c>
      <c r="E75" s="9" t="str">
        <f t="shared" si="3"/>
        <v xml:space="preserve">Remember your childhood </v>
      </c>
      <c r="F75" t="s">
        <v>279</v>
      </c>
      <c r="G75" s="5" t="s">
        <v>315</v>
      </c>
    </row>
    <row r="76" spans="1:7" x14ac:dyDescent="0.25">
      <c r="A76" s="5" t="s">
        <v>5</v>
      </c>
      <c r="B76" s="4" t="s">
        <v>275</v>
      </c>
      <c r="C76" s="5" t="s">
        <v>28</v>
      </c>
      <c r="D76" s="5" t="str">
        <f>_xlfn.IFNA(VLOOKUP(C76,Table1[],2,FALSE),"")</f>
        <v>#D9D9D9</v>
      </c>
      <c r="E76" s="9" t="str">
        <f t="shared" si="3"/>
        <v xml:space="preserve">Mixer </v>
      </c>
      <c r="F76" t="s">
        <v>280</v>
      </c>
      <c r="G76" s="5" t="s">
        <v>339</v>
      </c>
    </row>
    <row r="77" spans="1:7" x14ac:dyDescent="0.25">
      <c r="A77" s="5" t="s">
        <v>5</v>
      </c>
      <c r="B77" s="4" t="s">
        <v>275</v>
      </c>
      <c r="C77" s="5" t="s">
        <v>28</v>
      </c>
      <c r="D77" s="5" t="str">
        <f>_xlfn.IFNA(VLOOKUP(C77,Table1[],2,FALSE),"")</f>
        <v>#D9D9D9</v>
      </c>
      <c r="E77" s="9" t="str">
        <f t="shared" si="3"/>
        <v xml:space="preserve">For enjoying when I am alone </v>
      </c>
      <c r="F77" t="s">
        <v>281</v>
      </c>
      <c r="G77" s="5" t="s">
        <v>363</v>
      </c>
    </row>
    <row r="78" spans="1:7" x14ac:dyDescent="0.25">
      <c r="A78" s="5" t="s">
        <v>5</v>
      </c>
      <c r="B78" s="4" t="s">
        <v>381</v>
      </c>
      <c r="C78" s="5" t="s">
        <v>16</v>
      </c>
      <c r="D78" s="5" t="str">
        <f>_xlfn.IFNA(VLOOKUP(C78,Table1[],2,FALSE),"")</f>
        <v>#00B600</v>
      </c>
      <c r="E78" s="9" t="str">
        <f t="shared" si="3"/>
        <v xml:space="preserve">Natural flavor </v>
      </c>
      <c r="F78" t="s">
        <v>280</v>
      </c>
      <c r="G78" s="5" t="s">
        <v>332</v>
      </c>
    </row>
    <row r="79" spans="1:7" x14ac:dyDescent="0.25">
      <c r="A79" s="5" t="s">
        <v>5</v>
      </c>
      <c r="B79" s="4" t="s">
        <v>381</v>
      </c>
      <c r="C79" s="5" t="s">
        <v>16</v>
      </c>
      <c r="D79" s="5" t="str">
        <f>_xlfn.IFNA(VLOOKUP(C79,Table1[],2,FALSE),"")</f>
        <v>#00B600</v>
      </c>
      <c r="E79" s="9" t="str">
        <f t="shared" si="3"/>
        <v xml:space="preserve">Natural ingredients </v>
      </c>
      <c r="F79" t="s">
        <v>280</v>
      </c>
      <c r="G79" s="5" t="s">
        <v>334</v>
      </c>
    </row>
    <row r="80" spans="1:7" x14ac:dyDescent="0.25">
      <c r="A80" s="5" t="s">
        <v>5</v>
      </c>
      <c r="B80" s="4" t="s">
        <v>381</v>
      </c>
      <c r="C80" s="5" t="s">
        <v>16</v>
      </c>
      <c r="D80" s="5" t="str">
        <f>_xlfn.IFNA(VLOOKUP(C80,Table1[],2,FALSE),"")</f>
        <v>#00B600</v>
      </c>
      <c r="E80" s="9" t="str">
        <f t="shared" si="3"/>
        <v xml:space="preserve">Tastes more like fruit </v>
      </c>
      <c r="F80" t="s">
        <v>280</v>
      </c>
      <c r="G80" s="5" t="s">
        <v>333</v>
      </c>
    </row>
    <row r="81" spans="1:7" x14ac:dyDescent="0.25">
      <c r="A81" s="5" t="s">
        <v>5</v>
      </c>
      <c r="B81" s="4" t="s">
        <v>382</v>
      </c>
      <c r="C81" s="5" t="s">
        <v>11</v>
      </c>
      <c r="D81" s="5" t="str">
        <f>_xlfn.IFNA(VLOOKUP(C81,Table1[],2,FALSE),"")</f>
        <v>#AEAE9F</v>
      </c>
      <c r="E81" s="9" t="str">
        <f t="shared" si="3"/>
        <v xml:space="preserve">It is popular </v>
      </c>
      <c r="F81" t="s">
        <v>279</v>
      </c>
      <c r="G81" s="9" t="s">
        <v>324</v>
      </c>
    </row>
    <row r="82" spans="1:7" x14ac:dyDescent="0.25">
      <c r="A82" s="5" t="s">
        <v>5</v>
      </c>
      <c r="B82" s="4" t="s">
        <v>377</v>
      </c>
      <c r="C82" s="5" t="s">
        <v>16</v>
      </c>
      <c r="D82" s="5" t="str">
        <f>_xlfn.IFNA(VLOOKUP(C82,Table1[],2,FALSE),"")</f>
        <v>#00B600</v>
      </c>
      <c r="E82" s="9" t="str">
        <f t="shared" si="3"/>
        <v xml:space="preserve">Helps you see the good side of life </v>
      </c>
      <c r="F82" t="s">
        <v>282</v>
      </c>
      <c r="G82" s="5" t="s">
        <v>345</v>
      </c>
    </row>
    <row r="83" spans="1:7" x14ac:dyDescent="0.25">
      <c r="A83" s="5" t="s">
        <v>5</v>
      </c>
      <c r="B83" s="4" t="s">
        <v>377</v>
      </c>
      <c r="C83" s="5" t="s">
        <v>16</v>
      </c>
      <c r="D83" s="5" t="str">
        <f>_xlfn.IFNA(VLOOKUP(C83,Table1[],2,FALSE),"")</f>
        <v>#00B600</v>
      </c>
      <c r="E83" s="9" t="str">
        <f t="shared" si="3"/>
        <v xml:space="preserve">I like to be seen consuming it </v>
      </c>
      <c r="F83" t="s">
        <v>282</v>
      </c>
      <c r="G83" s="5" t="s">
        <v>344</v>
      </c>
    </row>
    <row r="84" spans="1:7" x14ac:dyDescent="0.25">
      <c r="A84" s="5" t="s">
        <v>5</v>
      </c>
      <c r="B84" s="4" t="s">
        <v>378</v>
      </c>
      <c r="C84" s="5" t="s">
        <v>20</v>
      </c>
      <c r="D84" s="5" t="str">
        <f>_xlfn.IFNA(VLOOKUP(C84,Table1[],2,FALSE),"")</f>
        <v>#FF5000</v>
      </c>
      <c r="E84" s="9" t="str">
        <f t="shared" si="3"/>
        <v xml:space="preserve">Helps you relax your body and mind </v>
      </c>
      <c r="F84" t="s">
        <v>280</v>
      </c>
      <c r="G84" s="5" t="s">
        <v>335</v>
      </c>
    </row>
    <row r="85" spans="1:7" x14ac:dyDescent="0.25">
      <c r="A85" s="5" t="s">
        <v>5</v>
      </c>
      <c r="B85" s="4" t="s">
        <v>378</v>
      </c>
      <c r="C85" s="5" t="s">
        <v>20</v>
      </c>
      <c r="D85" s="5" t="str">
        <f>_xlfn.IFNA(VLOOKUP(C85,Table1[],2,FALSE),"")</f>
        <v>#FF5000</v>
      </c>
      <c r="E85" s="9" t="str">
        <f t="shared" si="3"/>
        <v xml:space="preserve">Recharges you with energy </v>
      </c>
      <c r="F85" t="s">
        <v>280</v>
      </c>
      <c r="G85" s="5" t="s">
        <v>331</v>
      </c>
    </row>
    <row r="86" spans="1:7" x14ac:dyDescent="0.25">
      <c r="A86" s="5" t="s">
        <v>5</v>
      </c>
      <c r="B86" s="4" t="s">
        <v>379</v>
      </c>
      <c r="C86" s="5" t="s">
        <v>17</v>
      </c>
      <c r="D86" s="5" t="str">
        <f>_xlfn.IFNA(VLOOKUP(C86,Table1[],2,FALSE),"")</f>
        <v>#FEDB00</v>
      </c>
      <c r="E86" s="9" t="str">
        <f t="shared" si="3"/>
        <v xml:space="preserve">Is for a celebratory occasion </v>
      </c>
      <c r="F86" t="s">
        <v>281</v>
      </c>
      <c r="G86" s="5" t="s">
        <v>362</v>
      </c>
    </row>
    <row r="87" spans="1:7" x14ac:dyDescent="0.25">
      <c r="A87" s="5" t="s">
        <v>5</v>
      </c>
      <c r="B87" s="4" t="s">
        <v>379</v>
      </c>
      <c r="C87" s="5" t="s">
        <v>17</v>
      </c>
      <c r="D87" s="5" t="str">
        <f>_xlfn.IFNA(VLOOKUP(C87,Table1[],2,FALSE),"")</f>
        <v>#FEDB00</v>
      </c>
      <c r="E87" s="9" t="str">
        <f t="shared" si="3"/>
        <v xml:space="preserve">To enhance moments </v>
      </c>
      <c r="F87" t="s">
        <v>281</v>
      </c>
      <c r="G87" s="5" t="s">
        <v>361</v>
      </c>
    </row>
    <row r="88" spans="1:7" x14ac:dyDescent="0.25">
      <c r="A88" s="5" t="s">
        <v>5</v>
      </c>
      <c r="B88" s="4" t="s">
        <v>380</v>
      </c>
      <c r="C88" s="5" t="s">
        <v>23</v>
      </c>
      <c r="D88" s="5" t="str">
        <f>_xlfn.IFNA(VLOOKUP(C88,Table1[],2,FALSE),"")</f>
        <v>#C700D3</v>
      </c>
      <c r="E88" s="9" t="str">
        <f t="shared" si="3"/>
        <v xml:space="preserve">Sweetness options </v>
      </c>
      <c r="F88" t="s">
        <v>280</v>
      </c>
      <c r="G88" s="5" t="s">
        <v>338</v>
      </c>
    </row>
    <row r="89" spans="1:7" x14ac:dyDescent="0.25">
      <c r="A89" s="5" t="s">
        <v>5</v>
      </c>
      <c r="B89" s="4" t="s">
        <v>383</v>
      </c>
      <c r="C89" s="5" t="s">
        <v>17</v>
      </c>
      <c r="D89" s="5" t="str">
        <f>_xlfn.IFNA(VLOOKUP(C89,Table1[],2,FALSE),"")</f>
        <v>#FEDB00</v>
      </c>
      <c r="E89" s="9" t="str">
        <f t="shared" si="3"/>
        <v xml:space="preserve">Great career </v>
      </c>
      <c r="F89" t="s">
        <v>279</v>
      </c>
      <c r="G89" s="9" t="s">
        <v>325</v>
      </c>
    </row>
    <row r="90" spans="1:7" x14ac:dyDescent="0.25">
      <c r="A90" s="5" t="s">
        <v>5</v>
      </c>
      <c r="B90" s="4" t="s">
        <v>383</v>
      </c>
      <c r="C90" s="5" t="s">
        <v>17</v>
      </c>
      <c r="D90" s="5" t="str">
        <f>_xlfn.IFNA(VLOOKUP(C90,Table1[],2,FALSE),"")</f>
        <v>#FEDB00</v>
      </c>
      <c r="E90" s="9" t="str">
        <f t="shared" si="3"/>
        <v xml:space="preserve">Reliable </v>
      </c>
      <c r="F90" t="s">
        <v>279</v>
      </c>
      <c r="G90" s="5" t="s">
        <v>323</v>
      </c>
    </row>
    <row r="91" spans="1:7" x14ac:dyDescent="0.25">
      <c r="A91" s="5" t="s">
        <v>5</v>
      </c>
      <c r="B91" s="4" t="s">
        <v>384</v>
      </c>
      <c r="C91" s="5" t="s">
        <v>20</v>
      </c>
      <c r="D91" s="5" t="str">
        <f>_xlfn.IFNA(VLOOKUP(C91,Table1[],2,FALSE),"")</f>
        <v>#FF5000</v>
      </c>
      <c r="E91" s="9" t="str">
        <f t="shared" si="3"/>
        <v xml:space="preserve">Fun </v>
      </c>
      <c r="F91" t="s">
        <v>279</v>
      </c>
      <c r="G91" s="9" t="s">
        <v>313</v>
      </c>
    </row>
    <row r="92" spans="1:7" x14ac:dyDescent="0.25">
      <c r="A92" s="5" t="s">
        <v>5</v>
      </c>
      <c r="B92" s="4" t="s">
        <v>384</v>
      </c>
      <c r="C92" s="5" t="s">
        <v>20</v>
      </c>
      <c r="D92" s="5" t="str">
        <f>_xlfn.IFNA(VLOOKUP(C92,Table1[],2,FALSE),"")</f>
        <v>#FF5000</v>
      </c>
      <c r="E92" s="9" t="str">
        <f t="shared" si="3"/>
        <v xml:space="preserve">Irresistible </v>
      </c>
      <c r="F92" t="s">
        <v>279</v>
      </c>
      <c r="G92" s="9" t="s">
        <v>317</v>
      </c>
    </row>
    <row r="93" spans="1:7" x14ac:dyDescent="0.25">
      <c r="A93" s="5" t="s">
        <v>5</v>
      </c>
      <c r="B93" s="4" t="s">
        <v>384</v>
      </c>
      <c r="C93" s="5" t="s">
        <v>20</v>
      </c>
      <c r="D93" s="5" t="str">
        <f>_xlfn.IFNA(VLOOKUP(C93,Table1[],2,FALSE),"")</f>
        <v>#FF5000</v>
      </c>
      <c r="E93" s="9" t="str">
        <f t="shared" si="3"/>
        <v xml:space="preserve">Stimulates your senses </v>
      </c>
      <c r="F93" t="s">
        <v>279</v>
      </c>
      <c r="G93" s="5" t="s">
        <v>318</v>
      </c>
    </row>
    <row r="94" spans="1:7" x14ac:dyDescent="0.25">
      <c r="A94" s="5" t="s">
        <v>5</v>
      </c>
      <c r="B94" s="4" t="s">
        <v>384</v>
      </c>
      <c r="C94" s="5" t="s">
        <v>20</v>
      </c>
      <c r="D94" s="5" t="str">
        <f>_xlfn.IFNA(VLOOKUP(C94,Table1[],2,FALSE),"")</f>
        <v>#FF5000</v>
      </c>
      <c r="E94" s="9" t="str">
        <f t="shared" si="3"/>
        <v xml:space="preserve">You identify </v>
      </c>
      <c r="F94" t="s">
        <v>279</v>
      </c>
      <c r="G94" s="9" t="s">
        <v>314</v>
      </c>
    </row>
    <row r="95" spans="1:7" x14ac:dyDescent="0.25">
      <c r="A95" s="5" t="s">
        <v>5</v>
      </c>
      <c r="B95" s="4" t="s">
        <v>385</v>
      </c>
      <c r="C95" s="5" t="s">
        <v>17</v>
      </c>
      <c r="D95" s="5" t="str">
        <f>_xlfn.IFNA(VLOOKUP(C95,Table1[],2,FALSE),"")</f>
        <v>#FEDB00</v>
      </c>
      <c r="E95" s="9" t="str">
        <f t="shared" si="3"/>
        <v xml:space="preserve">Variety of flavors </v>
      </c>
      <c r="F95" t="s">
        <v>280</v>
      </c>
      <c r="G95" s="5" t="s">
        <v>328</v>
      </c>
    </row>
  </sheetData>
  <autoFilter ref="A1:G95" xr:uid="{6919C8F9-41B8-4D5C-9986-A78E8FCB646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89C568-0F7E-48A0-B08E-2EB78C21D0C9}">
          <x14:formula1>
            <xm:f>CATA!$A:$A</xm:f>
          </x14:formula1>
          <xm:sqref>C2:C95</xm:sqref>
        </x14:dataValidation>
        <x14:dataValidation type="list" allowBlank="1" showInputMessage="1" showErrorMessage="1" xr:uid="{FF76C7D2-882F-43EA-A0A0-97CDA7840A52}">
          <x14:formula1>
            <xm:f>CATA!$A$1:$A$4</xm:f>
          </x14:formula1>
          <xm:sqref>C1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78BF-EB95-487F-B473-CD4CCAF74E73}">
  <sheetPr filterMode="1"/>
  <dimension ref="A1:H95"/>
  <sheetViews>
    <sheetView zoomScaleNormal="100" workbookViewId="0">
      <selection activeCell="B102" sqref="B102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178</v>
      </c>
      <c r="H1" t="s">
        <v>25</v>
      </c>
    </row>
    <row r="2" spans="1:8" hidden="1" x14ac:dyDescent="0.25">
      <c r="A2" s="8" t="s">
        <v>6</v>
      </c>
      <c r="B2" s="4" t="s">
        <v>261</v>
      </c>
      <c r="C2" s="5" t="s">
        <v>8</v>
      </c>
      <c r="D2" s="5" t="str">
        <f>_xlfn.IFNA(VLOOKUP(C2,Table1[],2,FALSE),"")</f>
        <v>#802AB7</v>
      </c>
      <c r="E2" s="9" t="s">
        <v>217</v>
      </c>
      <c r="F2" t="s">
        <v>283</v>
      </c>
      <c r="G2" s="2"/>
      <c r="H2" t="s">
        <v>26</v>
      </c>
    </row>
    <row r="3" spans="1:8" hidden="1" x14ac:dyDescent="0.25">
      <c r="A3" s="8" t="s">
        <v>6</v>
      </c>
      <c r="B3" s="4" t="s">
        <v>261</v>
      </c>
      <c r="C3" s="5" t="s">
        <v>8</v>
      </c>
      <c r="D3" s="5" t="str">
        <f>_xlfn.IFNA(VLOOKUP(C3,Table1[],2,FALSE),"")</f>
        <v>#802AB7</v>
      </c>
      <c r="E3" s="9" t="s">
        <v>216</v>
      </c>
      <c r="F3" t="s">
        <v>283</v>
      </c>
      <c r="G3" s="2"/>
    </row>
    <row r="4" spans="1:8" hidden="1" x14ac:dyDescent="0.25">
      <c r="A4" s="8" t="s">
        <v>6</v>
      </c>
      <c r="B4" s="4" t="s">
        <v>262</v>
      </c>
      <c r="C4" s="5" t="s">
        <v>9</v>
      </c>
      <c r="D4" s="5" t="str">
        <f>_xlfn.IFNA(VLOOKUP(C4,Table1[],2,FALSE),"")</f>
        <v>#0060FF</v>
      </c>
      <c r="E4" s="9" t="s">
        <v>219</v>
      </c>
      <c r="F4" t="s">
        <v>283</v>
      </c>
      <c r="G4" s="2"/>
    </row>
    <row r="5" spans="1:8" hidden="1" x14ac:dyDescent="0.25">
      <c r="A5" s="8" t="s">
        <v>6</v>
      </c>
      <c r="B5" s="4" t="s">
        <v>262</v>
      </c>
      <c r="C5" s="5" t="s">
        <v>9</v>
      </c>
      <c r="D5" s="5" t="str">
        <f>_xlfn.IFNA(VLOOKUP(C5,Table1[],2,FALSE),"")</f>
        <v>#0060FF</v>
      </c>
      <c r="E5" s="9" t="s">
        <v>218</v>
      </c>
      <c r="F5" t="s">
        <v>283</v>
      </c>
      <c r="G5" s="2"/>
    </row>
    <row r="6" spans="1:8" hidden="1" x14ac:dyDescent="0.25">
      <c r="A6" s="8" t="s">
        <v>6</v>
      </c>
      <c r="B6" s="4" t="s">
        <v>260</v>
      </c>
      <c r="C6" s="5" t="s">
        <v>16</v>
      </c>
      <c r="D6" s="5" t="str">
        <f>_xlfn.IFNA(VLOOKUP(C6,Table1[],2,FALSE),"")</f>
        <v>#00B600</v>
      </c>
      <c r="E6" s="9" t="s">
        <v>213</v>
      </c>
      <c r="F6" t="s">
        <v>283</v>
      </c>
      <c r="G6" s="2"/>
    </row>
    <row r="7" spans="1:8" hidden="1" x14ac:dyDescent="0.25">
      <c r="A7" s="8" t="s">
        <v>6</v>
      </c>
      <c r="B7" s="4" t="s">
        <v>260</v>
      </c>
      <c r="C7" s="5" t="s">
        <v>16</v>
      </c>
      <c r="D7" s="5" t="str">
        <f>_xlfn.IFNA(VLOOKUP(C7,Table1[],2,FALSE),"")</f>
        <v>#00B600</v>
      </c>
      <c r="E7" s="9" t="s">
        <v>214</v>
      </c>
      <c r="F7" t="s">
        <v>283</v>
      </c>
      <c r="G7" s="2"/>
    </row>
    <row r="8" spans="1:8" hidden="1" x14ac:dyDescent="0.25">
      <c r="A8" s="8" t="s">
        <v>6</v>
      </c>
      <c r="B8" s="4" t="s">
        <v>260</v>
      </c>
      <c r="C8" s="5" t="s">
        <v>16</v>
      </c>
      <c r="D8" s="5" t="str">
        <f>_xlfn.IFNA(VLOOKUP(C8,Table1[],2,FALSE),"")</f>
        <v>#00B600</v>
      </c>
      <c r="E8" s="9" t="s">
        <v>215</v>
      </c>
      <c r="F8" t="s">
        <v>283</v>
      </c>
      <c r="G8" s="2"/>
    </row>
    <row r="9" spans="1:8" hidden="1" x14ac:dyDescent="0.25">
      <c r="A9" s="8" t="s">
        <v>6</v>
      </c>
      <c r="B9" s="4" t="s">
        <v>298</v>
      </c>
      <c r="C9" s="5" t="s">
        <v>11</v>
      </c>
      <c r="D9" s="5" t="str">
        <f>_xlfn.IFNA(VLOOKUP(C9,Table1[],2,FALSE),"")</f>
        <v>#AEAE9F</v>
      </c>
      <c r="E9" s="9" t="s">
        <v>223</v>
      </c>
      <c r="F9" t="s">
        <v>279</v>
      </c>
      <c r="G9" s="2"/>
    </row>
    <row r="10" spans="1:8" hidden="1" x14ac:dyDescent="0.25">
      <c r="A10" s="8" t="s">
        <v>6</v>
      </c>
      <c r="B10" s="4" t="s">
        <v>298</v>
      </c>
      <c r="C10" s="5" t="s">
        <v>11</v>
      </c>
      <c r="D10" s="5" t="str">
        <f>_xlfn.IFNA(VLOOKUP(C10,Table1[],2,FALSE),"")</f>
        <v>#AEAE9F</v>
      </c>
      <c r="E10" s="9" t="s">
        <v>227</v>
      </c>
      <c r="F10" t="s">
        <v>279</v>
      </c>
      <c r="G10" s="2"/>
    </row>
    <row r="11" spans="1:8" hidden="1" x14ac:dyDescent="0.25">
      <c r="A11" s="8" t="s">
        <v>6</v>
      </c>
      <c r="B11" s="4" t="s">
        <v>298</v>
      </c>
      <c r="C11" s="5" t="s">
        <v>11</v>
      </c>
      <c r="D11" s="5" t="str">
        <f>_xlfn.IFNA(VLOOKUP(C11,Table1[],2,FALSE),"")</f>
        <v>#AEAE9F</v>
      </c>
      <c r="E11" s="5" t="s">
        <v>229</v>
      </c>
      <c r="F11" t="s">
        <v>279</v>
      </c>
      <c r="G11" s="2"/>
    </row>
    <row r="12" spans="1:8" hidden="1" x14ac:dyDescent="0.25">
      <c r="A12" s="8" t="s">
        <v>6</v>
      </c>
      <c r="B12" s="4" t="s">
        <v>298</v>
      </c>
      <c r="C12" s="5" t="s">
        <v>11</v>
      </c>
      <c r="D12" s="5" t="str">
        <f>_xlfn.IFNA(VLOOKUP(C12,Table1[],2,FALSE),"")</f>
        <v>#AEAE9F</v>
      </c>
      <c r="E12" s="9" t="s">
        <v>222</v>
      </c>
      <c r="F12" t="s">
        <v>279</v>
      </c>
    </row>
    <row r="13" spans="1:8" hidden="1" x14ac:dyDescent="0.25">
      <c r="A13" s="8" t="s">
        <v>6</v>
      </c>
      <c r="B13" s="4" t="s">
        <v>263</v>
      </c>
      <c r="C13" s="5" t="s">
        <v>14</v>
      </c>
      <c r="D13" s="5" t="str">
        <f>_xlfn.IFNA(VLOOKUP(C13,Table1[],2,FALSE),"")</f>
        <v>#00E5BA</v>
      </c>
      <c r="E13" s="9" t="s">
        <v>224</v>
      </c>
      <c r="F13" t="s">
        <v>279</v>
      </c>
      <c r="G13" s="2"/>
    </row>
    <row r="14" spans="1:8" hidden="1" x14ac:dyDescent="0.25">
      <c r="A14" s="8" t="s">
        <v>6</v>
      </c>
      <c r="B14" s="4" t="s">
        <v>263</v>
      </c>
      <c r="C14" s="5" t="s">
        <v>14</v>
      </c>
      <c r="D14" s="5" t="str">
        <f>_xlfn.IFNA(VLOOKUP(C14,Table1[],2,FALSE),"")</f>
        <v>#00E5BA</v>
      </c>
      <c r="E14" s="9" t="s">
        <v>220</v>
      </c>
      <c r="F14" t="s">
        <v>279</v>
      </c>
      <c r="G14" s="2"/>
    </row>
    <row r="15" spans="1:8" hidden="1" x14ac:dyDescent="0.25">
      <c r="A15" s="8" t="s">
        <v>6</v>
      </c>
      <c r="B15" s="4" t="s">
        <v>228</v>
      </c>
      <c r="C15" s="5" t="s">
        <v>17</v>
      </c>
      <c r="D15" s="5" t="str">
        <f>_xlfn.IFNA(VLOOKUP(C15,Table1[],2,FALSE),"")</f>
        <v>#FEDB00</v>
      </c>
      <c r="E15" s="4" t="s">
        <v>228</v>
      </c>
      <c r="F15" t="s">
        <v>279</v>
      </c>
      <c r="G15" s="2"/>
    </row>
    <row r="16" spans="1:8" hidden="1" x14ac:dyDescent="0.25">
      <c r="A16" s="8" t="s">
        <v>6</v>
      </c>
      <c r="B16" s="4" t="s">
        <v>264</v>
      </c>
      <c r="C16" s="5" t="s">
        <v>20</v>
      </c>
      <c r="D16" s="5" t="str">
        <f>_xlfn.IFNA(VLOOKUP(C16,Table1[],2,FALSE),"")</f>
        <v>#FF5000</v>
      </c>
      <c r="E16" s="9" t="s">
        <v>221</v>
      </c>
      <c r="F16" t="s">
        <v>279</v>
      </c>
      <c r="G16" s="2"/>
    </row>
    <row r="17" spans="1:7" hidden="1" x14ac:dyDescent="0.25">
      <c r="A17" s="8" t="s">
        <v>6</v>
      </c>
      <c r="B17" s="4" t="s">
        <v>265</v>
      </c>
      <c r="C17" s="5" t="s">
        <v>23</v>
      </c>
      <c r="D17" s="5" t="str">
        <f>_xlfn.IFNA(VLOOKUP(C17,Table1[],2,FALSE),"")</f>
        <v>#C700D3</v>
      </c>
      <c r="E17" s="9" t="s">
        <v>225</v>
      </c>
      <c r="F17" t="s">
        <v>279</v>
      </c>
      <c r="G17" s="2"/>
    </row>
    <row r="18" spans="1:7" hidden="1" x14ac:dyDescent="0.25">
      <c r="A18" s="8" t="s">
        <v>6</v>
      </c>
      <c r="B18" s="4" t="s">
        <v>265</v>
      </c>
      <c r="C18" s="5" t="s">
        <v>23</v>
      </c>
      <c r="D18" s="5" t="str">
        <f>_xlfn.IFNA(VLOOKUP(C18,Table1[],2,FALSE),"")</f>
        <v>#C700D3</v>
      </c>
      <c r="E18" s="9" t="s">
        <v>226</v>
      </c>
      <c r="F18" t="s">
        <v>279</v>
      </c>
      <c r="G18" s="2"/>
    </row>
    <row r="19" spans="1:7" hidden="1" x14ac:dyDescent="0.25">
      <c r="A19" s="8" t="s">
        <v>6</v>
      </c>
      <c r="B19" s="4" t="s">
        <v>265</v>
      </c>
      <c r="C19" s="5" t="s">
        <v>23</v>
      </c>
      <c r="D19" s="5" t="str">
        <f>_xlfn.IFNA(VLOOKUP(C19,Table1[],2,FALSE),"")</f>
        <v>#C700D3</v>
      </c>
      <c r="E19" s="4" t="s">
        <v>230</v>
      </c>
      <c r="F19" t="s">
        <v>279</v>
      </c>
      <c r="G19" s="2"/>
    </row>
    <row r="20" spans="1:7" x14ac:dyDescent="0.25">
      <c r="A20" s="8" t="s">
        <v>6</v>
      </c>
      <c r="B20" s="4" t="s">
        <v>266</v>
      </c>
      <c r="C20" s="5" t="s">
        <v>9</v>
      </c>
      <c r="D20" s="5" t="str">
        <f>_xlfn.IFNA(VLOOKUP(C20,Table1[],2,FALSE),"")</f>
        <v>#0060FF</v>
      </c>
      <c r="E20" s="9" t="s">
        <v>236</v>
      </c>
      <c r="F20" t="s">
        <v>280</v>
      </c>
      <c r="G20" s="2"/>
    </row>
    <row r="21" spans="1:7" x14ac:dyDescent="0.25">
      <c r="A21" s="8" t="s">
        <v>6</v>
      </c>
      <c r="B21" s="4" t="s">
        <v>266</v>
      </c>
      <c r="C21" s="5" t="s">
        <v>9</v>
      </c>
      <c r="D21" s="5" t="str">
        <f>_xlfn.IFNA(VLOOKUP(C21,Table1[],2,FALSE),"")</f>
        <v>#0060FF</v>
      </c>
      <c r="E21" s="9" t="s">
        <v>237</v>
      </c>
      <c r="F21" t="s">
        <v>280</v>
      </c>
      <c r="G21" s="2"/>
    </row>
    <row r="22" spans="1:7" x14ac:dyDescent="0.25">
      <c r="A22" s="8" t="s">
        <v>6</v>
      </c>
      <c r="B22" s="4" t="s">
        <v>266</v>
      </c>
      <c r="C22" s="5" t="s">
        <v>9</v>
      </c>
      <c r="D22" s="5" t="str">
        <f>_xlfn.IFNA(VLOOKUP(C22,Table1[],2,FALSE),"")</f>
        <v>#0060FF</v>
      </c>
      <c r="E22" s="9" t="s">
        <v>235</v>
      </c>
      <c r="F22" t="s">
        <v>280</v>
      </c>
      <c r="G22" s="2"/>
    </row>
    <row r="23" spans="1:7" x14ac:dyDescent="0.25">
      <c r="A23" s="8" t="s">
        <v>6</v>
      </c>
      <c r="B23" s="4" t="s">
        <v>300</v>
      </c>
      <c r="C23" s="5" t="s">
        <v>14</v>
      </c>
      <c r="D23" s="5" t="str">
        <f>_xlfn.IFNA(VLOOKUP(C23,Table1[],2,FALSE),"")</f>
        <v>#00E5BA</v>
      </c>
      <c r="E23" s="4" t="s">
        <v>234</v>
      </c>
      <c r="F23" t="s">
        <v>280</v>
      </c>
      <c r="G23" s="2"/>
    </row>
    <row r="24" spans="1:7" x14ac:dyDescent="0.25">
      <c r="A24" s="8" t="s">
        <v>6</v>
      </c>
      <c r="B24" s="4" t="s">
        <v>300</v>
      </c>
      <c r="C24" s="5" t="s">
        <v>14</v>
      </c>
      <c r="D24" s="5" t="str">
        <f>_xlfn.IFNA(VLOOKUP(C24,Table1[],2,FALSE),"")</f>
        <v>#00E5BA</v>
      </c>
      <c r="E24" s="9" t="s">
        <v>238</v>
      </c>
      <c r="F24" t="s">
        <v>280</v>
      </c>
      <c r="G24" s="2"/>
    </row>
    <row r="25" spans="1:7" x14ac:dyDescent="0.25">
      <c r="A25" s="8" t="s">
        <v>6</v>
      </c>
      <c r="B25" s="4" t="s">
        <v>300</v>
      </c>
      <c r="C25" s="5" t="s">
        <v>14</v>
      </c>
      <c r="D25" s="5" t="str">
        <f>_xlfn.IFNA(VLOOKUP(C25,Table1[],2,FALSE),"")</f>
        <v>#00E5BA</v>
      </c>
      <c r="E25" s="9" t="s">
        <v>239</v>
      </c>
      <c r="F25" t="s">
        <v>280</v>
      </c>
      <c r="G25" s="2"/>
    </row>
    <row r="26" spans="1:7" x14ac:dyDescent="0.25">
      <c r="A26" s="8" t="s">
        <v>6</v>
      </c>
      <c r="B26" s="4" t="s">
        <v>267</v>
      </c>
      <c r="C26" s="5" t="s">
        <v>17</v>
      </c>
      <c r="D26" s="5" t="str">
        <f>_xlfn.IFNA(VLOOKUP(C26,Table1[],2,FALSE),"")</f>
        <v>#FEDB00</v>
      </c>
      <c r="E26" s="9" t="s">
        <v>243</v>
      </c>
      <c r="F26" t="s">
        <v>280</v>
      </c>
      <c r="G26" s="2"/>
    </row>
    <row r="27" spans="1:7" x14ac:dyDescent="0.25">
      <c r="A27" s="8" t="s">
        <v>6</v>
      </c>
      <c r="B27" s="4" t="s">
        <v>276</v>
      </c>
      <c r="C27" s="5" t="s">
        <v>20</v>
      </c>
      <c r="D27" s="5" t="str">
        <f>_xlfn.IFNA(VLOOKUP(C27,Table1[],2,FALSE),"")</f>
        <v>#FF5000</v>
      </c>
      <c r="E27" s="9" t="s">
        <v>244</v>
      </c>
      <c r="F27" t="s">
        <v>280</v>
      </c>
      <c r="G27" s="2"/>
    </row>
    <row r="28" spans="1:7" x14ac:dyDescent="0.25">
      <c r="A28" s="8" t="s">
        <v>6</v>
      </c>
      <c r="B28" s="4" t="s">
        <v>276</v>
      </c>
      <c r="C28" s="5" t="s">
        <v>20</v>
      </c>
      <c r="D28" s="5" t="str">
        <f>_xlfn.IFNA(VLOOKUP(C28,Table1[],2,FALSE),"")</f>
        <v>#FF5000</v>
      </c>
      <c r="E28" s="4" t="s">
        <v>233</v>
      </c>
      <c r="F28" t="s">
        <v>280</v>
      </c>
      <c r="G28" s="2"/>
    </row>
    <row r="29" spans="1:7" x14ac:dyDescent="0.25">
      <c r="A29" s="8" t="s">
        <v>6</v>
      </c>
      <c r="B29" s="4" t="s">
        <v>276</v>
      </c>
      <c r="C29" s="5" t="s">
        <v>20</v>
      </c>
      <c r="D29" s="5" t="str">
        <f>_xlfn.IFNA(VLOOKUP(C29,Table1[],2,FALSE),"")</f>
        <v>#FF5000</v>
      </c>
      <c r="E29" s="5" t="s">
        <v>232</v>
      </c>
      <c r="F29" t="s">
        <v>280</v>
      </c>
      <c r="G29" s="2"/>
    </row>
    <row r="30" spans="1:7" x14ac:dyDescent="0.25">
      <c r="A30" s="8" t="s">
        <v>6</v>
      </c>
      <c r="B30" s="4" t="s">
        <v>301</v>
      </c>
      <c r="C30" s="5" t="s">
        <v>23</v>
      </c>
      <c r="D30" s="5" t="str">
        <f>_xlfn.IFNA(VLOOKUP(C30,Table1[],2,FALSE),"")</f>
        <v>#C700D3</v>
      </c>
      <c r="E30" s="9" t="s">
        <v>241</v>
      </c>
      <c r="F30" t="s">
        <v>280</v>
      </c>
      <c r="G30" s="2"/>
    </row>
    <row r="31" spans="1:7" x14ac:dyDescent="0.25">
      <c r="A31" s="8" t="s">
        <v>6</v>
      </c>
      <c r="B31" s="4" t="s">
        <v>299</v>
      </c>
      <c r="C31" s="5" t="s">
        <v>28</v>
      </c>
      <c r="D31" s="5" t="str">
        <f>_xlfn.IFNA(VLOOKUP(C31,Table1[],2,FALSE),"")</f>
        <v>#D9D9D9</v>
      </c>
      <c r="E31" s="9" t="s">
        <v>242</v>
      </c>
      <c r="F31" t="s">
        <v>280</v>
      </c>
      <c r="G31" s="2"/>
    </row>
    <row r="32" spans="1:7" x14ac:dyDescent="0.25">
      <c r="A32" s="8" t="s">
        <v>6</v>
      </c>
      <c r="B32" s="4" t="s">
        <v>299</v>
      </c>
      <c r="C32" s="5" t="s">
        <v>28</v>
      </c>
      <c r="D32" s="5" t="str">
        <f>_xlfn.IFNA(VLOOKUP(C32,Table1[],2,FALSE),"")</f>
        <v>#D9D9D9</v>
      </c>
      <c r="E32" s="9" t="s">
        <v>240</v>
      </c>
      <c r="F32" t="s">
        <v>280</v>
      </c>
      <c r="G32" s="2"/>
    </row>
    <row r="33" spans="1:7" x14ac:dyDescent="0.25">
      <c r="A33" s="8" t="s">
        <v>6</v>
      </c>
      <c r="B33" s="4" t="s">
        <v>299</v>
      </c>
      <c r="C33" s="5" t="s">
        <v>28</v>
      </c>
      <c r="D33" s="5" t="str">
        <f>_xlfn.IFNA(VLOOKUP(C33,Table1[],2,FALSE),"")</f>
        <v>#D9D9D9</v>
      </c>
      <c r="E33" s="4" t="s">
        <v>231</v>
      </c>
      <c r="F33" t="s">
        <v>280</v>
      </c>
      <c r="G33" s="2"/>
    </row>
    <row r="34" spans="1:7" hidden="1" x14ac:dyDescent="0.25">
      <c r="A34" s="8" t="s">
        <v>6</v>
      </c>
      <c r="B34" s="4" t="s">
        <v>303</v>
      </c>
      <c r="C34" s="5" t="s">
        <v>11</v>
      </c>
      <c r="D34" s="5" t="str">
        <f>_xlfn.IFNA(VLOOKUP(C34,Table1[],2,FALSE),"")</f>
        <v>#AEAE9F</v>
      </c>
      <c r="E34" s="5" t="s">
        <v>251</v>
      </c>
      <c r="F34" t="s">
        <v>281</v>
      </c>
    </row>
    <row r="35" spans="1:7" hidden="1" x14ac:dyDescent="0.25">
      <c r="A35" s="8" t="s">
        <v>6</v>
      </c>
      <c r="B35" s="4" t="s">
        <v>278</v>
      </c>
      <c r="C35" s="5" t="s">
        <v>14</v>
      </c>
      <c r="D35" s="5" t="str">
        <f>_xlfn.IFNA(VLOOKUP(C35,Table1[],2,FALSE),"")</f>
        <v>#00E5BA</v>
      </c>
      <c r="E35" s="4" t="s">
        <v>252</v>
      </c>
      <c r="F35" t="s">
        <v>281</v>
      </c>
      <c r="G35" s="2"/>
    </row>
    <row r="36" spans="1:7" hidden="1" x14ac:dyDescent="0.25">
      <c r="A36" s="8" t="s">
        <v>6</v>
      </c>
      <c r="B36" s="4" t="s">
        <v>302</v>
      </c>
      <c r="C36" s="5" t="s">
        <v>16</v>
      </c>
      <c r="D36" s="5" t="str">
        <f>_xlfn.IFNA(VLOOKUP(C36,Table1[],2,FALSE),"")</f>
        <v>#00B600</v>
      </c>
      <c r="E36" s="4" t="s">
        <v>250</v>
      </c>
      <c r="F36" t="s">
        <v>281</v>
      </c>
      <c r="G36" s="2"/>
    </row>
    <row r="37" spans="1:7" hidden="1" x14ac:dyDescent="0.25">
      <c r="A37" s="8" t="s">
        <v>6</v>
      </c>
      <c r="B37" s="4" t="s">
        <v>302</v>
      </c>
      <c r="C37" s="5" t="s">
        <v>16</v>
      </c>
      <c r="D37" s="5" t="str">
        <f>_xlfn.IFNA(VLOOKUP(C37,Table1[],2,FALSE),"")</f>
        <v>#00B600</v>
      </c>
      <c r="E37" s="4" t="s">
        <v>259</v>
      </c>
      <c r="F37" t="s">
        <v>281</v>
      </c>
      <c r="G37" s="2"/>
    </row>
    <row r="38" spans="1:7" hidden="1" x14ac:dyDescent="0.25">
      <c r="A38" s="8" t="s">
        <v>6</v>
      </c>
      <c r="B38" s="4" t="s">
        <v>269</v>
      </c>
      <c r="C38" s="5" t="s">
        <v>17</v>
      </c>
      <c r="D38" s="5" t="str">
        <f>_xlfn.IFNA(VLOOKUP(C38,Table1[],2,FALSE),"")</f>
        <v>#FEDB00</v>
      </c>
      <c r="E38" s="9" t="s">
        <v>247</v>
      </c>
      <c r="F38" t="s">
        <v>281</v>
      </c>
      <c r="G38" s="2"/>
    </row>
    <row r="39" spans="1:7" hidden="1" x14ac:dyDescent="0.25">
      <c r="A39" s="8" t="s">
        <v>6</v>
      </c>
      <c r="B39" s="4" t="s">
        <v>269</v>
      </c>
      <c r="C39" s="5" t="s">
        <v>17</v>
      </c>
      <c r="D39" s="5" t="str">
        <f>_xlfn.IFNA(VLOOKUP(C39,Table1[],2,FALSE),"")</f>
        <v>#FEDB00</v>
      </c>
      <c r="E39" s="9" t="s">
        <v>248</v>
      </c>
      <c r="F39" t="s">
        <v>281</v>
      </c>
      <c r="G39" s="2"/>
    </row>
    <row r="40" spans="1:7" hidden="1" x14ac:dyDescent="0.25">
      <c r="A40" s="8" t="s">
        <v>6</v>
      </c>
      <c r="B40" s="4" t="s">
        <v>269</v>
      </c>
      <c r="C40" s="5" t="s">
        <v>17</v>
      </c>
      <c r="D40" s="5" t="str">
        <f>_xlfn.IFNA(VLOOKUP(C40,Table1[],2,FALSE),"")</f>
        <v>#FEDB00</v>
      </c>
      <c r="E40" s="9" t="s">
        <v>249</v>
      </c>
      <c r="F40" t="s">
        <v>281</v>
      </c>
      <c r="G40" s="2"/>
    </row>
    <row r="41" spans="1:7" hidden="1" x14ac:dyDescent="0.25">
      <c r="A41" s="8" t="s">
        <v>6</v>
      </c>
      <c r="B41" s="4" t="s">
        <v>268</v>
      </c>
      <c r="C41" s="5" t="s">
        <v>23</v>
      </c>
      <c r="D41" s="5" t="str">
        <f>_xlfn.IFNA(VLOOKUP(C41,Table1[],2,FALSE),"")</f>
        <v>#C700D3</v>
      </c>
      <c r="E41" s="9" t="s">
        <v>246</v>
      </c>
      <c r="F41" t="s">
        <v>281</v>
      </c>
      <c r="G41" s="2"/>
    </row>
    <row r="42" spans="1:7" hidden="1" x14ac:dyDescent="0.25">
      <c r="A42" s="8" t="s">
        <v>6</v>
      </c>
      <c r="B42" s="4" t="s">
        <v>268</v>
      </c>
      <c r="C42" s="5" t="s">
        <v>23</v>
      </c>
      <c r="D42" s="5" t="str">
        <f>_xlfn.IFNA(VLOOKUP(C42,Table1[],2,FALSE),"")</f>
        <v>#C700D3</v>
      </c>
      <c r="E42" s="9" t="s">
        <v>245</v>
      </c>
      <c r="F42" t="s">
        <v>281</v>
      </c>
      <c r="G42" s="2"/>
    </row>
    <row r="43" spans="1:7" hidden="1" x14ac:dyDescent="0.25">
      <c r="A43" s="8" t="s">
        <v>6</v>
      </c>
      <c r="B43" s="4" t="s">
        <v>273</v>
      </c>
      <c r="C43" s="5" t="s">
        <v>23</v>
      </c>
      <c r="D43" s="5" t="str">
        <f>_xlfn.IFNA(VLOOKUP(C43,Table1[],2,FALSE),"")</f>
        <v>#C700D3</v>
      </c>
      <c r="E43" s="4" t="s">
        <v>256</v>
      </c>
      <c r="F43" t="s">
        <v>282</v>
      </c>
      <c r="G43" s="2"/>
    </row>
    <row r="44" spans="1:7" hidden="1" x14ac:dyDescent="0.25">
      <c r="A44" s="8" t="s">
        <v>6</v>
      </c>
      <c r="B44" s="4" t="s">
        <v>273</v>
      </c>
      <c r="C44" s="5" t="s">
        <v>23</v>
      </c>
      <c r="D44" s="5" t="str">
        <f>_xlfn.IFNA(VLOOKUP(C44,Table1[],2,FALSE),"")</f>
        <v>#C700D3</v>
      </c>
      <c r="E44" s="4" t="s">
        <v>257</v>
      </c>
      <c r="F44" t="s">
        <v>282</v>
      </c>
      <c r="G44" s="2"/>
    </row>
    <row r="45" spans="1:7" hidden="1" x14ac:dyDescent="0.25">
      <c r="A45" s="8" t="s">
        <v>6</v>
      </c>
      <c r="B45" s="4" t="s">
        <v>272</v>
      </c>
      <c r="C45" s="5" t="s">
        <v>20</v>
      </c>
      <c r="D45" s="5" t="str">
        <f>_xlfn.IFNA(VLOOKUP(C45,Table1[],2,FALSE),"")</f>
        <v>#FF5000</v>
      </c>
      <c r="E45" s="5" t="s">
        <v>254</v>
      </c>
      <c r="F45" t="s">
        <v>282</v>
      </c>
      <c r="G45" s="2"/>
    </row>
    <row r="46" spans="1:7" hidden="1" x14ac:dyDescent="0.25">
      <c r="A46" s="8" t="s">
        <v>6</v>
      </c>
      <c r="B46" s="4" t="s">
        <v>272</v>
      </c>
      <c r="C46" s="5" t="s">
        <v>20</v>
      </c>
      <c r="D46" s="5" t="str">
        <f>_xlfn.IFNA(VLOOKUP(C46,Table1[],2,FALSE),"")</f>
        <v>#FF5000</v>
      </c>
      <c r="E46" s="4" t="s">
        <v>255</v>
      </c>
      <c r="F46" t="s">
        <v>282</v>
      </c>
      <c r="G46" s="2"/>
    </row>
    <row r="47" spans="1:7" hidden="1" x14ac:dyDescent="0.25">
      <c r="A47" s="8" t="s">
        <v>6</v>
      </c>
      <c r="B47" s="4" t="s">
        <v>271</v>
      </c>
      <c r="C47" s="5" t="s">
        <v>17</v>
      </c>
      <c r="D47" s="5" t="str">
        <f>_xlfn.IFNA(VLOOKUP(C47,Table1[],2,FALSE),"")</f>
        <v>#FEDB00</v>
      </c>
      <c r="E47" s="4" t="s">
        <v>258</v>
      </c>
      <c r="F47" t="s">
        <v>282</v>
      </c>
      <c r="G47" s="2"/>
    </row>
    <row r="48" spans="1:7" hidden="1" x14ac:dyDescent="0.25">
      <c r="A48" s="8" t="s">
        <v>6</v>
      </c>
      <c r="B48" s="4" t="s">
        <v>271</v>
      </c>
      <c r="C48" s="5" t="s">
        <v>17</v>
      </c>
      <c r="D48" s="5" t="str">
        <f>_xlfn.IFNA(VLOOKUP(C48,Table1[],2,FALSE),"")</f>
        <v>#FEDB00</v>
      </c>
      <c r="E48" s="4" t="s">
        <v>253</v>
      </c>
      <c r="F48" t="s">
        <v>282</v>
      </c>
      <c r="G48" s="2"/>
    </row>
    <row r="49" spans="1:8" hidden="1" x14ac:dyDescent="0.25">
      <c r="A49" s="5" t="s">
        <v>5</v>
      </c>
      <c r="B49" s="4" t="s">
        <v>261</v>
      </c>
      <c r="C49" s="5" t="s">
        <v>8</v>
      </c>
      <c r="D49" s="5" t="str">
        <f>_xlfn.IFNA(VLOOKUP(C49,Table1[],2,FALSE),"")</f>
        <v>#802AB7</v>
      </c>
      <c r="E49" s="9" t="s">
        <v>217</v>
      </c>
      <c r="F49" t="s">
        <v>283</v>
      </c>
      <c r="G49" s="2"/>
    </row>
    <row r="50" spans="1:8" hidden="1" x14ac:dyDescent="0.25">
      <c r="A50" s="5" t="s">
        <v>5</v>
      </c>
      <c r="B50" s="4" t="s">
        <v>261</v>
      </c>
      <c r="C50" s="5" t="s">
        <v>8</v>
      </c>
      <c r="D50" s="5" t="str">
        <f>_xlfn.IFNA(VLOOKUP(C50,Table1[],2,FALSE),"")</f>
        <v>#802AB7</v>
      </c>
      <c r="E50" s="9" t="s">
        <v>216</v>
      </c>
      <c r="F50" t="s">
        <v>283</v>
      </c>
    </row>
    <row r="51" spans="1:8" ht="15" hidden="1" customHeight="1" x14ac:dyDescent="0.25">
      <c r="A51" s="5" t="s">
        <v>5</v>
      </c>
      <c r="B51" s="4" t="s">
        <v>262</v>
      </c>
      <c r="C51" s="5" t="s">
        <v>9</v>
      </c>
      <c r="D51" s="5" t="str">
        <f>_xlfn.IFNA(VLOOKUP(C51,Table1[],2,FALSE),"")</f>
        <v>#0060FF</v>
      </c>
      <c r="E51" s="9" t="s">
        <v>219</v>
      </c>
      <c r="F51" t="s">
        <v>283</v>
      </c>
      <c r="G51" s="6"/>
      <c r="H51" s="7"/>
    </row>
    <row r="52" spans="1:8" ht="15" hidden="1" customHeight="1" x14ac:dyDescent="0.25">
      <c r="A52" s="5" t="s">
        <v>5</v>
      </c>
      <c r="B52" s="4" t="s">
        <v>262</v>
      </c>
      <c r="C52" s="5" t="s">
        <v>9</v>
      </c>
      <c r="D52" s="5" t="str">
        <f>_xlfn.IFNA(VLOOKUP(C52,Table1[],2,FALSE),"")</f>
        <v>#0060FF</v>
      </c>
      <c r="E52" s="9" t="s">
        <v>218</v>
      </c>
      <c r="F52" t="s">
        <v>283</v>
      </c>
      <c r="G52" s="6"/>
      <c r="H52" s="7"/>
    </row>
    <row r="53" spans="1:8" ht="15" hidden="1" customHeight="1" x14ac:dyDescent="0.25">
      <c r="A53" s="5" t="s">
        <v>5</v>
      </c>
      <c r="B53" s="4" t="s">
        <v>260</v>
      </c>
      <c r="C53" s="5" t="s">
        <v>16</v>
      </c>
      <c r="D53" s="5" t="str">
        <f>_xlfn.IFNA(VLOOKUP(C53,Table1[],2,FALSE),"")</f>
        <v>#00B600</v>
      </c>
      <c r="E53" s="9" t="s">
        <v>213</v>
      </c>
      <c r="F53" t="s">
        <v>283</v>
      </c>
      <c r="G53" s="6"/>
      <c r="H53" s="7"/>
    </row>
    <row r="54" spans="1:8" ht="15" hidden="1" customHeight="1" x14ac:dyDescent="0.25">
      <c r="A54" s="5" t="s">
        <v>5</v>
      </c>
      <c r="B54" s="4" t="s">
        <v>260</v>
      </c>
      <c r="C54" s="5" t="s">
        <v>16</v>
      </c>
      <c r="D54" s="5" t="str">
        <f>_xlfn.IFNA(VLOOKUP(C54,Table1[],2,FALSE),"")</f>
        <v>#00B600</v>
      </c>
      <c r="E54" s="9" t="s">
        <v>215</v>
      </c>
      <c r="F54" t="s">
        <v>283</v>
      </c>
      <c r="G54" s="6"/>
      <c r="H54" s="7"/>
    </row>
    <row r="55" spans="1:8" ht="15" hidden="1" customHeight="1" x14ac:dyDescent="0.25">
      <c r="A55" s="5" t="s">
        <v>5</v>
      </c>
      <c r="B55" s="4" t="s">
        <v>260</v>
      </c>
      <c r="C55" s="5" t="s">
        <v>16</v>
      </c>
      <c r="D55" s="5" t="str">
        <f>_xlfn.IFNA(VLOOKUP(C55,Table1[],2,FALSE),"")</f>
        <v>#00B600</v>
      </c>
      <c r="E55" s="9" t="s">
        <v>214</v>
      </c>
      <c r="F55" t="s">
        <v>283</v>
      </c>
      <c r="G55" s="6"/>
      <c r="H55" s="7"/>
    </row>
    <row r="56" spans="1:8" ht="15" hidden="1" customHeight="1" x14ac:dyDescent="0.25">
      <c r="A56" s="5" t="s">
        <v>5</v>
      </c>
      <c r="B56" s="4" t="s">
        <v>287</v>
      </c>
      <c r="C56" s="5" t="s">
        <v>8</v>
      </c>
      <c r="D56" s="5" t="str">
        <f>_xlfn.IFNA(VLOOKUP(C56,Table1[],2,FALSE),"")</f>
        <v>#802AB7</v>
      </c>
      <c r="E56" s="5" t="s">
        <v>229</v>
      </c>
      <c r="F56" t="s">
        <v>279</v>
      </c>
      <c r="G56" s="6"/>
      <c r="H56" s="7"/>
    </row>
    <row r="57" spans="1:8" ht="15" hidden="1" customHeight="1" x14ac:dyDescent="0.25">
      <c r="A57" s="5" t="s">
        <v>5</v>
      </c>
      <c r="B57" s="4" t="s">
        <v>286</v>
      </c>
      <c r="C57" s="5" t="s">
        <v>9</v>
      </c>
      <c r="D57" s="5" t="str">
        <f>_xlfn.IFNA(VLOOKUP(C57,Table1[],2,FALSE),"")</f>
        <v>#0060FF</v>
      </c>
      <c r="E57" s="9" t="s">
        <v>227</v>
      </c>
      <c r="F57" t="s">
        <v>279</v>
      </c>
      <c r="G57" s="6"/>
      <c r="H57" s="7"/>
    </row>
    <row r="58" spans="1:8" ht="15" hidden="1" customHeight="1" x14ac:dyDescent="0.25">
      <c r="A58" s="5" t="s">
        <v>5</v>
      </c>
      <c r="B58" s="4" t="s">
        <v>284</v>
      </c>
      <c r="C58" s="5" t="s">
        <v>16</v>
      </c>
      <c r="D58" s="5" t="str">
        <f>_xlfn.IFNA(VLOOKUP(C58,Table1[],2,FALSE),"")</f>
        <v>#00B600</v>
      </c>
      <c r="E58" s="9" t="s">
        <v>221</v>
      </c>
      <c r="F58" t="s">
        <v>279</v>
      </c>
    </row>
    <row r="59" spans="1:8" ht="15" hidden="1" customHeight="1" x14ac:dyDescent="0.25">
      <c r="A59" s="5" t="s">
        <v>5</v>
      </c>
      <c r="B59" s="4" t="s">
        <v>284</v>
      </c>
      <c r="C59" s="5" t="s">
        <v>16</v>
      </c>
      <c r="D59" s="5" t="str">
        <f>_xlfn.IFNA(VLOOKUP(C59,Table1[],2,FALSE),"")</f>
        <v>#00B600</v>
      </c>
      <c r="E59" s="9" t="s">
        <v>223</v>
      </c>
      <c r="F59" t="s">
        <v>279</v>
      </c>
    </row>
    <row r="60" spans="1:8" ht="15" hidden="1" customHeight="1" x14ac:dyDescent="0.25">
      <c r="A60" s="5" t="s">
        <v>5</v>
      </c>
      <c r="B60" s="4" t="s">
        <v>284</v>
      </c>
      <c r="C60" s="5" t="s">
        <v>16</v>
      </c>
      <c r="D60" s="5" t="str">
        <f>_xlfn.IFNA(VLOOKUP(C60,Table1[],2,FALSE),"")</f>
        <v>#00B600</v>
      </c>
      <c r="E60" s="9" t="s">
        <v>222</v>
      </c>
      <c r="F60" t="s">
        <v>279</v>
      </c>
    </row>
    <row r="61" spans="1:8" ht="15" hidden="1" customHeight="1" x14ac:dyDescent="0.25">
      <c r="A61" s="5" t="s">
        <v>5</v>
      </c>
      <c r="B61" s="4" t="s">
        <v>274</v>
      </c>
      <c r="C61" s="5" t="s">
        <v>22</v>
      </c>
      <c r="D61" s="5" t="str">
        <f>_xlfn.IFNA(VLOOKUP(C61,Table1[],2,FALSE),"")</f>
        <v>#FA0028</v>
      </c>
      <c r="E61" s="9" t="s">
        <v>220</v>
      </c>
      <c r="F61" t="s">
        <v>279</v>
      </c>
    </row>
    <row r="62" spans="1:8" ht="15" hidden="1" customHeight="1" x14ac:dyDescent="0.25">
      <c r="A62" s="5" t="s">
        <v>5</v>
      </c>
      <c r="B62" s="4" t="s">
        <v>274</v>
      </c>
      <c r="C62" s="5" t="s">
        <v>22</v>
      </c>
      <c r="D62" s="5" t="str">
        <f>_xlfn.IFNA(VLOOKUP(C62,Table1[],2,FALSE),"")</f>
        <v>#FA0028</v>
      </c>
      <c r="E62" s="9" t="s">
        <v>224</v>
      </c>
      <c r="F62" t="s">
        <v>279</v>
      </c>
    </row>
    <row r="63" spans="1:8" ht="15" hidden="1" customHeight="1" x14ac:dyDescent="0.25">
      <c r="A63" s="5" t="s">
        <v>5</v>
      </c>
      <c r="B63" s="4" t="s">
        <v>274</v>
      </c>
      <c r="C63" s="5" t="s">
        <v>22</v>
      </c>
      <c r="D63" s="5" t="str">
        <f>_xlfn.IFNA(VLOOKUP(C63,Table1[],2,FALSE),"")</f>
        <v>#FA0028</v>
      </c>
      <c r="E63" s="5" t="s">
        <v>228</v>
      </c>
      <c r="F63" t="s">
        <v>279</v>
      </c>
    </row>
    <row r="64" spans="1:8" ht="15" hidden="1" customHeight="1" x14ac:dyDescent="0.25">
      <c r="A64" s="5" t="s">
        <v>5</v>
      </c>
      <c r="B64" s="4" t="s">
        <v>285</v>
      </c>
      <c r="C64" s="5" t="s">
        <v>23</v>
      </c>
      <c r="D64" s="5" t="str">
        <f>_xlfn.IFNA(VLOOKUP(C64,Table1[],2,FALSE),"")</f>
        <v>#C700D3</v>
      </c>
      <c r="E64" s="9" t="s">
        <v>226</v>
      </c>
      <c r="F64" t="s">
        <v>279</v>
      </c>
    </row>
    <row r="65" spans="1:6" ht="15" hidden="1" customHeight="1" x14ac:dyDescent="0.25">
      <c r="A65" s="5" t="s">
        <v>5</v>
      </c>
      <c r="B65" s="4" t="s">
        <v>285</v>
      </c>
      <c r="C65" s="5" t="s">
        <v>23</v>
      </c>
      <c r="D65" s="5" t="str">
        <f>_xlfn.IFNA(VLOOKUP(C65,Table1[],2,FALSE),"")</f>
        <v>#C700D3</v>
      </c>
      <c r="E65" s="9" t="s">
        <v>225</v>
      </c>
      <c r="F65" t="s">
        <v>279</v>
      </c>
    </row>
    <row r="66" spans="1:6" ht="15" hidden="1" customHeight="1" x14ac:dyDescent="0.25">
      <c r="A66" s="5" t="s">
        <v>5</v>
      </c>
      <c r="B66" s="4" t="s">
        <v>285</v>
      </c>
      <c r="C66" s="5" t="s">
        <v>23</v>
      </c>
      <c r="D66" s="5" t="str">
        <f>_xlfn.IFNA(VLOOKUP(C66,Table1[],2,FALSE),"")</f>
        <v>#C700D3</v>
      </c>
      <c r="E66" s="5" t="s">
        <v>230</v>
      </c>
      <c r="F66" t="s">
        <v>279</v>
      </c>
    </row>
    <row r="67" spans="1:6" ht="15" customHeight="1" x14ac:dyDescent="0.25">
      <c r="A67" s="5" t="s">
        <v>5</v>
      </c>
      <c r="B67" s="4" t="s">
        <v>277</v>
      </c>
      <c r="C67" s="5" t="s">
        <v>8</v>
      </c>
      <c r="D67" s="5" t="str">
        <f>_xlfn.IFNA(VLOOKUP(C67,Table1[],2,FALSE),"")</f>
        <v>#802AB7</v>
      </c>
      <c r="E67" s="5" t="s">
        <v>236</v>
      </c>
      <c r="F67" t="s">
        <v>280</v>
      </c>
    </row>
    <row r="68" spans="1:6" ht="15" customHeight="1" x14ac:dyDescent="0.25">
      <c r="A68" s="5" t="s">
        <v>5</v>
      </c>
      <c r="B68" s="4" t="s">
        <v>277</v>
      </c>
      <c r="C68" s="5" t="s">
        <v>8</v>
      </c>
      <c r="D68" s="5" t="str">
        <f>_xlfn.IFNA(VLOOKUP(C68,Table1[],2,FALSE),"")</f>
        <v>#802AB7</v>
      </c>
      <c r="E68" s="5" t="s">
        <v>237</v>
      </c>
      <c r="F68" t="s">
        <v>280</v>
      </c>
    </row>
    <row r="69" spans="1:6" ht="15" customHeight="1" x14ac:dyDescent="0.25">
      <c r="A69" s="5" t="s">
        <v>5</v>
      </c>
      <c r="B69" s="4" t="s">
        <v>277</v>
      </c>
      <c r="C69" s="5" t="s">
        <v>8</v>
      </c>
      <c r="D69" s="5" t="str">
        <f>_xlfn.IFNA(VLOOKUP(C69,Table1[],2,FALSE),"")</f>
        <v>#802AB7</v>
      </c>
      <c r="E69" s="5" t="s">
        <v>238</v>
      </c>
      <c r="F69" t="s">
        <v>280</v>
      </c>
    </row>
    <row r="70" spans="1:6" ht="15" customHeight="1" x14ac:dyDescent="0.25">
      <c r="A70" s="5" t="s">
        <v>5</v>
      </c>
      <c r="B70" s="4" t="s">
        <v>277</v>
      </c>
      <c r="C70" s="5" t="s">
        <v>8</v>
      </c>
      <c r="D70" s="5" t="str">
        <f>_xlfn.IFNA(VLOOKUP(C70,Table1[],2,FALSE),"")</f>
        <v>#802AB7</v>
      </c>
      <c r="E70" s="5" t="s">
        <v>234</v>
      </c>
      <c r="F70" t="s">
        <v>280</v>
      </c>
    </row>
    <row r="71" spans="1:6" ht="15" customHeight="1" x14ac:dyDescent="0.25">
      <c r="A71" s="5" t="s">
        <v>5</v>
      </c>
      <c r="B71" s="4" t="s">
        <v>277</v>
      </c>
      <c r="C71" s="5" t="s">
        <v>8</v>
      </c>
      <c r="D71" s="5" t="str">
        <f>_xlfn.IFNA(VLOOKUP(C71,Table1[],2,FALSE),"")</f>
        <v>#802AB7</v>
      </c>
      <c r="E71" s="5" t="s">
        <v>242</v>
      </c>
      <c r="F71" t="s">
        <v>280</v>
      </c>
    </row>
    <row r="72" spans="1:6" x14ac:dyDescent="0.25">
      <c r="A72" s="5" t="s">
        <v>5</v>
      </c>
      <c r="B72" s="4" t="s">
        <v>277</v>
      </c>
      <c r="C72" s="5" t="s">
        <v>8</v>
      </c>
      <c r="D72" s="5" t="str">
        <f>_xlfn.IFNA(VLOOKUP(C72,Table1[],2,FALSE),"")</f>
        <v>#802AB7</v>
      </c>
      <c r="E72" s="5" t="s">
        <v>240</v>
      </c>
      <c r="F72" t="s">
        <v>280</v>
      </c>
    </row>
    <row r="73" spans="1:6" x14ac:dyDescent="0.25">
      <c r="A73" s="5" t="s">
        <v>5</v>
      </c>
      <c r="B73" s="4" t="s">
        <v>277</v>
      </c>
      <c r="C73" s="5" t="s">
        <v>8</v>
      </c>
      <c r="D73" s="5" t="str">
        <f>_xlfn.IFNA(VLOOKUP(C73,Table1[],2,FALSE),"")</f>
        <v>#802AB7</v>
      </c>
      <c r="E73" s="5" t="s">
        <v>239</v>
      </c>
      <c r="F73" t="s">
        <v>280</v>
      </c>
    </row>
    <row r="74" spans="1:6" x14ac:dyDescent="0.25">
      <c r="A74" s="5" t="s">
        <v>5</v>
      </c>
      <c r="B74" s="4" t="s">
        <v>289</v>
      </c>
      <c r="C74" s="5" t="s">
        <v>11</v>
      </c>
      <c r="D74" s="5" t="str">
        <f>_xlfn.IFNA(VLOOKUP(C74,Table1[],2,FALSE),"")</f>
        <v>#AEAE9F</v>
      </c>
      <c r="E74" s="5" t="s">
        <v>232</v>
      </c>
      <c r="F74" t="s">
        <v>280</v>
      </c>
    </row>
    <row r="75" spans="1:6" x14ac:dyDescent="0.25">
      <c r="A75" s="5" t="s">
        <v>5</v>
      </c>
      <c r="B75" s="4" t="s">
        <v>288</v>
      </c>
      <c r="C75" s="5" t="s">
        <v>16</v>
      </c>
      <c r="D75" s="5" t="str">
        <f>_xlfn.IFNA(VLOOKUP(C75,Table1[],2,FALSE),"")</f>
        <v>#00B600</v>
      </c>
      <c r="E75" s="5" t="s">
        <v>231</v>
      </c>
      <c r="F75" t="s">
        <v>280</v>
      </c>
    </row>
    <row r="76" spans="1:6" x14ac:dyDescent="0.25">
      <c r="A76" s="5" t="s">
        <v>5</v>
      </c>
      <c r="B76" s="4" t="s">
        <v>288</v>
      </c>
      <c r="C76" s="5" t="s">
        <v>16</v>
      </c>
      <c r="D76" s="5" t="str">
        <f>_xlfn.IFNA(VLOOKUP(C76,Table1[],2,FALSE),"")</f>
        <v>#00B600</v>
      </c>
      <c r="E76" s="5" t="s">
        <v>235</v>
      </c>
      <c r="F76" t="s">
        <v>280</v>
      </c>
    </row>
    <row r="77" spans="1:6" x14ac:dyDescent="0.25">
      <c r="A77" s="5" t="s">
        <v>5</v>
      </c>
      <c r="B77" s="4" t="s">
        <v>267</v>
      </c>
      <c r="C77" s="5" t="s">
        <v>17</v>
      </c>
      <c r="D77" s="5" t="str">
        <f>_xlfn.IFNA(VLOOKUP(C77,Table1[],2,FALSE),"")</f>
        <v>#FEDB00</v>
      </c>
      <c r="E77" s="5" t="s">
        <v>243</v>
      </c>
      <c r="F77" t="s">
        <v>280</v>
      </c>
    </row>
    <row r="78" spans="1:6" x14ac:dyDescent="0.25">
      <c r="A78" s="5" t="s">
        <v>5</v>
      </c>
      <c r="B78" s="4" t="s">
        <v>290</v>
      </c>
      <c r="C78" s="5" t="s">
        <v>22</v>
      </c>
      <c r="D78" s="5" t="str">
        <f>_xlfn.IFNA(VLOOKUP(C78,Table1[],2,FALSE),"")</f>
        <v>#FA0028</v>
      </c>
      <c r="E78" s="5" t="s">
        <v>244</v>
      </c>
      <c r="F78" t="s">
        <v>280</v>
      </c>
    </row>
    <row r="79" spans="1:6" x14ac:dyDescent="0.25">
      <c r="A79" s="5" t="s">
        <v>5</v>
      </c>
      <c r="B79" s="4" t="s">
        <v>290</v>
      </c>
      <c r="C79" s="5" t="s">
        <v>22</v>
      </c>
      <c r="D79" s="5" t="str">
        <f>_xlfn.IFNA(VLOOKUP(C79,Table1[],2,FALSE),"")</f>
        <v>#FA0028</v>
      </c>
      <c r="E79" s="5" t="s">
        <v>233</v>
      </c>
      <c r="F79" t="s">
        <v>280</v>
      </c>
    </row>
    <row r="80" spans="1:6" x14ac:dyDescent="0.25">
      <c r="A80" s="5" t="s">
        <v>5</v>
      </c>
      <c r="B80" s="4" t="s">
        <v>290</v>
      </c>
      <c r="C80" s="5" t="s">
        <v>22</v>
      </c>
      <c r="D80" s="5" t="str">
        <f>_xlfn.IFNA(VLOOKUP(C80,Table1[],2,FALSE),"")</f>
        <v>#FA0028</v>
      </c>
      <c r="E80" s="5" t="s">
        <v>241</v>
      </c>
      <c r="F80" t="s">
        <v>280</v>
      </c>
    </row>
    <row r="81" spans="1:6" hidden="1" x14ac:dyDescent="0.25">
      <c r="A81" s="5" t="s">
        <v>5</v>
      </c>
      <c r="B81" s="4" t="s">
        <v>270</v>
      </c>
      <c r="C81" s="5" t="s">
        <v>8</v>
      </c>
      <c r="D81" s="5" t="str">
        <f>_xlfn.IFNA(VLOOKUP(C81,Table1[],2,FALSE),"")</f>
        <v>#802AB7</v>
      </c>
      <c r="E81" s="5" t="s">
        <v>250</v>
      </c>
      <c r="F81" t="s">
        <v>281</v>
      </c>
    </row>
    <row r="82" spans="1:6" hidden="1" x14ac:dyDescent="0.25">
      <c r="A82" s="5" t="s">
        <v>5</v>
      </c>
      <c r="B82" s="4" t="s">
        <v>270</v>
      </c>
      <c r="C82" s="5" t="s">
        <v>8</v>
      </c>
      <c r="D82" s="5" t="str">
        <f>_xlfn.IFNA(VLOOKUP(C82,Table1[],2,FALSE),"")</f>
        <v>#802AB7</v>
      </c>
      <c r="E82" s="5" t="s">
        <v>251</v>
      </c>
      <c r="F82" t="s">
        <v>281</v>
      </c>
    </row>
    <row r="83" spans="1:6" hidden="1" x14ac:dyDescent="0.25">
      <c r="A83" s="5" t="s">
        <v>5</v>
      </c>
      <c r="B83" s="4" t="s">
        <v>292</v>
      </c>
      <c r="C83" s="5" t="s">
        <v>9</v>
      </c>
      <c r="D83" s="5" t="str">
        <f>_xlfn.IFNA(VLOOKUP(C83,Table1[],2,FALSE),"")</f>
        <v>#0060FF</v>
      </c>
      <c r="E83" s="5" t="s">
        <v>246</v>
      </c>
      <c r="F83" t="s">
        <v>281</v>
      </c>
    </row>
    <row r="84" spans="1:6" hidden="1" x14ac:dyDescent="0.25">
      <c r="A84" s="5" t="s">
        <v>5</v>
      </c>
      <c r="B84" s="4" t="s">
        <v>294</v>
      </c>
      <c r="C84" s="5" t="s">
        <v>14</v>
      </c>
      <c r="D84" s="5" t="str">
        <f>_xlfn.IFNA(VLOOKUP(C84,Table1[],2,FALSE),"")</f>
        <v>#00E5BA</v>
      </c>
      <c r="E84" s="5" t="s">
        <v>252</v>
      </c>
      <c r="F84" t="s">
        <v>281</v>
      </c>
    </row>
    <row r="85" spans="1:6" hidden="1" x14ac:dyDescent="0.25">
      <c r="A85" s="5" t="s">
        <v>5</v>
      </c>
      <c r="B85" s="4" t="s">
        <v>293</v>
      </c>
      <c r="C85" s="5" t="s">
        <v>20</v>
      </c>
      <c r="D85" s="5" t="str">
        <f>_xlfn.IFNA(VLOOKUP(C85,Table1[],2,FALSE),"")</f>
        <v>#FF5000</v>
      </c>
      <c r="E85" s="5" t="s">
        <v>247</v>
      </c>
      <c r="F85" t="s">
        <v>281</v>
      </c>
    </row>
    <row r="86" spans="1:6" hidden="1" x14ac:dyDescent="0.25">
      <c r="A86" s="5" t="s">
        <v>5</v>
      </c>
      <c r="B86" s="4" t="s">
        <v>275</v>
      </c>
      <c r="C86" s="5" t="s">
        <v>28</v>
      </c>
      <c r="D86" s="5" t="str">
        <f>_xlfn.IFNA(VLOOKUP(C86,Table1[],2,FALSE),"")</f>
        <v>#D9D9D9</v>
      </c>
      <c r="E86" s="5" t="s">
        <v>259</v>
      </c>
      <c r="F86" t="s">
        <v>281</v>
      </c>
    </row>
    <row r="87" spans="1:6" hidden="1" x14ac:dyDescent="0.25">
      <c r="A87" s="5" t="s">
        <v>5</v>
      </c>
      <c r="B87" s="4" t="s">
        <v>291</v>
      </c>
      <c r="C87" s="5" t="s">
        <v>22</v>
      </c>
      <c r="D87" s="5" t="str">
        <f>_xlfn.IFNA(VLOOKUP(C87,Table1[],2,FALSE),"")</f>
        <v>#FA0028</v>
      </c>
      <c r="E87" s="5" t="s">
        <v>248</v>
      </c>
      <c r="F87" t="s">
        <v>281</v>
      </c>
    </row>
    <row r="88" spans="1:6" hidden="1" x14ac:dyDescent="0.25">
      <c r="A88" s="5" t="s">
        <v>5</v>
      </c>
      <c r="B88" s="4" t="s">
        <v>291</v>
      </c>
      <c r="C88" s="5" t="s">
        <v>22</v>
      </c>
      <c r="D88" s="5" t="str">
        <f>_xlfn.IFNA(VLOOKUP(C88,Table1[],2,FALSE),"")</f>
        <v>#FA0028</v>
      </c>
      <c r="E88" s="5" t="s">
        <v>249</v>
      </c>
      <c r="F88" t="s">
        <v>281</v>
      </c>
    </row>
    <row r="89" spans="1:6" hidden="1" x14ac:dyDescent="0.25">
      <c r="A89" s="5" t="s">
        <v>5</v>
      </c>
      <c r="B89" s="4" t="s">
        <v>291</v>
      </c>
      <c r="C89" s="5" t="s">
        <v>22</v>
      </c>
      <c r="D89" s="5" t="str">
        <f>_xlfn.IFNA(VLOOKUP(C89,Table1[],2,FALSE),"")</f>
        <v>#FA0028</v>
      </c>
      <c r="E89" s="5" t="s">
        <v>245</v>
      </c>
      <c r="F89" t="s">
        <v>281</v>
      </c>
    </row>
    <row r="90" spans="1:6" hidden="1" x14ac:dyDescent="0.25">
      <c r="A90" s="5" t="s">
        <v>5</v>
      </c>
      <c r="B90" s="4" t="s">
        <v>297</v>
      </c>
      <c r="C90" s="5" t="s">
        <v>28</v>
      </c>
      <c r="D90" s="5" t="str">
        <f>_xlfn.IFNA(VLOOKUP(C90,Table1[],2,FALSE),"")</f>
        <v>#D9D9D9</v>
      </c>
      <c r="E90" s="5" t="s">
        <v>258</v>
      </c>
      <c r="F90" t="s">
        <v>282</v>
      </c>
    </row>
    <row r="91" spans="1:6" hidden="1" x14ac:dyDescent="0.25">
      <c r="A91" s="5" t="s">
        <v>5</v>
      </c>
      <c r="B91" s="4" t="s">
        <v>296</v>
      </c>
      <c r="C91" s="5" t="s">
        <v>22</v>
      </c>
      <c r="D91" s="5" t="str">
        <f>_xlfn.IFNA(VLOOKUP(C91,Table1[],2,FALSE),"")</f>
        <v>#FA0028</v>
      </c>
      <c r="E91" s="5" t="s">
        <v>257</v>
      </c>
      <c r="F91" t="s">
        <v>282</v>
      </c>
    </row>
    <row r="92" spans="1:6" hidden="1" x14ac:dyDescent="0.25">
      <c r="A92" s="5" t="s">
        <v>5</v>
      </c>
      <c r="B92" s="4" t="s">
        <v>272</v>
      </c>
      <c r="C92" s="5" t="s">
        <v>20</v>
      </c>
      <c r="D92" s="5" t="str">
        <f>_xlfn.IFNA(VLOOKUP(C92,Table1[],2,FALSE),"")</f>
        <v>#FF5000</v>
      </c>
      <c r="E92" s="5" t="s">
        <v>254</v>
      </c>
      <c r="F92" t="s">
        <v>282</v>
      </c>
    </row>
    <row r="93" spans="1:6" hidden="1" x14ac:dyDescent="0.25">
      <c r="A93" s="5" t="s">
        <v>5</v>
      </c>
      <c r="B93" s="4" t="s">
        <v>272</v>
      </c>
      <c r="C93" s="5" t="s">
        <v>20</v>
      </c>
      <c r="D93" s="5" t="str">
        <f>_xlfn.IFNA(VLOOKUP(C93,Table1[],2,FALSE),"")</f>
        <v>#FF5000</v>
      </c>
      <c r="E93" s="5" t="s">
        <v>255</v>
      </c>
      <c r="F93" t="s">
        <v>282</v>
      </c>
    </row>
    <row r="94" spans="1:6" hidden="1" x14ac:dyDescent="0.25">
      <c r="A94" s="5" t="s">
        <v>5</v>
      </c>
      <c r="B94" s="4" t="s">
        <v>295</v>
      </c>
      <c r="C94" s="5" t="s">
        <v>16</v>
      </c>
      <c r="D94" s="5" t="str">
        <f>_xlfn.IFNA(VLOOKUP(C94,Table1[],2,FALSE),"")</f>
        <v>#00B600</v>
      </c>
      <c r="E94" s="5" t="s">
        <v>256</v>
      </c>
      <c r="F94" t="s">
        <v>282</v>
      </c>
    </row>
    <row r="95" spans="1:6" hidden="1" x14ac:dyDescent="0.25">
      <c r="A95" s="5" t="s">
        <v>5</v>
      </c>
      <c r="B95" s="4" t="s">
        <v>295</v>
      </c>
      <c r="C95" s="5" t="s">
        <v>16</v>
      </c>
      <c r="D95" s="5" t="str">
        <f>_xlfn.IFNA(VLOOKUP(C95,Table1[],2,FALSE),"")</f>
        <v>#00B600</v>
      </c>
      <c r="E95" s="5" t="s">
        <v>253</v>
      </c>
      <c r="F95" t="s">
        <v>282</v>
      </c>
    </row>
  </sheetData>
  <autoFilter ref="A1:F95" xr:uid="{6919C8F9-41B8-4D5C-9986-A78E8FCB6462}">
    <filterColumn colId="5">
      <filters>
        <filter val="Funcionales"/>
      </filters>
    </filterColumn>
    <sortState xmlns:xlrd2="http://schemas.microsoft.com/office/spreadsheetml/2017/richdata2" ref="A2:F95">
      <sortCondition ref="A1:A95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639E0A-E830-4CB5-9465-DA8639602B03}">
          <x14:formula1>
            <xm:f>CATA!$A$1:$A$4</xm:f>
          </x14:formula1>
          <xm:sqref>C1</xm:sqref>
        </x14:dataValidation>
        <x14:dataValidation type="list" allowBlank="1" showInputMessage="1" showErrorMessage="1" xr:uid="{16AF71A0-5118-4155-89D6-94CF558B7D0A}">
          <x14:formula1>
            <xm:f>CATA!$A:$A</xm:f>
          </x14:formula1>
          <xm:sqref>C2:C95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E7E7-5231-41A0-8AA0-D43FBE01F6F4}">
  <dimension ref="A1:H41"/>
  <sheetViews>
    <sheetView zoomScaleNormal="100" workbookViewId="0">
      <selection sqref="A1:E41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8" x14ac:dyDescent="0.25">
      <c r="A2" s="5" t="s">
        <v>6</v>
      </c>
      <c r="B2" s="5" t="s">
        <v>110</v>
      </c>
      <c r="C2" s="5" t="s">
        <v>9</v>
      </c>
      <c r="D2" s="5" t="str">
        <f>_xlfn.IFNA(VLOOKUP(C2,Table1[],2,FALSE),"")</f>
        <v>#0060FF</v>
      </c>
      <c r="E2" s="9" t="s">
        <v>58</v>
      </c>
      <c r="G2" s="2"/>
      <c r="H2" t="s">
        <v>26</v>
      </c>
    </row>
    <row r="3" spans="1:8" x14ac:dyDescent="0.25">
      <c r="A3" s="5" t="s">
        <v>6</v>
      </c>
      <c r="B3" s="5" t="s">
        <v>587</v>
      </c>
      <c r="C3" s="5" t="s">
        <v>16</v>
      </c>
      <c r="D3" s="5" t="str">
        <f>_xlfn.IFNA(VLOOKUP(C3,Table1[],2,FALSE),"")</f>
        <v>#00B600</v>
      </c>
      <c r="E3" s="9" t="s">
        <v>59</v>
      </c>
      <c r="G3" s="2"/>
    </row>
    <row r="4" spans="1:8" x14ac:dyDescent="0.25">
      <c r="A4" s="5" t="s">
        <v>6</v>
      </c>
      <c r="B4" s="5" t="s">
        <v>587</v>
      </c>
      <c r="C4" s="5" t="s">
        <v>16</v>
      </c>
      <c r="D4" s="5" t="str">
        <f>_xlfn.IFNA(VLOOKUP(C4,Table1[],2,FALSE),"")</f>
        <v>#00B600</v>
      </c>
      <c r="E4" s="9" t="s">
        <v>60</v>
      </c>
      <c r="G4" s="2"/>
    </row>
    <row r="5" spans="1:8" x14ac:dyDescent="0.25">
      <c r="A5" s="5" t="s">
        <v>6</v>
      </c>
      <c r="B5" s="4" t="s">
        <v>583</v>
      </c>
      <c r="C5" s="5" t="s">
        <v>8</v>
      </c>
      <c r="D5" s="5" t="str">
        <f>_xlfn.IFNA(VLOOKUP(C5,Table1[],2,FALSE),"")</f>
        <v>#802AB7</v>
      </c>
      <c r="E5" s="9" t="s">
        <v>65</v>
      </c>
      <c r="G5" s="2"/>
    </row>
    <row r="6" spans="1:8" x14ac:dyDescent="0.25">
      <c r="A6" s="5" t="s">
        <v>6</v>
      </c>
      <c r="B6" s="4" t="s">
        <v>583</v>
      </c>
      <c r="C6" s="5" t="s">
        <v>8</v>
      </c>
      <c r="D6" s="5" t="str">
        <f>_xlfn.IFNA(VLOOKUP(C6,Table1[],2,FALSE),"")</f>
        <v>#802AB7</v>
      </c>
      <c r="E6" s="9" t="s">
        <v>582</v>
      </c>
      <c r="G6" s="2"/>
    </row>
    <row r="7" spans="1:8" x14ac:dyDescent="0.25">
      <c r="A7" s="5" t="s">
        <v>6</v>
      </c>
      <c r="B7" s="4" t="s">
        <v>583</v>
      </c>
      <c r="C7" s="5" t="s">
        <v>8</v>
      </c>
      <c r="D7" s="5" t="str">
        <f>_xlfn.IFNA(VLOOKUP(C7,Table1[],2,FALSE),"")</f>
        <v>#802AB7</v>
      </c>
      <c r="E7" s="9" t="s">
        <v>67</v>
      </c>
      <c r="G7" s="2"/>
    </row>
    <row r="8" spans="1:8" x14ac:dyDescent="0.25">
      <c r="A8" s="5" t="s">
        <v>6</v>
      </c>
      <c r="B8" s="4" t="s">
        <v>583</v>
      </c>
      <c r="C8" s="5" t="s">
        <v>8</v>
      </c>
      <c r="D8" s="5" t="str">
        <f>_xlfn.IFNA(VLOOKUP(C8,Table1[],2,FALSE),"")</f>
        <v>#802AB7</v>
      </c>
      <c r="E8" s="9" t="s">
        <v>66</v>
      </c>
      <c r="G8" s="2"/>
    </row>
    <row r="9" spans="1:8" x14ac:dyDescent="0.25">
      <c r="A9" s="5" t="s">
        <v>6</v>
      </c>
      <c r="B9" s="4" t="s">
        <v>583</v>
      </c>
      <c r="C9" s="5" t="s">
        <v>8</v>
      </c>
      <c r="D9" s="5" t="str">
        <f>_xlfn.IFNA(VLOOKUP(C9,Table1[],2,FALSE),"")</f>
        <v>#802AB7</v>
      </c>
      <c r="E9" s="9" t="s">
        <v>68</v>
      </c>
      <c r="G9" s="2"/>
    </row>
    <row r="10" spans="1:8" x14ac:dyDescent="0.25">
      <c r="A10" s="5" t="s">
        <v>6</v>
      </c>
      <c r="B10" s="4" t="s">
        <v>583</v>
      </c>
      <c r="C10" s="5" t="s">
        <v>8</v>
      </c>
      <c r="D10" s="5" t="str">
        <f>_xlfn.IFNA(VLOOKUP(C10,Table1[],2,FALSE),"")</f>
        <v>#802AB7</v>
      </c>
      <c r="E10" s="9" t="s">
        <v>70</v>
      </c>
      <c r="G10" s="2"/>
    </row>
    <row r="11" spans="1:8" x14ac:dyDescent="0.25">
      <c r="A11" s="5" t="s">
        <v>6</v>
      </c>
      <c r="B11" s="5" t="s">
        <v>77</v>
      </c>
      <c r="C11" s="5" t="s">
        <v>14</v>
      </c>
      <c r="D11" s="5" t="str">
        <f>_xlfn.IFNA(VLOOKUP(C11,Table1[],2,FALSE),"")</f>
        <v>#00E5BA</v>
      </c>
      <c r="E11" s="9" t="s">
        <v>71</v>
      </c>
      <c r="G11" s="2"/>
    </row>
    <row r="12" spans="1:8" x14ac:dyDescent="0.25">
      <c r="A12" s="5" t="s">
        <v>6</v>
      </c>
      <c r="B12" s="5" t="s">
        <v>588</v>
      </c>
      <c r="C12" s="5" t="s">
        <v>23</v>
      </c>
      <c r="D12" s="5" t="str">
        <f>_xlfn.IFNA(VLOOKUP(C12,Table1[],2,FALSE),"")</f>
        <v>#C700D3</v>
      </c>
      <c r="E12" s="5" t="s">
        <v>61</v>
      </c>
    </row>
    <row r="13" spans="1:8" x14ac:dyDescent="0.25">
      <c r="A13" s="5" t="s">
        <v>6</v>
      </c>
      <c r="B13" s="4" t="s">
        <v>585</v>
      </c>
      <c r="C13" s="5" t="s">
        <v>17</v>
      </c>
      <c r="D13" s="5" t="str">
        <f>_xlfn.IFNA(VLOOKUP(C13,Table1[],2,FALSE),"")</f>
        <v>#FEDB00</v>
      </c>
      <c r="E13" s="9" t="s">
        <v>72</v>
      </c>
      <c r="G13" s="2"/>
    </row>
    <row r="14" spans="1:8" x14ac:dyDescent="0.25">
      <c r="A14" s="5" t="s">
        <v>6</v>
      </c>
      <c r="B14" s="5" t="s">
        <v>586</v>
      </c>
      <c r="C14" s="5" t="s">
        <v>28</v>
      </c>
      <c r="D14" s="5" t="str">
        <f>_xlfn.IFNA(VLOOKUP(C14,Table1[],2,FALSE),"")</f>
        <v>#D9D9D9</v>
      </c>
      <c r="E14" s="9" t="s">
        <v>74</v>
      </c>
      <c r="G14" s="2"/>
    </row>
    <row r="15" spans="1:8" x14ac:dyDescent="0.25">
      <c r="A15" s="5" t="s">
        <v>6</v>
      </c>
      <c r="B15" s="5" t="s">
        <v>586</v>
      </c>
      <c r="C15" s="5" t="s">
        <v>28</v>
      </c>
      <c r="D15" s="5" t="str">
        <f>_xlfn.IFNA(VLOOKUP(C15,Table1[],2,FALSE),"")</f>
        <v>#D9D9D9</v>
      </c>
      <c r="E15" s="9" t="s">
        <v>73</v>
      </c>
      <c r="G15" s="2"/>
    </row>
    <row r="16" spans="1:8" x14ac:dyDescent="0.25">
      <c r="A16" s="5" t="s">
        <v>6</v>
      </c>
      <c r="B16" s="4" t="s">
        <v>586</v>
      </c>
      <c r="C16" s="5" t="s">
        <v>28</v>
      </c>
      <c r="D16" s="5" t="str">
        <f>_xlfn.IFNA(VLOOKUP(C16,Table1[],2,FALSE),"")</f>
        <v>#D9D9D9</v>
      </c>
      <c r="E16" s="9" t="s">
        <v>55</v>
      </c>
      <c r="G16" s="2"/>
    </row>
    <row r="17" spans="1:8" x14ac:dyDescent="0.25">
      <c r="A17" s="5" t="s">
        <v>6</v>
      </c>
      <c r="B17" s="4" t="s">
        <v>76</v>
      </c>
      <c r="C17" s="5" t="s">
        <v>22</v>
      </c>
      <c r="D17" s="5" t="str">
        <f>_xlfn.IFNA(VLOOKUP(C17,Table1[],2,FALSE),"")</f>
        <v>#FA0028</v>
      </c>
      <c r="E17" s="9" t="s">
        <v>62</v>
      </c>
      <c r="G17" s="2"/>
    </row>
    <row r="18" spans="1:8" x14ac:dyDescent="0.25">
      <c r="A18" s="5" t="s">
        <v>6</v>
      </c>
      <c r="B18" s="5" t="s">
        <v>76</v>
      </c>
      <c r="C18" s="5" t="s">
        <v>22</v>
      </c>
      <c r="D18" s="5" t="str">
        <f>_xlfn.IFNA(VLOOKUP(C18,Table1[],2,FALSE),"")</f>
        <v>#FA0028</v>
      </c>
      <c r="E18" s="9" t="s">
        <v>63</v>
      </c>
      <c r="G18" s="2"/>
    </row>
    <row r="19" spans="1:8" x14ac:dyDescent="0.25">
      <c r="A19" s="5" t="s">
        <v>6</v>
      </c>
      <c r="B19" s="5" t="s">
        <v>76</v>
      </c>
      <c r="C19" s="5" t="s">
        <v>22</v>
      </c>
      <c r="D19" s="5" t="str">
        <f>_xlfn.IFNA(VLOOKUP(C19,Table1[],2,FALSE),"")</f>
        <v>#FA0028</v>
      </c>
      <c r="E19" s="9" t="s">
        <v>64</v>
      </c>
      <c r="G19" s="2"/>
    </row>
    <row r="20" spans="1:8" x14ac:dyDescent="0.25">
      <c r="A20" s="5" t="s">
        <v>6</v>
      </c>
      <c r="B20" s="5" t="s">
        <v>584</v>
      </c>
      <c r="C20" s="5" t="s">
        <v>11</v>
      </c>
      <c r="D20" s="5" t="str">
        <f>_xlfn.IFNA(VLOOKUP(C20,Table1[],2,FALSE),"")</f>
        <v>#AEAE9F</v>
      </c>
      <c r="E20" s="9" t="s">
        <v>56</v>
      </c>
      <c r="G20" s="2"/>
    </row>
    <row r="21" spans="1:8" x14ac:dyDescent="0.25">
      <c r="A21" s="5" t="s">
        <v>6</v>
      </c>
      <c r="B21" s="4" t="s">
        <v>584</v>
      </c>
      <c r="C21" s="5" t="s">
        <v>11</v>
      </c>
      <c r="D21" s="5" t="str">
        <f>_xlfn.IFNA(VLOOKUP(C21,Table1[],2,FALSE),"")</f>
        <v>#AEAE9F</v>
      </c>
      <c r="E21" s="9" t="s">
        <v>57</v>
      </c>
      <c r="G21" s="2"/>
    </row>
    <row r="22" spans="1:8" x14ac:dyDescent="0.25">
      <c r="A22" s="8" t="s">
        <v>5</v>
      </c>
      <c r="B22" s="4" t="s">
        <v>110</v>
      </c>
      <c r="C22" s="5" t="s">
        <v>9</v>
      </c>
      <c r="D22" s="5" t="str">
        <f>_xlfn.IFNA(VLOOKUP(C22,Table1[],2,FALSE),"")</f>
        <v>#0060FF</v>
      </c>
      <c r="E22" s="9" t="s">
        <v>58</v>
      </c>
      <c r="G22" s="2"/>
    </row>
    <row r="23" spans="1:8" x14ac:dyDescent="0.25">
      <c r="A23" s="8" t="s">
        <v>5</v>
      </c>
      <c r="B23" s="4" t="s">
        <v>585</v>
      </c>
      <c r="C23" s="5" t="s">
        <v>17</v>
      </c>
      <c r="D23" s="5" t="str">
        <f>_xlfn.IFNA(VLOOKUP(C23,Table1[],2,FALSE),"")</f>
        <v>#FEDB00</v>
      </c>
      <c r="E23" s="9" t="s">
        <v>72</v>
      </c>
      <c r="G23" s="2"/>
    </row>
    <row r="24" spans="1:8" x14ac:dyDescent="0.25">
      <c r="A24" s="8" t="s">
        <v>5</v>
      </c>
      <c r="B24" s="4" t="s">
        <v>583</v>
      </c>
      <c r="C24" s="5" t="s">
        <v>8</v>
      </c>
      <c r="D24" s="5" t="str">
        <f>_xlfn.IFNA(VLOOKUP(C24,Table1[],2,FALSE),"")</f>
        <v>#802AB7</v>
      </c>
      <c r="E24" s="9" t="s">
        <v>65</v>
      </c>
      <c r="G24" s="2"/>
    </row>
    <row r="25" spans="1:8" x14ac:dyDescent="0.25">
      <c r="A25" s="8" t="s">
        <v>5</v>
      </c>
      <c r="B25" s="4" t="s">
        <v>583</v>
      </c>
      <c r="C25" s="5" t="s">
        <v>8</v>
      </c>
      <c r="D25" s="5" t="str">
        <f>_xlfn.IFNA(VLOOKUP(C25,Table1[],2,FALSE),"")</f>
        <v>#802AB7</v>
      </c>
      <c r="E25" s="9" t="s">
        <v>582</v>
      </c>
    </row>
    <row r="26" spans="1:8" ht="15" customHeight="1" x14ac:dyDescent="0.25">
      <c r="A26" s="8" t="s">
        <v>5</v>
      </c>
      <c r="B26" s="4" t="s">
        <v>583</v>
      </c>
      <c r="C26" s="5" t="s">
        <v>8</v>
      </c>
      <c r="D26" s="5" t="str">
        <f>_xlfn.IFNA(VLOOKUP(C26,Table1[],2,FALSE),"")</f>
        <v>#802AB7</v>
      </c>
      <c r="E26" s="9" t="s">
        <v>67</v>
      </c>
      <c r="G26" s="6"/>
      <c r="H26" s="7"/>
    </row>
    <row r="27" spans="1:8" ht="15" customHeight="1" x14ac:dyDescent="0.25">
      <c r="A27" s="8" t="s">
        <v>5</v>
      </c>
      <c r="B27" s="4" t="s">
        <v>583</v>
      </c>
      <c r="C27" s="5" t="s">
        <v>8</v>
      </c>
      <c r="D27" s="5" t="str">
        <f>_xlfn.IFNA(VLOOKUP(C27,Table1[],2,FALSE),"")</f>
        <v>#802AB7</v>
      </c>
      <c r="E27" s="9" t="s">
        <v>66</v>
      </c>
      <c r="G27" s="6"/>
      <c r="H27" s="7"/>
    </row>
    <row r="28" spans="1:8" ht="15" customHeight="1" x14ac:dyDescent="0.25">
      <c r="A28" s="8" t="s">
        <v>5</v>
      </c>
      <c r="B28" s="4" t="s">
        <v>583</v>
      </c>
      <c r="C28" s="5" t="s">
        <v>8</v>
      </c>
      <c r="D28" s="5" t="str">
        <f>_xlfn.IFNA(VLOOKUP(C28,Table1[],2,FALSE),"")</f>
        <v>#802AB7</v>
      </c>
      <c r="E28" s="9" t="s">
        <v>68</v>
      </c>
      <c r="G28" s="6"/>
      <c r="H28" s="7"/>
    </row>
    <row r="29" spans="1:8" ht="15" customHeight="1" x14ac:dyDescent="0.25">
      <c r="A29" s="8" t="s">
        <v>5</v>
      </c>
      <c r="B29" s="4" t="s">
        <v>583</v>
      </c>
      <c r="C29" s="5" t="s">
        <v>8</v>
      </c>
      <c r="D29" s="5" t="str">
        <f>_xlfn.IFNA(VLOOKUP(C29,Table1[],2,FALSE),"")</f>
        <v>#802AB7</v>
      </c>
      <c r="E29" s="9" t="s">
        <v>70</v>
      </c>
      <c r="G29" s="6"/>
      <c r="H29" s="7"/>
    </row>
    <row r="30" spans="1:8" ht="15" customHeight="1" x14ac:dyDescent="0.25">
      <c r="A30" s="8" t="s">
        <v>5</v>
      </c>
      <c r="B30" s="4" t="s">
        <v>589</v>
      </c>
      <c r="C30" s="5" t="s">
        <v>20</v>
      </c>
      <c r="D30" s="5" t="str">
        <f>_xlfn.IFNA(VLOOKUP(C30,Table1[],2,FALSE),"")</f>
        <v>#FF5000</v>
      </c>
      <c r="E30" s="9" t="s">
        <v>56</v>
      </c>
      <c r="G30" s="6"/>
      <c r="H30" s="7"/>
    </row>
    <row r="31" spans="1:8" ht="15" customHeight="1" x14ac:dyDescent="0.25">
      <c r="A31" s="8" t="s">
        <v>5</v>
      </c>
      <c r="B31" s="4" t="s">
        <v>589</v>
      </c>
      <c r="C31" s="5" t="s">
        <v>20</v>
      </c>
      <c r="D31" s="5" t="str">
        <f>_xlfn.IFNA(VLOOKUP(C31,Table1[],2,FALSE),"")</f>
        <v>#FF5000</v>
      </c>
      <c r="E31" s="9" t="s">
        <v>57</v>
      </c>
      <c r="G31" s="6"/>
      <c r="H31" s="7"/>
    </row>
    <row r="32" spans="1:8" ht="15" customHeight="1" x14ac:dyDescent="0.25">
      <c r="A32" s="8" t="s">
        <v>5</v>
      </c>
      <c r="B32" s="4" t="s">
        <v>589</v>
      </c>
      <c r="C32" s="5" t="s">
        <v>20</v>
      </c>
      <c r="D32" s="5" t="str">
        <f>_xlfn.IFNA(VLOOKUP(C32,Table1[],2,FALSE),"")</f>
        <v>#FF5000</v>
      </c>
      <c r="E32" s="9" t="s">
        <v>74</v>
      </c>
      <c r="G32" s="6"/>
      <c r="H32" s="7"/>
    </row>
    <row r="33" spans="1:5" ht="15" customHeight="1" x14ac:dyDescent="0.25">
      <c r="A33" s="8" t="s">
        <v>5</v>
      </c>
      <c r="B33" s="4" t="s">
        <v>589</v>
      </c>
      <c r="C33" s="5" t="s">
        <v>20</v>
      </c>
      <c r="D33" s="5" t="str">
        <f>_xlfn.IFNA(VLOOKUP(C33,Table1[],2,FALSE),"")</f>
        <v>#FF5000</v>
      </c>
      <c r="E33" s="9" t="s">
        <v>73</v>
      </c>
    </row>
    <row r="34" spans="1:5" ht="15" customHeight="1" x14ac:dyDescent="0.25">
      <c r="A34" s="8" t="s">
        <v>5</v>
      </c>
      <c r="B34" s="4" t="s">
        <v>589</v>
      </c>
      <c r="C34" s="5" t="s">
        <v>20</v>
      </c>
      <c r="D34" s="5" t="str">
        <f>_xlfn.IFNA(VLOOKUP(C34,Table1[],2,FALSE),"")</f>
        <v>#FF5000</v>
      </c>
      <c r="E34" s="9" t="s">
        <v>55</v>
      </c>
    </row>
    <row r="35" spans="1:5" ht="15" customHeight="1" x14ac:dyDescent="0.25">
      <c r="A35" s="8" t="s">
        <v>5</v>
      </c>
      <c r="B35" s="5" t="s">
        <v>77</v>
      </c>
      <c r="C35" s="5" t="s">
        <v>14</v>
      </c>
      <c r="D35" s="5" t="str">
        <f>_xlfn.IFNA(VLOOKUP(C35,Table1[],2,FALSE),"")</f>
        <v>#00E5BA</v>
      </c>
      <c r="E35" s="9" t="s">
        <v>71</v>
      </c>
    </row>
    <row r="36" spans="1:5" ht="15" customHeight="1" x14ac:dyDescent="0.25">
      <c r="A36" s="8" t="s">
        <v>5</v>
      </c>
      <c r="B36" s="4" t="s">
        <v>75</v>
      </c>
      <c r="C36" s="5" t="s">
        <v>11</v>
      </c>
      <c r="D36" s="5" t="str">
        <f>_xlfn.IFNA(VLOOKUP(C36,Table1[],2,FALSE),"")</f>
        <v>#AEAE9F</v>
      </c>
      <c r="E36" s="9" t="s">
        <v>59</v>
      </c>
    </row>
    <row r="37" spans="1:5" ht="15" customHeight="1" x14ac:dyDescent="0.25">
      <c r="A37" s="8" t="s">
        <v>5</v>
      </c>
      <c r="B37" s="4" t="s">
        <v>75</v>
      </c>
      <c r="C37" s="5" t="s">
        <v>11</v>
      </c>
      <c r="D37" s="5" t="str">
        <f>_xlfn.IFNA(VLOOKUP(C37,Table1[],2,FALSE),"")</f>
        <v>#AEAE9F</v>
      </c>
      <c r="E37" s="9" t="s">
        <v>60</v>
      </c>
    </row>
    <row r="38" spans="1:5" ht="15" customHeight="1" x14ac:dyDescent="0.25">
      <c r="A38" s="8" t="s">
        <v>5</v>
      </c>
      <c r="B38" s="4" t="s">
        <v>75</v>
      </c>
      <c r="C38" s="5" t="s">
        <v>11</v>
      </c>
      <c r="D38" s="5" t="str">
        <f>_xlfn.IFNA(VLOOKUP(C38,Table1[],2,FALSE),"")</f>
        <v>#AEAE9F</v>
      </c>
      <c r="E38" s="9" t="s">
        <v>61</v>
      </c>
    </row>
    <row r="39" spans="1:5" ht="15" customHeight="1" x14ac:dyDescent="0.25">
      <c r="A39" s="8" t="s">
        <v>5</v>
      </c>
      <c r="B39" s="4" t="s">
        <v>76</v>
      </c>
      <c r="C39" s="5" t="s">
        <v>22</v>
      </c>
      <c r="D39" s="5" t="str">
        <f>_xlfn.IFNA(VLOOKUP(C39,Table1[],2,FALSE),"")</f>
        <v>#FA0028</v>
      </c>
      <c r="E39" s="9" t="s">
        <v>62</v>
      </c>
    </row>
    <row r="40" spans="1:5" ht="15" customHeight="1" x14ac:dyDescent="0.25">
      <c r="A40" s="8" t="s">
        <v>5</v>
      </c>
      <c r="B40" s="4" t="s">
        <v>76</v>
      </c>
      <c r="C40" s="5" t="s">
        <v>22</v>
      </c>
      <c r="D40" s="5" t="str">
        <f>_xlfn.IFNA(VLOOKUP(C40,Table1[],2,FALSE),"")</f>
        <v>#FA0028</v>
      </c>
      <c r="E40" s="9" t="s">
        <v>63</v>
      </c>
    </row>
    <row r="41" spans="1:5" ht="15" customHeight="1" x14ac:dyDescent="0.25">
      <c r="A41" s="8" t="s">
        <v>5</v>
      </c>
      <c r="B41" s="4" t="s">
        <v>76</v>
      </c>
      <c r="C41" s="5" t="s">
        <v>22</v>
      </c>
      <c r="D41" s="5" t="str">
        <f>_xlfn.IFNA(VLOOKUP(C41,Table1[],2,FALSE),"")</f>
        <v>#FA0028</v>
      </c>
      <c r="E41" s="9" t="s">
        <v>64</v>
      </c>
    </row>
  </sheetData>
  <autoFilter ref="A1:E41" xr:uid="{419810F7-B0D2-4B07-9094-F238C90331AE}">
    <sortState xmlns:xlrd2="http://schemas.microsoft.com/office/spreadsheetml/2017/richdata2" ref="A2:E41">
      <sortCondition ref="A1:A4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99D5F27-2881-485B-8549-70FE02C3EA91}">
          <x14:formula1>
            <xm:f>CATA!$A:$A</xm:f>
          </x14:formula1>
          <xm:sqref>C2:C41</xm:sqref>
        </x14:dataValidation>
        <x14:dataValidation type="list" allowBlank="1" showInputMessage="1" showErrorMessage="1" xr:uid="{0FFEC8FC-8832-4877-9D5E-A671292B356D}">
          <x14:formula1>
            <xm:f>CATA!$A$1:$A$4</xm:f>
          </x14:formula1>
          <xm:sqref>C1</xm:sqref>
        </x14:dataValidation>
        <x14:dataValidation type="list" allowBlank="1" showInputMessage="1" showErrorMessage="1" xr:uid="{129080FE-91EA-43A6-AF5A-DFFCD7794B67}">
          <x14:formula1>
            <xm:f>CATA!$A$2:$A$7</xm:f>
          </x14:formula1>
          <xm:sqref>C42:C55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5B2-E2B4-4BB4-92B2-ED14509F35F7}">
  <sheetPr filterMode="1"/>
  <dimension ref="A1:R54"/>
  <sheetViews>
    <sheetView zoomScaleNormal="100" workbookViewId="0">
      <selection activeCell="B28" sqref="B28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</cols>
  <sheetData>
    <row r="1" spans="1:18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K1" t="s">
        <v>25</v>
      </c>
    </row>
    <row r="2" spans="1:18" hidden="1" x14ac:dyDescent="0.25">
      <c r="A2" s="5" t="s">
        <v>6</v>
      </c>
      <c r="B2" s="5" t="s">
        <v>79</v>
      </c>
      <c r="C2" s="5" t="s">
        <v>28</v>
      </c>
      <c r="D2" s="5" t="str">
        <f>_xlfn.IFNA(VLOOKUP(C2,Table1[],2,FALSE),"")</f>
        <v>#D9D9D9</v>
      </c>
      <c r="E2" s="5" t="s">
        <v>73</v>
      </c>
      <c r="G2" s="5" t="s">
        <v>79</v>
      </c>
      <c r="H2" s="4" t="str">
        <f t="shared" ref="H2:H21" si="0">VLOOKUP(G2,$L$46:$N$54,3,0)</f>
        <v>Brewed with care (11.2%)</v>
      </c>
      <c r="K2" t="s">
        <v>26</v>
      </c>
    </row>
    <row r="3" spans="1:18" hidden="1" x14ac:dyDescent="0.25">
      <c r="A3" s="5" t="s">
        <v>6</v>
      </c>
      <c r="B3" s="5" t="s">
        <v>80</v>
      </c>
      <c r="C3" s="5" t="s">
        <v>28</v>
      </c>
      <c r="D3" s="5" t="str">
        <f>_xlfn.IFNA(VLOOKUP(C3,Table1[],2,FALSE),"")</f>
        <v>#D9D9D9</v>
      </c>
      <c r="E3" s="5" t="s">
        <v>74</v>
      </c>
      <c r="G3" s="5" t="s">
        <v>80</v>
      </c>
      <c r="H3" s="4" t="str">
        <f t="shared" si="0"/>
        <v>High quality brand (0.0%)</v>
      </c>
    </row>
    <row r="4" spans="1:18" hidden="1" x14ac:dyDescent="0.25">
      <c r="A4" s="5" t="s">
        <v>6</v>
      </c>
      <c r="B4" s="4" t="s">
        <v>113</v>
      </c>
      <c r="C4" s="5" t="s">
        <v>11</v>
      </c>
      <c r="D4" s="5" t="str">
        <f>_xlfn.IFNA(VLOOKUP(C4,Table1[],2,FALSE),"")</f>
        <v>#AEAE9F</v>
      </c>
      <c r="E4" s="9" t="s">
        <v>69</v>
      </c>
      <c r="G4" s="4" t="s">
        <v>113</v>
      </c>
      <c r="H4" s="4" t="str">
        <f t="shared" si="0"/>
        <v>Refreshing and relaxing meals (15.2%)</v>
      </c>
    </row>
    <row r="5" spans="1:18" hidden="1" x14ac:dyDescent="0.25">
      <c r="A5" s="5" t="s">
        <v>6</v>
      </c>
      <c r="B5" s="4" t="s">
        <v>113</v>
      </c>
      <c r="C5" s="5" t="s">
        <v>11</v>
      </c>
      <c r="D5" s="5" t="str">
        <f>_xlfn.IFNA(VLOOKUP(C5,Table1[],2,FALSE),"")</f>
        <v>#AEAE9F</v>
      </c>
      <c r="E5" s="5" t="s">
        <v>70</v>
      </c>
      <c r="G5" s="4" t="s">
        <v>113</v>
      </c>
      <c r="H5" s="4" t="str">
        <f t="shared" si="0"/>
        <v>Refreshing and relaxing meals (15.2%)</v>
      </c>
    </row>
    <row r="6" spans="1:18" hidden="1" x14ac:dyDescent="0.25">
      <c r="A6" s="5" t="s">
        <v>6</v>
      </c>
      <c r="B6" s="4" t="s">
        <v>212</v>
      </c>
      <c r="C6" s="5" t="s">
        <v>20</v>
      </c>
      <c r="D6" s="5" t="str">
        <f>_xlfn.IFNA(VLOOKUP(C6,Table1[],2,FALSE),"")</f>
        <v>#FF5000</v>
      </c>
      <c r="E6" s="9" t="s">
        <v>65</v>
      </c>
      <c r="G6" s="4" t="s">
        <v>111</v>
      </c>
      <c r="H6" s="4" t="str">
        <f t="shared" si="0"/>
        <v>Indulgent scape with friends (23.3%)</v>
      </c>
    </row>
    <row r="7" spans="1:18" hidden="1" x14ac:dyDescent="0.25">
      <c r="A7" s="5" t="s">
        <v>6</v>
      </c>
      <c r="B7" s="4" t="s">
        <v>212</v>
      </c>
      <c r="C7" s="5" t="s">
        <v>20</v>
      </c>
      <c r="D7" s="5" t="str">
        <f>_xlfn.IFNA(VLOOKUP(C7,Table1[],2,FALSE),"")</f>
        <v>#FF5000</v>
      </c>
      <c r="E7" s="9" t="s">
        <v>66</v>
      </c>
      <c r="G7" s="4" t="s">
        <v>111</v>
      </c>
      <c r="H7" s="4" t="str">
        <f t="shared" si="0"/>
        <v>Indulgent scape with friends (23.3%)</v>
      </c>
    </row>
    <row r="8" spans="1:18" hidden="1" x14ac:dyDescent="0.25">
      <c r="A8" s="5" t="s">
        <v>6</v>
      </c>
      <c r="B8" s="4" t="s">
        <v>212</v>
      </c>
      <c r="C8" s="5" t="s">
        <v>20</v>
      </c>
      <c r="D8" s="5" t="str">
        <f>_xlfn.IFNA(VLOOKUP(C8,Table1[],2,FALSE),"")</f>
        <v>#FF5000</v>
      </c>
      <c r="E8" s="9" t="s">
        <v>67</v>
      </c>
      <c r="G8" s="4" t="s">
        <v>111</v>
      </c>
      <c r="H8" s="4" t="str">
        <f t="shared" si="0"/>
        <v>Indulgent scape with friends (23.3%)</v>
      </c>
    </row>
    <row r="9" spans="1:18" hidden="1" x14ac:dyDescent="0.25">
      <c r="A9" s="5" t="s">
        <v>6</v>
      </c>
      <c r="B9" s="4" t="s">
        <v>113</v>
      </c>
      <c r="C9" s="5" t="s">
        <v>11</v>
      </c>
      <c r="D9" s="5" t="str">
        <f>_xlfn.IFNA(VLOOKUP(C9,Table1[],2,FALSE),"")</f>
        <v>#AEAE9F</v>
      </c>
      <c r="E9" s="9" t="s">
        <v>68</v>
      </c>
      <c r="G9" s="4" t="s">
        <v>113</v>
      </c>
      <c r="H9" s="4" t="str">
        <f t="shared" si="0"/>
        <v>Refreshing and relaxing meals (15.2%)</v>
      </c>
    </row>
    <row r="10" spans="1:18" hidden="1" x14ac:dyDescent="0.25">
      <c r="A10" s="5" t="s">
        <v>6</v>
      </c>
      <c r="B10" s="5" t="s">
        <v>77</v>
      </c>
      <c r="C10" s="5" t="s">
        <v>14</v>
      </c>
      <c r="D10" s="5" t="str">
        <f>_xlfn.IFNA(VLOOKUP(C10,Table1[],2,FALSE),"")</f>
        <v>#00E5BA</v>
      </c>
      <c r="E10" s="5" t="s">
        <v>71</v>
      </c>
      <c r="G10" s="5" t="s">
        <v>77</v>
      </c>
      <c r="H10" s="4" t="str">
        <f t="shared" si="0"/>
        <v>Smooth taste (4.6%)</v>
      </c>
    </row>
    <row r="11" spans="1:18" hidden="1" x14ac:dyDescent="0.25">
      <c r="A11" s="5" t="s">
        <v>6</v>
      </c>
      <c r="B11" s="4" t="s">
        <v>75</v>
      </c>
      <c r="C11" s="5" t="s">
        <v>9</v>
      </c>
      <c r="D11" s="5" t="str">
        <f>_xlfn.IFNA(VLOOKUP(C11,Table1[],2,FALSE),"")</f>
        <v>#0060FF</v>
      </c>
      <c r="E11" s="9" t="s">
        <v>59</v>
      </c>
      <c r="G11" s="4" t="s">
        <v>75</v>
      </c>
      <c r="H11" s="4" t="str">
        <f t="shared" si="0"/>
        <v>Social commitment (9.0%)</v>
      </c>
    </row>
    <row r="12" spans="1:18" hidden="1" x14ac:dyDescent="0.25">
      <c r="A12" s="5" t="s">
        <v>6</v>
      </c>
      <c r="B12" s="4" t="s">
        <v>75</v>
      </c>
      <c r="C12" s="5" t="s">
        <v>9</v>
      </c>
      <c r="D12" s="5" t="str">
        <f>_xlfn.IFNA(VLOOKUP(C12,Table1[],2,FALSE),"")</f>
        <v>#0060FF</v>
      </c>
      <c r="E12" s="9" t="s">
        <v>60</v>
      </c>
      <c r="G12" s="4" t="s">
        <v>75</v>
      </c>
      <c r="H12" s="4" t="str">
        <f t="shared" si="0"/>
        <v>Social commitment (9.0%)</v>
      </c>
      <c r="L12" t="s">
        <v>85</v>
      </c>
      <c r="M12" t="s">
        <v>83</v>
      </c>
      <c r="N12" t="s">
        <v>76</v>
      </c>
      <c r="O12" t="s">
        <v>75</v>
      </c>
      <c r="P12" t="s">
        <v>110</v>
      </c>
      <c r="Q12" t="s">
        <v>84</v>
      </c>
      <c r="R12" t="s">
        <v>82</v>
      </c>
    </row>
    <row r="13" spans="1:18" hidden="1" x14ac:dyDescent="0.25">
      <c r="A13" s="5" t="s">
        <v>6</v>
      </c>
      <c r="B13" s="4" t="s">
        <v>75</v>
      </c>
      <c r="C13" s="5" t="s">
        <v>9</v>
      </c>
      <c r="D13" s="5" t="str">
        <f>_xlfn.IFNA(VLOOKUP(C13,Table1[],2,FALSE),"")</f>
        <v>#0060FF</v>
      </c>
      <c r="E13" s="9" t="s">
        <v>61</v>
      </c>
      <c r="G13" s="4" t="s">
        <v>75</v>
      </c>
      <c r="H13" s="4" t="str">
        <f t="shared" si="0"/>
        <v>Social commitment (9.0%)</v>
      </c>
      <c r="J13" t="s">
        <v>159</v>
      </c>
      <c r="K13">
        <v>0.67589696237249819</v>
      </c>
      <c r="L13">
        <v>0.24243947079562395</v>
      </c>
      <c r="M13">
        <v>0.1269301033651945</v>
      </c>
      <c r="N13">
        <v>9.7068765637114515E-2</v>
      </c>
      <c r="O13">
        <v>4.9972203823767387E-2</v>
      </c>
      <c r="P13">
        <v>4.3393755922797608E-2</v>
      </c>
      <c r="Q13">
        <v>8.3751711965042913E-2</v>
      </c>
      <c r="R13">
        <v>3.2340950862957255E-2</v>
      </c>
    </row>
    <row r="14" spans="1:18" hidden="1" x14ac:dyDescent="0.25">
      <c r="A14" s="5" t="s">
        <v>6</v>
      </c>
      <c r="B14" s="4" t="s">
        <v>211</v>
      </c>
      <c r="C14" s="5" t="s">
        <v>17</v>
      </c>
      <c r="D14" s="5" t="str">
        <f>_xlfn.IFNA(VLOOKUP(C14,Table1[],2,FALSE),"")</f>
        <v>#FEDB00</v>
      </c>
      <c r="E14" s="9" t="s">
        <v>55</v>
      </c>
      <c r="G14" t="s">
        <v>211</v>
      </c>
      <c r="H14" s="4" t="str">
        <f t="shared" si="0"/>
        <v>Balanced special occasions (21.6%)</v>
      </c>
      <c r="J14" t="s">
        <v>160</v>
      </c>
      <c r="K14">
        <v>0.59694001766237648</v>
      </c>
      <c r="L14">
        <v>0.12337309494259616</v>
      </c>
      <c r="M14">
        <v>0.15900971918213122</v>
      </c>
      <c r="N14">
        <v>6.7227260321268079E-2</v>
      </c>
      <c r="O14">
        <v>6.8518512012781502E-2</v>
      </c>
      <c r="P14">
        <v>6.4925194954691887E-2</v>
      </c>
      <c r="Q14">
        <v>3.878428380335959E-2</v>
      </c>
      <c r="R14">
        <v>7.5101952445548015E-2</v>
      </c>
    </row>
    <row r="15" spans="1:18" hidden="1" x14ac:dyDescent="0.25">
      <c r="A15" s="5" t="s">
        <v>6</v>
      </c>
      <c r="B15" s="4" t="s">
        <v>211</v>
      </c>
      <c r="C15" s="5" t="s">
        <v>17</v>
      </c>
      <c r="D15" s="5" t="str">
        <f>_xlfn.IFNA(VLOOKUP(C15,Table1[],2,FALSE),"")</f>
        <v>#FEDB00</v>
      </c>
      <c r="E15" s="9" t="s">
        <v>56</v>
      </c>
      <c r="G15" t="s">
        <v>211</v>
      </c>
      <c r="H15" s="4" t="str">
        <f t="shared" si="0"/>
        <v>Balanced special occasions (21.6%)</v>
      </c>
      <c r="J15" t="s">
        <v>161</v>
      </c>
      <c r="K15">
        <v>1.0226284086879256</v>
      </c>
      <c r="L15">
        <v>0.31417794649696651</v>
      </c>
      <c r="M15">
        <v>0.11822020456783951</v>
      </c>
      <c r="N15">
        <v>0.26691341409258124</v>
      </c>
      <c r="O15">
        <v>8.9821019214204295E-2</v>
      </c>
      <c r="P15">
        <v>9.3990531970297983E-2</v>
      </c>
      <c r="Q15">
        <v>6.860691704142978E-2</v>
      </c>
      <c r="R15">
        <v>7.0898375304606479E-2</v>
      </c>
    </row>
    <row r="16" spans="1:18" hidden="1" x14ac:dyDescent="0.25">
      <c r="A16" s="5" t="s">
        <v>6</v>
      </c>
      <c r="B16" s="4" t="s">
        <v>211</v>
      </c>
      <c r="C16" s="5" t="s">
        <v>17</v>
      </c>
      <c r="D16" s="5" t="str">
        <f>_xlfn.IFNA(VLOOKUP(C16,Table1[],2,FALSE),"")</f>
        <v>#FEDB00</v>
      </c>
      <c r="E16" s="9" t="s">
        <v>57</v>
      </c>
      <c r="G16" t="s">
        <v>211</v>
      </c>
      <c r="H16" s="4" t="str">
        <f t="shared" si="0"/>
        <v>Balanced special occasions (21.6%)</v>
      </c>
      <c r="J16" t="s">
        <v>162</v>
      </c>
      <c r="K16">
        <v>1.344689314497183</v>
      </c>
      <c r="L16">
        <v>0.41048277220716267</v>
      </c>
      <c r="M16">
        <v>0.19241996202541689</v>
      </c>
      <c r="N16">
        <v>0.30292416994332849</v>
      </c>
      <c r="O16">
        <v>0.11716879853831434</v>
      </c>
      <c r="P16">
        <v>0.11220055933328349</v>
      </c>
      <c r="Q16">
        <v>0.10959803302566827</v>
      </c>
      <c r="R16">
        <v>9.9895019424008788E-2</v>
      </c>
    </row>
    <row r="17" spans="1:18" hidden="1" x14ac:dyDescent="0.25">
      <c r="A17" s="5" t="s">
        <v>6</v>
      </c>
      <c r="B17" s="4" t="s">
        <v>211</v>
      </c>
      <c r="C17" s="5" t="s">
        <v>17</v>
      </c>
      <c r="D17" s="5" t="str">
        <f>_xlfn.IFNA(VLOOKUP(C17,Table1[],2,FALSE),"")</f>
        <v>#FEDB00</v>
      </c>
      <c r="E17" s="9" t="s">
        <v>58</v>
      </c>
      <c r="G17" t="s">
        <v>211</v>
      </c>
      <c r="H17" s="4" t="str">
        <f t="shared" si="0"/>
        <v>Balanced special occasions (21.6%)</v>
      </c>
      <c r="J17" t="s">
        <v>163</v>
      </c>
      <c r="K17">
        <v>0.90726700307865404</v>
      </c>
      <c r="L17">
        <v>0.25529466375920778</v>
      </c>
      <c r="M17">
        <v>0.18339553710794548</v>
      </c>
      <c r="N17">
        <v>0.14215579220089464</v>
      </c>
      <c r="O17">
        <v>9.2780125925212259E-2</v>
      </c>
      <c r="P17">
        <v>8.1675156704594173E-2</v>
      </c>
      <c r="Q17">
        <v>7.5539638361839467E-2</v>
      </c>
      <c r="R17">
        <v>7.6426089018960322E-2</v>
      </c>
    </row>
    <row r="18" spans="1:18" hidden="1" x14ac:dyDescent="0.25">
      <c r="A18" s="5" t="s">
        <v>6</v>
      </c>
      <c r="B18" s="5" t="s">
        <v>78</v>
      </c>
      <c r="C18" s="5" t="s">
        <v>23</v>
      </c>
      <c r="D18" s="5" t="str">
        <f>_xlfn.IFNA(VLOOKUP(C18,Table1[],2,FALSE),"")</f>
        <v>#C700D3</v>
      </c>
      <c r="E18" s="5" t="s">
        <v>72</v>
      </c>
      <c r="G18" s="5" t="s">
        <v>78</v>
      </c>
      <c r="H18" s="4" t="str">
        <f t="shared" si="0"/>
        <v>Successful international brand (0.0%)</v>
      </c>
    </row>
    <row r="19" spans="1:18" hidden="1" x14ac:dyDescent="0.25">
      <c r="A19" s="5" t="s">
        <v>6</v>
      </c>
      <c r="B19" s="5" t="s">
        <v>76</v>
      </c>
      <c r="C19" s="5" t="s">
        <v>22</v>
      </c>
      <c r="D19" s="5" t="str">
        <f>_xlfn.IFNA(VLOOKUP(C19,Table1[],2,FALSE),"")</f>
        <v>#FA0028</v>
      </c>
      <c r="E19" s="9" t="s">
        <v>62</v>
      </c>
      <c r="G19" s="5" t="s">
        <v>76</v>
      </c>
      <c r="H19" s="4" t="str">
        <f t="shared" si="0"/>
        <v>Traditions and national pride (15.1%)</v>
      </c>
      <c r="J19" t="s">
        <v>164</v>
      </c>
      <c r="L19">
        <v>0.35869294329216334</v>
      </c>
      <c r="M19">
        <v>0.18779504929220436</v>
      </c>
      <c r="N19">
        <v>0.14361473869684044</v>
      </c>
      <c r="O19">
        <v>7.3934647743285564E-2</v>
      </c>
      <c r="P19">
        <v>6.420173242157963E-2</v>
      </c>
      <c r="Q19">
        <v>0.12391195200975905</v>
      </c>
      <c r="R19">
        <v>4.7848936544167532E-2</v>
      </c>
    </row>
    <row r="20" spans="1:18" hidden="1" x14ac:dyDescent="0.25">
      <c r="A20" s="5" t="s">
        <v>6</v>
      </c>
      <c r="B20" s="5" t="s">
        <v>76</v>
      </c>
      <c r="C20" s="5" t="s">
        <v>22</v>
      </c>
      <c r="D20" s="5" t="str">
        <f>_xlfn.IFNA(VLOOKUP(C20,Table1[],2,FALSE),"")</f>
        <v>#FA0028</v>
      </c>
      <c r="E20" s="9" t="s">
        <v>63</v>
      </c>
      <c r="G20" s="5" t="s">
        <v>76</v>
      </c>
      <c r="H20" s="4" t="str">
        <f t="shared" si="0"/>
        <v>Traditions and national pride (15.1%)</v>
      </c>
      <c r="J20" t="s">
        <v>165</v>
      </c>
      <c r="L20">
        <v>0.20667586573560023</v>
      </c>
      <c r="M20">
        <v>0.26637470177458533</v>
      </c>
      <c r="N20">
        <v>0.11261979149015801</v>
      </c>
      <c r="O20">
        <v>0.11478290948075609</v>
      </c>
      <c r="P20">
        <v>0.10876334813159226</v>
      </c>
      <c r="Q20">
        <v>6.4971827412809852E-2</v>
      </c>
      <c r="R20">
        <v>0.1258115559744982</v>
      </c>
    </row>
    <row r="21" spans="1:18" hidden="1" x14ac:dyDescent="0.25">
      <c r="A21" s="5" t="s">
        <v>6</v>
      </c>
      <c r="B21" s="5" t="s">
        <v>76</v>
      </c>
      <c r="C21" s="5" t="s">
        <v>22</v>
      </c>
      <c r="D21" s="5" t="str">
        <f>_xlfn.IFNA(VLOOKUP(C21,Table1[],2,FALSE),"")</f>
        <v>#FA0028</v>
      </c>
      <c r="E21" s="9" t="s">
        <v>64</v>
      </c>
      <c r="G21" s="5" t="s">
        <v>76</v>
      </c>
      <c r="H21" s="4" t="str">
        <f t="shared" si="0"/>
        <v>Traditions and national pride (15.1%)</v>
      </c>
      <c r="J21" t="s">
        <v>166</v>
      </c>
      <c r="L21">
        <v>0.30722591297856644</v>
      </c>
      <c r="M21">
        <v>0.11560426403518449</v>
      </c>
      <c r="N21">
        <v>0.26100723569281842</v>
      </c>
      <c r="O21">
        <v>8.7833487170035071E-2</v>
      </c>
      <c r="P21">
        <v>9.191073822297946E-2</v>
      </c>
      <c r="Q21">
        <v>6.7088804162457494E-2</v>
      </c>
      <c r="R21">
        <v>6.9329557737958819E-2</v>
      </c>
    </row>
    <row r="22" spans="1:18" x14ac:dyDescent="0.25">
      <c r="A22" s="8" t="s">
        <v>5</v>
      </c>
      <c r="B22" s="4" t="s">
        <v>110</v>
      </c>
      <c r="C22" s="5" t="s">
        <v>17</v>
      </c>
      <c r="D22" s="5" t="str">
        <f>_xlfn.IFNA(VLOOKUP(C22,Table1[],2,FALSE),"")</f>
        <v>#FEDB00</v>
      </c>
      <c r="E22" s="9" t="s">
        <v>58</v>
      </c>
      <c r="G22" s="4" t="s">
        <v>110</v>
      </c>
      <c r="H22" s="4" t="str">
        <f t="shared" ref="H22:H41" si="1">VLOOKUP(G22,$K$30:$M$36,3,0)</f>
        <v>(8.3%) Balanced lifestyle</v>
      </c>
      <c r="J22" t="s">
        <v>167</v>
      </c>
      <c r="L22">
        <v>0.30526216560340086</v>
      </c>
      <c r="M22">
        <v>0.14309622300922953</v>
      </c>
      <c r="N22">
        <v>0.2252744679960518</v>
      </c>
      <c r="O22">
        <v>8.7134475804269362E-2</v>
      </c>
      <c r="P22">
        <v>8.343976420697477E-2</v>
      </c>
      <c r="Q22">
        <v>8.1504353343247946E-2</v>
      </c>
      <c r="R22">
        <v>7.4288550036825676E-2</v>
      </c>
    </row>
    <row r="23" spans="1:18" x14ac:dyDescent="0.25">
      <c r="A23" s="8" t="s">
        <v>5</v>
      </c>
      <c r="B23" s="4" t="s">
        <v>82</v>
      </c>
      <c r="C23" s="5" t="s">
        <v>23</v>
      </c>
      <c r="D23" s="5" t="str">
        <f>_xlfn.IFNA(VLOOKUP(C23,Table1[],2,FALSE),"")</f>
        <v>#C700D3</v>
      </c>
      <c r="E23" s="5" t="s">
        <v>72</v>
      </c>
      <c r="G23" s="4" t="s">
        <v>82</v>
      </c>
      <c r="H23" s="4" t="str">
        <f t="shared" si="1"/>
        <v>(7.4%) International</v>
      </c>
      <c r="J23" t="s">
        <v>168</v>
      </c>
      <c r="L23">
        <v>0.28138867928945877</v>
      </c>
      <c r="M23">
        <v>0.20214064491006989</v>
      </c>
      <c r="N23">
        <v>0.15668572946939929</v>
      </c>
      <c r="O23">
        <v>0.10226330904836052</v>
      </c>
      <c r="P23">
        <v>9.0023285788465385E-2</v>
      </c>
      <c r="Q23">
        <v>8.3260647753647749E-2</v>
      </c>
      <c r="R23">
        <v>8.4237703740598496E-2</v>
      </c>
    </row>
    <row r="24" spans="1:18" ht="15" customHeight="1" x14ac:dyDescent="0.25">
      <c r="A24" s="8" t="s">
        <v>5</v>
      </c>
      <c r="B24" s="4" t="s">
        <v>85</v>
      </c>
      <c r="C24" s="5" t="s">
        <v>16</v>
      </c>
      <c r="D24" s="5" t="str">
        <f>_xlfn.IFNA(VLOOKUP(C24,Table1[],2,FALSE),"")</f>
        <v>#00B600</v>
      </c>
      <c r="E24" s="9" t="s">
        <v>65</v>
      </c>
      <c r="G24" s="4" t="s">
        <v>85</v>
      </c>
      <c r="H24" s="4" t="str">
        <f t="shared" si="1"/>
        <v>(30.5%) Intrinsic + Gathering</v>
      </c>
    </row>
    <row r="25" spans="1:18" ht="15" customHeight="1" x14ac:dyDescent="0.25">
      <c r="A25" s="8" t="s">
        <v>5</v>
      </c>
      <c r="B25" s="4" t="s">
        <v>85</v>
      </c>
      <c r="C25" s="5" t="s">
        <v>16</v>
      </c>
      <c r="D25" s="5" t="str">
        <f>_xlfn.IFNA(VLOOKUP(C25,Table1[],2,FALSE),"")</f>
        <v>#00B600</v>
      </c>
      <c r="E25" s="9" t="s">
        <v>66</v>
      </c>
      <c r="G25" s="4" t="s">
        <v>85</v>
      </c>
      <c r="H25" s="4" t="str">
        <f t="shared" si="1"/>
        <v>(30.5%) Intrinsic + Gathering</v>
      </c>
    </row>
    <row r="26" spans="1:18" ht="15" customHeight="1" x14ac:dyDescent="0.25">
      <c r="A26" s="8" t="s">
        <v>5</v>
      </c>
      <c r="B26" s="4" t="s">
        <v>85</v>
      </c>
      <c r="C26" s="5" t="s">
        <v>16</v>
      </c>
      <c r="D26" s="5" t="str">
        <f>_xlfn.IFNA(VLOOKUP(C26,Table1[],2,FALSE),"")</f>
        <v>#00B600</v>
      </c>
      <c r="E26" s="9" t="s">
        <v>67</v>
      </c>
      <c r="G26" s="4" t="s">
        <v>85</v>
      </c>
      <c r="H26" s="4" t="str">
        <f t="shared" si="1"/>
        <v>(30.5%) Intrinsic + Gathering</v>
      </c>
    </row>
    <row r="27" spans="1:18" ht="15" customHeight="1" x14ac:dyDescent="0.25">
      <c r="A27" s="8" t="s">
        <v>5</v>
      </c>
      <c r="B27" s="4" t="s">
        <v>85</v>
      </c>
      <c r="C27" s="5" t="s">
        <v>16</v>
      </c>
      <c r="D27" s="5" t="str">
        <f>_xlfn.IFNA(VLOOKUP(C27,Table1[],2,FALSE),"")</f>
        <v>#00B600</v>
      </c>
      <c r="E27" s="9" t="s">
        <v>68</v>
      </c>
      <c r="G27" s="4" t="s">
        <v>85</v>
      </c>
      <c r="H27" s="4" t="str">
        <f t="shared" si="1"/>
        <v>(30.5%) Intrinsic + Gathering</v>
      </c>
    </row>
    <row r="28" spans="1:18" ht="15" customHeight="1" x14ac:dyDescent="0.25">
      <c r="A28" s="8" t="s">
        <v>5</v>
      </c>
      <c r="B28" s="4" t="s">
        <v>85</v>
      </c>
      <c r="C28" s="5" t="s">
        <v>16</v>
      </c>
      <c r="D28" s="5" t="str">
        <f>_xlfn.IFNA(VLOOKUP(C28,Table1[],2,FALSE),"")</f>
        <v>#00B600</v>
      </c>
      <c r="E28" s="9" t="s">
        <v>69</v>
      </c>
      <c r="G28" s="4" t="s">
        <v>85</v>
      </c>
      <c r="H28" s="4" t="str">
        <f t="shared" si="1"/>
        <v>(30.5%) Intrinsic + Gathering</v>
      </c>
    </row>
    <row r="29" spans="1:18" ht="15" customHeight="1" x14ac:dyDescent="0.25">
      <c r="A29" s="8" t="s">
        <v>5</v>
      </c>
      <c r="B29" s="4" t="s">
        <v>85</v>
      </c>
      <c r="C29" s="5" t="s">
        <v>16</v>
      </c>
      <c r="D29" s="5" t="str">
        <f>_xlfn.IFNA(VLOOKUP(C29,Table1[],2,FALSE),"")</f>
        <v>#00B600</v>
      </c>
      <c r="E29" s="5" t="s">
        <v>70</v>
      </c>
      <c r="G29" s="4" t="s">
        <v>85</v>
      </c>
      <c r="H29" s="4" t="str">
        <f t="shared" si="1"/>
        <v>(30.5%) Intrinsic + Gathering</v>
      </c>
      <c r="L29" t="s">
        <v>167</v>
      </c>
    </row>
    <row r="30" spans="1:18" ht="15" customHeight="1" x14ac:dyDescent="0.25">
      <c r="A30" s="8" t="s">
        <v>5</v>
      </c>
      <c r="B30" s="4" t="s">
        <v>83</v>
      </c>
      <c r="C30" s="5" t="s">
        <v>17</v>
      </c>
      <c r="D30" s="5" t="str">
        <f>_xlfn.IFNA(VLOOKUP(C30,Table1[],2,FALSE),"")</f>
        <v>#FEDB00</v>
      </c>
      <c r="E30" s="9" t="s">
        <v>57</v>
      </c>
      <c r="G30" s="4" t="s">
        <v>83</v>
      </c>
      <c r="H30" s="4" t="str">
        <f t="shared" si="1"/>
        <v>(14.3%) Quality + Special occasions</v>
      </c>
      <c r="K30" t="s">
        <v>85</v>
      </c>
      <c r="L30" s="12">
        <v>0.30526216560340086</v>
      </c>
      <c r="M30" t="str">
        <f>_xlfn.TEXTJOIN(" ",1,TEXT(L30,"(0.0%)"),K30)</f>
        <v>(30.5%) Intrinsic + Gathering</v>
      </c>
    </row>
    <row r="31" spans="1:18" ht="15" customHeight="1" x14ac:dyDescent="0.25">
      <c r="A31" s="8" t="s">
        <v>5</v>
      </c>
      <c r="B31" s="4" t="s">
        <v>83</v>
      </c>
      <c r="C31" s="5" t="s">
        <v>8</v>
      </c>
      <c r="D31" s="5" t="str">
        <f>_xlfn.IFNA(VLOOKUP(C31,Table1[],2,FALSE),"")</f>
        <v>#802AB7</v>
      </c>
      <c r="E31" s="9" t="s">
        <v>55</v>
      </c>
      <c r="G31" s="4" t="s">
        <v>83</v>
      </c>
      <c r="H31" s="4" t="str">
        <f t="shared" si="1"/>
        <v>(14.3%) Quality + Special occasions</v>
      </c>
      <c r="K31" t="s">
        <v>83</v>
      </c>
      <c r="L31" s="12">
        <v>0.14309622300922953</v>
      </c>
      <c r="M31" t="str">
        <f t="shared" ref="M31:M36" si="2">_xlfn.TEXTJOIN(" ",1,TEXT(L31,"(0.0%)"),K31)</f>
        <v>(14.3%) Quality + Special occasions</v>
      </c>
    </row>
    <row r="32" spans="1:18" ht="15" customHeight="1" x14ac:dyDescent="0.25">
      <c r="A32" s="8" t="s">
        <v>5</v>
      </c>
      <c r="B32" s="4" t="s">
        <v>83</v>
      </c>
      <c r="C32" s="5" t="s">
        <v>8</v>
      </c>
      <c r="D32" s="5" t="str">
        <f>_xlfn.IFNA(VLOOKUP(C32,Table1[],2,FALSE),"")</f>
        <v>#802AB7</v>
      </c>
      <c r="E32" s="9" t="s">
        <v>56</v>
      </c>
      <c r="G32" s="4" t="s">
        <v>83</v>
      </c>
      <c r="H32" s="4" t="str">
        <f t="shared" si="1"/>
        <v>(14.3%) Quality + Special occasions</v>
      </c>
      <c r="K32" t="s">
        <v>76</v>
      </c>
      <c r="L32" s="12">
        <v>0.2252744679960518</v>
      </c>
      <c r="M32" t="str">
        <f t="shared" si="2"/>
        <v>(22.5%) Traditions and national pride</v>
      </c>
    </row>
    <row r="33" spans="1:14" ht="15" customHeight="1" x14ac:dyDescent="0.25">
      <c r="A33" s="8" t="s">
        <v>5</v>
      </c>
      <c r="B33" s="4" t="s">
        <v>83</v>
      </c>
      <c r="C33" s="5" t="s">
        <v>8</v>
      </c>
      <c r="D33" s="5" t="str">
        <f>_xlfn.IFNA(VLOOKUP(C33,Table1[],2,FALSE),"")</f>
        <v>#802AB7</v>
      </c>
      <c r="E33" s="5" t="s">
        <v>73</v>
      </c>
      <c r="G33" s="4" t="s">
        <v>83</v>
      </c>
      <c r="H33" s="4" t="str">
        <f t="shared" si="1"/>
        <v>(14.3%) Quality + Special occasions</v>
      </c>
      <c r="K33" t="s">
        <v>75</v>
      </c>
      <c r="L33" s="12">
        <v>8.7134475804269362E-2</v>
      </c>
      <c r="M33" t="str">
        <f t="shared" si="2"/>
        <v>(8.7%) Social commitment</v>
      </c>
    </row>
    <row r="34" spans="1:14" ht="15" customHeight="1" x14ac:dyDescent="0.25">
      <c r="A34" s="8" t="s">
        <v>5</v>
      </c>
      <c r="B34" s="4" t="s">
        <v>83</v>
      </c>
      <c r="C34" s="5" t="s">
        <v>8</v>
      </c>
      <c r="D34" s="5" t="str">
        <f>_xlfn.IFNA(VLOOKUP(C34,Table1[],2,FALSE),"")</f>
        <v>#802AB7</v>
      </c>
      <c r="E34" s="5" t="s">
        <v>74</v>
      </c>
      <c r="G34" s="4" t="s">
        <v>83</v>
      </c>
      <c r="H34" s="4" t="str">
        <f t="shared" si="1"/>
        <v>(14.3%) Quality + Special occasions</v>
      </c>
      <c r="K34" t="s">
        <v>110</v>
      </c>
      <c r="L34" s="12">
        <v>8.343976420697477E-2</v>
      </c>
      <c r="M34" t="str">
        <f t="shared" si="2"/>
        <v>(8.3%) Balanced lifestyle</v>
      </c>
    </row>
    <row r="35" spans="1:14" ht="15" customHeight="1" x14ac:dyDescent="0.25">
      <c r="A35" s="8" t="s">
        <v>5</v>
      </c>
      <c r="B35" s="4" t="s">
        <v>84</v>
      </c>
      <c r="C35" s="5" t="s">
        <v>14</v>
      </c>
      <c r="D35" s="5" t="str">
        <f>_xlfn.IFNA(VLOOKUP(C35,Table1[],2,FALSE),"")</f>
        <v>#00E5BA</v>
      </c>
      <c r="E35" s="5" t="s">
        <v>71</v>
      </c>
      <c r="G35" s="4" t="s">
        <v>84</v>
      </c>
      <c r="H35" s="4" t="str">
        <f t="shared" si="1"/>
        <v>(8.2%) Smooth</v>
      </c>
      <c r="K35" t="s">
        <v>84</v>
      </c>
      <c r="L35" s="12">
        <v>8.1504353343247946E-2</v>
      </c>
      <c r="M35" t="str">
        <f t="shared" si="2"/>
        <v>(8.2%) Smooth</v>
      </c>
    </row>
    <row r="36" spans="1:14" ht="15" customHeight="1" x14ac:dyDescent="0.25">
      <c r="A36" s="8" t="s">
        <v>5</v>
      </c>
      <c r="B36" s="4" t="s">
        <v>75</v>
      </c>
      <c r="C36" s="5" t="s">
        <v>9</v>
      </c>
      <c r="D36" s="5" t="str">
        <f>_xlfn.IFNA(VLOOKUP(C36,Table1[],2,FALSE),"")</f>
        <v>#0060FF</v>
      </c>
      <c r="E36" s="9" t="s">
        <v>59</v>
      </c>
      <c r="G36" s="4" t="s">
        <v>75</v>
      </c>
      <c r="H36" s="4" t="str">
        <f t="shared" si="1"/>
        <v>(8.7%) Social commitment</v>
      </c>
      <c r="K36" t="s">
        <v>82</v>
      </c>
      <c r="L36" s="12">
        <v>7.4288550036825676E-2</v>
      </c>
      <c r="M36" t="str">
        <f t="shared" si="2"/>
        <v>(7.4%) International</v>
      </c>
    </row>
    <row r="37" spans="1:14" ht="15" customHeight="1" x14ac:dyDescent="0.25">
      <c r="A37" s="8" t="s">
        <v>5</v>
      </c>
      <c r="B37" s="4" t="s">
        <v>75</v>
      </c>
      <c r="C37" s="5" t="s">
        <v>9</v>
      </c>
      <c r="D37" s="5" t="str">
        <f>_xlfn.IFNA(VLOOKUP(C37,Table1[],2,FALSE),"")</f>
        <v>#0060FF</v>
      </c>
      <c r="E37" s="9" t="s">
        <v>60</v>
      </c>
      <c r="G37" s="4" t="s">
        <v>75</v>
      </c>
      <c r="H37" s="4" t="str">
        <f t="shared" si="1"/>
        <v>(8.7%) Social commitment</v>
      </c>
    </row>
    <row r="38" spans="1:14" ht="15" customHeight="1" x14ac:dyDescent="0.25">
      <c r="A38" s="8" t="s">
        <v>5</v>
      </c>
      <c r="B38" s="4" t="s">
        <v>75</v>
      </c>
      <c r="C38" s="5" t="s">
        <v>9</v>
      </c>
      <c r="D38" s="5" t="str">
        <f>_xlfn.IFNA(VLOOKUP(C38,Table1[],2,FALSE),"")</f>
        <v>#0060FF</v>
      </c>
      <c r="E38" s="9" t="s">
        <v>61</v>
      </c>
      <c r="G38" s="4" t="s">
        <v>75</v>
      </c>
      <c r="H38" s="4" t="str">
        <f t="shared" si="1"/>
        <v>(8.7%) Social commitment</v>
      </c>
    </row>
    <row r="39" spans="1:14" ht="15" customHeight="1" x14ac:dyDescent="0.25">
      <c r="A39" s="8" t="s">
        <v>5</v>
      </c>
      <c r="B39" s="4" t="s">
        <v>76</v>
      </c>
      <c r="C39" s="5" t="s">
        <v>22</v>
      </c>
      <c r="D39" s="5" t="str">
        <f>_xlfn.IFNA(VLOOKUP(C39,Table1[],2,FALSE),"")</f>
        <v>#FA0028</v>
      </c>
      <c r="E39" s="9" t="s">
        <v>62</v>
      </c>
      <c r="G39" s="4" t="s">
        <v>76</v>
      </c>
      <c r="H39" s="4" t="str">
        <f t="shared" si="1"/>
        <v>(22.5%) Traditions and national pride</v>
      </c>
    </row>
    <row r="40" spans="1:14" ht="15" customHeight="1" x14ac:dyDescent="0.25">
      <c r="A40" s="8" t="s">
        <v>5</v>
      </c>
      <c r="B40" s="4" t="s">
        <v>76</v>
      </c>
      <c r="C40" s="5" t="s">
        <v>22</v>
      </c>
      <c r="D40" s="5" t="str">
        <f>_xlfn.IFNA(VLOOKUP(C40,Table1[],2,FALSE),"")</f>
        <v>#FA0028</v>
      </c>
      <c r="E40" s="9" t="s">
        <v>63</v>
      </c>
      <c r="G40" s="4" t="s">
        <v>76</v>
      </c>
      <c r="H40" s="4" t="str">
        <f t="shared" si="1"/>
        <v>(22.5%) Traditions and national pride</v>
      </c>
    </row>
    <row r="41" spans="1:14" ht="15" customHeight="1" x14ac:dyDescent="0.25">
      <c r="A41" s="8" t="s">
        <v>5</v>
      </c>
      <c r="B41" s="4" t="s">
        <v>76</v>
      </c>
      <c r="C41" s="5" t="s">
        <v>22</v>
      </c>
      <c r="D41" s="5" t="str">
        <f>_xlfn.IFNA(VLOOKUP(C41,Table1[],2,FALSE),"")</f>
        <v>#FA0028</v>
      </c>
      <c r="E41" s="9" t="s">
        <v>64</v>
      </c>
      <c r="G41" s="4" t="s">
        <v>76</v>
      </c>
      <c r="H41" s="4" t="str">
        <f t="shared" si="1"/>
        <v>(22.5%) Traditions and national pride</v>
      </c>
    </row>
    <row r="42" spans="1:14" ht="15" customHeight="1" x14ac:dyDescent="0.25"/>
    <row r="43" spans="1:14" ht="15" customHeight="1" x14ac:dyDescent="0.25"/>
    <row r="44" spans="1:14" ht="15" customHeight="1" x14ac:dyDescent="0.25"/>
    <row r="46" spans="1:14" x14ac:dyDescent="0.25">
      <c r="L46" t="s">
        <v>79</v>
      </c>
      <c r="M46" s="12">
        <v>0.1118044633894703</v>
      </c>
      <c r="N46" t="str">
        <f>_xlfn.TEXTJOIN(" ",1,L46,TEXT(M46,"(0.0%)"))</f>
        <v>Brewed with care (11.2%)</v>
      </c>
    </row>
    <row r="47" spans="1:14" x14ac:dyDescent="0.25">
      <c r="L47" t="s">
        <v>211</v>
      </c>
      <c r="M47" s="12">
        <v>0.21571840725960836</v>
      </c>
      <c r="N47" t="str">
        <f t="shared" ref="N47:N54" si="3">_xlfn.TEXTJOIN(" ",1,L47,TEXT(M47,"(0.0%)"))</f>
        <v>Balanced special occasions (21.6%)</v>
      </c>
    </row>
    <row r="48" spans="1:14" x14ac:dyDescent="0.25">
      <c r="L48" t="s">
        <v>80</v>
      </c>
      <c r="M48" s="12">
        <v>1.4934378163873667E-4</v>
      </c>
      <c r="N48" t="str">
        <f t="shared" si="3"/>
        <v>High quality brand (0.0%)</v>
      </c>
    </row>
    <row r="49" spans="12:14" x14ac:dyDescent="0.25">
      <c r="L49" t="s">
        <v>111</v>
      </c>
      <c r="M49" s="12">
        <v>0.23267573719153795</v>
      </c>
      <c r="N49" t="str">
        <f t="shared" si="3"/>
        <v>Indulgent scape with friends (23.3%)</v>
      </c>
    </row>
    <row r="50" spans="12:14" x14ac:dyDescent="0.25">
      <c r="L50" t="s">
        <v>113</v>
      </c>
      <c r="M50" s="12">
        <v>0.15181311184087368</v>
      </c>
      <c r="N50" t="str">
        <f t="shared" si="3"/>
        <v>Refreshing and relaxing meals (15.2%)</v>
      </c>
    </row>
    <row r="51" spans="12:14" x14ac:dyDescent="0.25">
      <c r="L51" t="s">
        <v>77</v>
      </c>
      <c r="M51" s="12">
        <v>4.6269780020536631E-2</v>
      </c>
      <c r="N51" t="str">
        <f t="shared" si="3"/>
        <v>Smooth taste (4.6%)</v>
      </c>
    </row>
    <row r="52" spans="12:14" x14ac:dyDescent="0.25">
      <c r="L52" t="s">
        <v>75</v>
      </c>
      <c r="M52" s="12">
        <v>9.0392979824104255E-2</v>
      </c>
      <c r="N52" t="str">
        <f t="shared" si="3"/>
        <v>Social commitment (9.0%)</v>
      </c>
    </row>
    <row r="53" spans="12:14" x14ac:dyDescent="0.25">
      <c r="L53" t="s">
        <v>78</v>
      </c>
      <c r="M53" s="12">
        <v>1.327639473037571E-5</v>
      </c>
      <c r="N53" t="str">
        <f t="shared" si="3"/>
        <v>Successful international brand (0.0%)</v>
      </c>
    </row>
    <row r="54" spans="12:14" x14ac:dyDescent="0.25">
      <c r="L54" t="s">
        <v>76</v>
      </c>
      <c r="M54" s="12">
        <v>0.15116290029749971</v>
      </c>
      <c r="N54" t="str">
        <f t="shared" si="3"/>
        <v>Traditions and national pride (15.1%)</v>
      </c>
    </row>
  </sheetData>
  <autoFilter ref="A1:E41" xr:uid="{8234D5B2-E2B4-4BB4-92B2-ED14509F35F7}">
    <filterColumn colId="0">
      <filters>
        <filter val="Tracking"/>
      </filters>
    </filterColumn>
    <sortState xmlns:xlrd2="http://schemas.microsoft.com/office/spreadsheetml/2017/richdata2" ref="A22:E41">
      <sortCondition ref="B1:B4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3E146C-3DED-4436-B1E6-43506BD706C6}">
          <x14:formula1>
            <xm:f>CATA!$A$2:$A$7</xm:f>
          </x14:formula1>
          <xm:sqref>C42:C58</xm:sqref>
        </x14:dataValidation>
        <x14:dataValidation type="list" allowBlank="1" showInputMessage="1" showErrorMessage="1" xr:uid="{F251A93F-EB70-4AF4-BAAE-48F6E6547886}">
          <x14:formula1>
            <xm:f>CATA!$A$1:$A$4</xm:f>
          </x14:formula1>
          <xm:sqref>C1</xm:sqref>
        </x14:dataValidation>
        <x14:dataValidation type="list" allowBlank="1" showInputMessage="1" showErrorMessage="1" xr:uid="{64B9F4FF-E2DE-4496-859C-2F46DF864F11}">
          <x14:formula1>
            <xm:f>CATA!$A:$A</xm:f>
          </x14:formula1>
          <xm:sqref>C2:C41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4CF8-6A6A-46C4-A7B3-3350048E6868}">
  <dimension ref="A1:M44"/>
  <sheetViews>
    <sheetView zoomScaleNormal="100" workbookViewId="0">
      <selection activeCell="B21" sqref="B2:B21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  <col min="10" max="10" width="27" bestFit="1" customWidth="1"/>
    <col min="12" max="12" width="6.140625" bestFit="1" customWidth="1"/>
  </cols>
  <sheetData>
    <row r="1" spans="1:13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13" x14ac:dyDescent="0.25">
      <c r="A2" s="8" t="s">
        <v>5</v>
      </c>
      <c r="B2" t="s">
        <v>86</v>
      </c>
      <c r="C2" s="5" t="s">
        <v>28</v>
      </c>
      <c r="D2" s="5" t="str">
        <f>_xlfn.IFNA(VLOOKUP(C2,Table1[],2,FALSE),"")</f>
        <v>#D9D9D9</v>
      </c>
      <c r="E2" s="5" t="s">
        <v>72</v>
      </c>
      <c r="F2" s="4" t="s">
        <v>86</v>
      </c>
      <c r="G2" s="4" t="str">
        <f t="shared" ref="G2:G21" si="0">VLOOKUP(F2,$J$7:$M$12,4,0)</f>
        <v>(17.9%) High &amp; cared quality</v>
      </c>
      <c r="H2" t="s">
        <v>26</v>
      </c>
    </row>
    <row r="3" spans="1:13" x14ac:dyDescent="0.25">
      <c r="A3" s="8" t="s">
        <v>5</v>
      </c>
      <c r="B3" t="s">
        <v>86</v>
      </c>
      <c r="C3" s="5" t="s">
        <v>28</v>
      </c>
      <c r="D3" s="5" t="str">
        <f>_xlfn.IFNA(VLOOKUP(C3,Table1[],2,FALSE),"")</f>
        <v>#D9D9D9</v>
      </c>
      <c r="E3" s="5" t="s">
        <v>73</v>
      </c>
      <c r="F3" s="4" t="s">
        <v>86</v>
      </c>
      <c r="G3" s="4" t="str">
        <f t="shared" si="0"/>
        <v>(17.9%) High &amp; cared quality</v>
      </c>
    </row>
    <row r="4" spans="1:13" x14ac:dyDescent="0.25">
      <c r="A4" s="8" t="s">
        <v>5</v>
      </c>
      <c r="B4" t="s">
        <v>86</v>
      </c>
      <c r="C4" s="5" t="s">
        <v>28</v>
      </c>
      <c r="D4" s="5" t="str">
        <f>_xlfn.IFNA(VLOOKUP(C4,Table1[],2,FALSE),"")</f>
        <v>#D9D9D9</v>
      </c>
      <c r="E4" s="5" t="s">
        <v>74</v>
      </c>
      <c r="F4" s="4" t="s">
        <v>86</v>
      </c>
      <c r="G4" s="4" t="str">
        <f t="shared" si="0"/>
        <v>(17.9%) High &amp; cared quality</v>
      </c>
    </row>
    <row r="5" spans="1:13" x14ac:dyDescent="0.25">
      <c r="A5" s="8" t="s">
        <v>5</v>
      </c>
      <c r="B5" t="s">
        <v>81</v>
      </c>
      <c r="C5" s="5" t="s">
        <v>20</v>
      </c>
      <c r="D5" s="5" t="str">
        <f>_xlfn.IFNA(VLOOKUP(C5,Table1[],2,FALSE),"")</f>
        <v>#FF5000</v>
      </c>
      <c r="E5" s="9" t="s">
        <v>57</v>
      </c>
      <c r="F5" s="4" t="s">
        <v>81</v>
      </c>
      <c r="G5" s="4" t="str">
        <f t="shared" si="0"/>
        <v>(21.4%) Relax &amp; social occasions</v>
      </c>
    </row>
    <row r="6" spans="1:13" x14ac:dyDescent="0.25">
      <c r="A6" s="8" t="s">
        <v>5</v>
      </c>
      <c r="B6" t="s">
        <v>81</v>
      </c>
      <c r="C6" s="5" t="s">
        <v>20</v>
      </c>
      <c r="D6" s="5" t="str">
        <f>_xlfn.IFNA(VLOOKUP(C6,Table1[],2,FALSE),"")</f>
        <v>#FF5000</v>
      </c>
      <c r="E6" s="9" t="s">
        <v>65</v>
      </c>
      <c r="F6" s="4" t="s">
        <v>81</v>
      </c>
      <c r="G6" s="4" t="str">
        <f t="shared" si="0"/>
        <v>(21.4%) Relax &amp; social occasions</v>
      </c>
    </row>
    <row r="7" spans="1:13" x14ac:dyDescent="0.25">
      <c r="A7" s="8" t="s">
        <v>5</v>
      </c>
      <c r="B7" t="s">
        <v>81</v>
      </c>
      <c r="C7" s="5" t="s">
        <v>20</v>
      </c>
      <c r="D7" s="5" t="str">
        <f>_xlfn.IFNA(VLOOKUP(C7,Table1[],2,FALSE),"")</f>
        <v>#FF5000</v>
      </c>
      <c r="E7" s="9" t="s">
        <v>66</v>
      </c>
      <c r="F7" s="4" t="s">
        <v>81</v>
      </c>
      <c r="G7" s="4" t="str">
        <f t="shared" si="0"/>
        <v>(21.4%) Relax &amp; social occasions</v>
      </c>
      <c r="J7" t="s">
        <v>86</v>
      </c>
      <c r="K7" s="12">
        <v>4.7E-2</v>
      </c>
      <c r="L7" s="7">
        <f>K7/SUM($K$7:$K$12)</f>
        <v>0.17938931297709923</v>
      </c>
      <c r="M7" t="str">
        <f>_xlfn.TEXTJOIN(" ",1,TEXT(L7,"(0.0%)"),J7)</f>
        <v>(17.9%) High &amp; cared quality</v>
      </c>
    </row>
    <row r="8" spans="1:13" x14ac:dyDescent="0.25">
      <c r="A8" s="8" t="s">
        <v>5</v>
      </c>
      <c r="B8" t="s">
        <v>81</v>
      </c>
      <c r="C8" s="5" t="s">
        <v>20</v>
      </c>
      <c r="D8" s="5" t="str">
        <f>_xlfn.IFNA(VLOOKUP(C8,Table1[],2,FALSE),"")</f>
        <v>#FF5000</v>
      </c>
      <c r="E8" s="9" t="s">
        <v>68</v>
      </c>
      <c r="F8" s="4" t="s">
        <v>81</v>
      </c>
      <c r="G8" s="4" t="str">
        <f t="shared" si="0"/>
        <v>(21.4%) Relax &amp; social occasions</v>
      </c>
      <c r="J8" t="s">
        <v>81</v>
      </c>
      <c r="K8" s="12">
        <v>5.6000000000000001E-2</v>
      </c>
      <c r="L8" s="7">
        <f t="shared" ref="L8:L12" si="1">K8/SUM($K$7:$K$12)</f>
        <v>0.21374045801526717</v>
      </c>
      <c r="M8" t="str">
        <f t="shared" ref="M8:M12" si="2">_xlfn.TEXTJOIN(" ",1,TEXT(L8,"(0.0%)"),J8)</f>
        <v>(21.4%) Relax &amp; social occasions</v>
      </c>
    </row>
    <row r="9" spans="1:13" x14ac:dyDescent="0.25">
      <c r="A9" s="8" t="s">
        <v>5</v>
      </c>
      <c r="B9" t="s">
        <v>81</v>
      </c>
      <c r="C9" s="5" t="s">
        <v>20</v>
      </c>
      <c r="D9" s="5" t="str">
        <f>_xlfn.IFNA(VLOOKUP(C9,Table1[],2,FALSE),"")</f>
        <v>#FF5000</v>
      </c>
      <c r="E9" s="9" t="s">
        <v>55</v>
      </c>
      <c r="F9" s="4" t="s">
        <v>81</v>
      </c>
      <c r="G9" s="4" t="str">
        <f t="shared" si="0"/>
        <v>(21.4%) Relax &amp; social occasions</v>
      </c>
      <c r="J9" t="s">
        <v>87</v>
      </c>
      <c r="K9" s="12">
        <v>0.06</v>
      </c>
      <c r="L9" s="7">
        <f t="shared" si="1"/>
        <v>0.22900763358778625</v>
      </c>
      <c r="M9" t="str">
        <f t="shared" si="2"/>
        <v>(22.9%) Smooth + Intrinsics</v>
      </c>
    </row>
    <row r="10" spans="1:13" x14ac:dyDescent="0.25">
      <c r="A10" s="8" t="s">
        <v>5</v>
      </c>
      <c r="B10" t="s">
        <v>87</v>
      </c>
      <c r="C10" s="5" t="s">
        <v>14</v>
      </c>
      <c r="D10" s="5" t="str">
        <f>_xlfn.IFNA(VLOOKUP(C10,Table1[],2,FALSE),"")</f>
        <v>#00E5BA</v>
      </c>
      <c r="E10" s="9" t="s">
        <v>67</v>
      </c>
      <c r="F10" s="4" t="s">
        <v>87</v>
      </c>
      <c r="G10" s="4" t="str">
        <f t="shared" si="0"/>
        <v>(22.9%) Smooth + Intrinsics</v>
      </c>
      <c r="J10" t="s">
        <v>75</v>
      </c>
      <c r="K10" s="12">
        <v>3.6999999999999998E-2</v>
      </c>
      <c r="L10" s="7">
        <f t="shared" si="1"/>
        <v>0.14122137404580151</v>
      </c>
      <c r="M10" t="str">
        <f t="shared" si="2"/>
        <v>(14.1%) Social commitment</v>
      </c>
    </row>
    <row r="11" spans="1:13" x14ac:dyDescent="0.25">
      <c r="A11" s="8" t="s">
        <v>5</v>
      </c>
      <c r="B11" t="s">
        <v>87</v>
      </c>
      <c r="C11" s="5" t="s">
        <v>14</v>
      </c>
      <c r="D11" s="5" t="str">
        <f>_xlfn.IFNA(VLOOKUP(C11,Table1[],2,FALSE),"")</f>
        <v>#00E5BA</v>
      </c>
      <c r="E11" s="9" t="s">
        <v>69</v>
      </c>
      <c r="F11" s="4" t="s">
        <v>87</v>
      </c>
      <c r="G11" s="4" t="str">
        <f t="shared" si="0"/>
        <v>(22.9%) Smooth + Intrinsics</v>
      </c>
      <c r="J11" t="s">
        <v>88</v>
      </c>
      <c r="K11" s="12">
        <v>2.7E-2</v>
      </c>
      <c r="L11" s="7">
        <f t="shared" si="1"/>
        <v>0.10305343511450381</v>
      </c>
      <c r="M11" t="str">
        <f t="shared" si="2"/>
        <v>(10.3%) Sophisticated &amp; balance</v>
      </c>
    </row>
    <row r="12" spans="1:13" x14ac:dyDescent="0.25">
      <c r="A12" s="8" t="s">
        <v>5</v>
      </c>
      <c r="B12" t="s">
        <v>87</v>
      </c>
      <c r="C12" s="5" t="s">
        <v>14</v>
      </c>
      <c r="D12" s="5" t="str">
        <f>_xlfn.IFNA(VLOOKUP(C12,Table1[],2,FALSE),"")</f>
        <v>#00E5BA</v>
      </c>
      <c r="E12" s="5" t="s">
        <v>70</v>
      </c>
      <c r="F12" s="4" t="s">
        <v>87</v>
      </c>
      <c r="G12" s="4" t="str">
        <f t="shared" si="0"/>
        <v>(22.9%) Smooth + Intrinsics</v>
      </c>
      <c r="J12" t="s">
        <v>76</v>
      </c>
      <c r="K12" s="12">
        <v>3.5000000000000003E-2</v>
      </c>
      <c r="L12" s="7">
        <f t="shared" si="1"/>
        <v>0.13358778625954199</v>
      </c>
      <c r="M12" t="str">
        <f t="shared" si="2"/>
        <v>(13.4%) Traditions and national pride</v>
      </c>
    </row>
    <row r="13" spans="1:13" x14ac:dyDescent="0.25">
      <c r="A13" s="8" t="s">
        <v>5</v>
      </c>
      <c r="B13" t="s">
        <v>87</v>
      </c>
      <c r="C13" s="5" t="s">
        <v>14</v>
      </c>
      <c r="D13" s="5" t="str">
        <f>_xlfn.IFNA(VLOOKUP(C13,Table1[],2,FALSE),"")</f>
        <v>#00E5BA</v>
      </c>
      <c r="E13" s="5" t="s">
        <v>71</v>
      </c>
      <c r="F13" s="4" t="s">
        <v>87</v>
      </c>
      <c r="G13" s="4" t="str">
        <f t="shared" si="0"/>
        <v>(22.9%) Smooth + Intrinsics</v>
      </c>
    </row>
    <row r="14" spans="1:13" x14ac:dyDescent="0.25">
      <c r="A14" s="8" t="s">
        <v>5</v>
      </c>
      <c r="B14" t="s">
        <v>75</v>
      </c>
      <c r="C14" s="5" t="s">
        <v>9</v>
      </c>
      <c r="D14" s="5" t="str">
        <f>_xlfn.IFNA(VLOOKUP(C14,Table1[],2,FALSE),"")</f>
        <v>#0060FF</v>
      </c>
      <c r="E14" s="9" t="s">
        <v>59</v>
      </c>
      <c r="F14" s="4" t="s">
        <v>75</v>
      </c>
      <c r="G14" s="4" t="str">
        <f t="shared" si="0"/>
        <v>(14.1%) Social commitment</v>
      </c>
    </row>
    <row r="15" spans="1:13" x14ac:dyDescent="0.25">
      <c r="A15" s="8" t="s">
        <v>5</v>
      </c>
      <c r="B15" t="s">
        <v>75</v>
      </c>
      <c r="C15" s="5" t="s">
        <v>9</v>
      </c>
      <c r="D15" s="5" t="str">
        <f>_xlfn.IFNA(VLOOKUP(C15,Table1[],2,FALSE),"")</f>
        <v>#0060FF</v>
      </c>
      <c r="E15" s="9" t="s">
        <v>60</v>
      </c>
      <c r="F15" s="4" t="s">
        <v>75</v>
      </c>
      <c r="G15" s="4" t="str">
        <f t="shared" si="0"/>
        <v>(14.1%) Social commitment</v>
      </c>
    </row>
    <row r="16" spans="1:13" x14ac:dyDescent="0.25">
      <c r="A16" s="8" t="s">
        <v>5</v>
      </c>
      <c r="B16" t="s">
        <v>75</v>
      </c>
      <c r="C16" s="5" t="s">
        <v>9</v>
      </c>
      <c r="D16" s="5" t="str">
        <f>_xlfn.IFNA(VLOOKUP(C16,Table1[],2,FALSE),"")</f>
        <v>#0060FF</v>
      </c>
      <c r="E16" s="9" t="s">
        <v>61</v>
      </c>
      <c r="F16" s="4" t="s">
        <v>75</v>
      </c>
      <c r="G16" s="4" t="str">
        <f t="shared" si="0"/>
        <v>(14.1%) Social commitment</v>
      </c>
    </row>
    <row r="17" spans="1:8" x14ac:dyDescent="0.25">
      <c r="A17" s="8" t="s">
        <v>5</v>
      </c>
      <c r="B17" t="s">
        <v>88</v>
      </c>
      <c r="C17" s="5" t="s">
        <v>17</v>
      </c>
      <c r="D17" s="5" t="str">
        <f>_xlfn.IFNA(VLOOKUP(C17,Table1[],2,FALSE),"")</f>
        <v>#FEDB00</v>
      </c>
      <c r="E17" s="9" t="s">
        <v>58</v>
      </c>
      <c r="F17" s="4" t="s">
        <v>88</v>
      </c>
      <c r="G17" s="4" t="str">
        <f t="shared" si="0"/>
        <v>(10.3%) Sophisticated &amp; balance</v>
      </c>
    </row>
    <row r="18" spans="1:8" x14ac:dyDescent="0.25">
      <c r="A18" s="8" t="s">
        <v>5</v>
      </c>
      <c r="B18" t="s">
        <v>88</v>
      </c>
      <c r="C18" s="5" t="s">
        <v>17</v>
      </c>
      <c r="D18" s="5" t="str">
        <f>_xlfn.IFNA(VLOOKUP(C18,Table1[],2,FALSE),"")</f>
        <v>#FEDB00</v>
      </c>
      <c r="E18" s="9" t="s">
        <v>56</v>
      </c>
      <c r="F18" s="4" t="s">
        <v>88</v>
      </c>
      <c r="G18" s="4" t="str">
        <f t="shared" si="0"/>
        <v>(10.3%) Sophisticated &amp; balance</v>
      </c>
    </row>
    <row r="19" spans="1:8" x14ac:dyDescent="0.25">
      <c r="A19" s="8" t="s">
        <v>5</v>
      </c>
      <c r="B19" t="s">
        <v>76</v>
      </c>
      <c r="C19" s="5" t="s">
        <v>22</v>
      </c>
      <c r="D19" s="5" t="str">
        <f>_xlfn.IFNA(VLOOKUP(C19,Table1[],2,FALSE),"")</f>
        <v>#FA0028</v>
      </c>
      <c r="E19" s="9" t="s">
        <v>62</v>
      </c>
      <c r="F19" s="4" t="s">
        <v>76</v>
      </c>
      <c r="G19" s="4" t="str">
        <f t="shared" si="0"/>
        <v>(13.4%) Traditions and national pride</v>
      </c>
    </row>
    <row r="20" spans="1:8" x14ac:dyDescent="0.25">
      <c r="A20" s="8" t="s">
        <v>5</v>
      </c>
      <c r="B20" t="s">
        <v>76</v>
      </c>
      <c r="C20" s="5" t="s">
        <v>22</v>
      </c>
      <c r="D20" s="5" t="str">
        <f>_xlfn.IFNA(VLOOKUP(C20,Table1[],2,FALSE),"")</f>
        <v>#FA0028</v>
      </c>
      <c r="E20" s="9" t="s">
        <v>63</v>
      </c>
      <c r="F20" s="4" t="s">
        <v>76</v>
      </c>
      <c r="G20" s="4" t="str">
        <f t="shared" si="0"/>
        <v>(13.4%) Traditions and national pride</v>
      </c>
    </row>
    <row r="21" spans="1:8" x14ac:dyDescent="0.25">
      <c r="A21" s="8" t="s">
        <v>5</v>
      </c>
      <c r="B21" t="s">
        <v>76</v>
      </c>
      <c r="C21" s="5" t="s">
        <v>22</v>
      </c>
      <c r="D21" s="5" t="str">
        <f>_xlfn.IFNA(VLOOKUP(C21,Table1[],2,FALSE),"")</f>
        <v>#FA0028</v>
      </c>
      <c r="E21" s="9" t="s">
        <v>64</v>
      </c>
      <c r="F21" s="4" t="s">
        <v>76</v>
      </c>
      <c r="G21" s="4" t="str">
        <f t="shared" si="0"/>
        <v>(13.4%) Traditions and national pride</v>
      </c>
    </row>
    <row r="22" spans="1:8" x14ac:dyDescent="0.25">
      <c r="A22" s="5" t="s">
        <v>6</v>
      </c>
      <c r="B22" t="s">
        <v>79</v>
      </c>
      <c r="C22" s="5" t="s">
        <v>28</v>
      </c>
      <c r="D22" s="5" t="str">
        <f>_xlfn.IFNA(VLOOKUP(C22,Table1[],2,FALSE),"")</f>
        <v>#D9D9D9</v>
      </c>
      <c r="E22" s="5" t="s">
        <v>73</v>
      </c>
      <c r="G22" s="4" t="s">
        <v>169</v>
      </c>
    </row>
    <row r="23" spans="1:8" x14ac:dyDescent="0.25">
      <c r="A23" s="5" t="s">
        <v>6</v>
      </c>
      <c r="B23" t="s">
        <v>80</v>
      </c>
      <c r="C23" s="5" t="s">
        <v>28</v>
      </c>
      <c r="D23" s="5" t="str">
        <f>_xlfn.IFNA(VLOOKUP(C23,Table1[],2,FALSE),"")</f>
        <v>#D9D9D9</v>
      </c>
      <c r="E23" s="5" t="s">
        <v>74</v>
      </c>
      <c r="G23" s="4" t="s">
        <v>170</v>
      </c>
    </row>
    <row r="24" spans="1:8" ht="15" customHeight="1" x14ac:dyDescent="0.25">
      <c r="A24" s="5" t="s">
        <v>6</v>
      </c>
      <c r="B24" t="s">
        <v>113</v>
      </c>
      <c r="C24" s="5" t="s">
        <v>11</v>
      </c>
      <c r="D24" s="5" t="str">
        <f>_xlfn.IFNA(VLOOKUP(C24,Table1[],2,FALSE),"")</f>
        <v>#AEAE9F</v>
      </c>
      <c r="E24" s="9" t="s">
        <v>69</v>
      </c>
      <c r="G24" s="4" t="s">
        <v>171</v>
      </c>
      <c r="H24" s="7"/>
    </row>
    <row r="25" spans="1:8" ht="15" customHeight="1" x14ac:dyDescent="0.25">
      <c r="A25" s="5" t="s">
        <v>6</v>
      </c>
      <c r="B25" t="s">
        <v>113</v>
      </c>
      <c r="C25" s="5" t="s">
        <v>11</v>
      </c>
      <c r="D25" s="5" t="str">
        <f>_xlfn.IFNA(VLOOKUP(C25,Table1[],2,FALSE),"")</f>
        <v>#AEAE9F</v>
      </c>
      <c r="E25" s="5" t="s">
        <v>70</v>
      </c>
      <c r="G25" s="4" t="s">
        <v>171</v>
      </c>
      <c r="H25" s="7"/>
    </row>
    <row r="26" spans="1:8" ht="15" customHeight="1" x14ac:dyDescent="0.25">
      <c r="A26" s="5" t="s">
        <v>6</v>
      </c>
      <c r="B26" t="s">
        <v>212</v>
      </c>
      <c r="C26" s="5" t="s">
        <v>20</v>
      </c>
      <c r="D26" s="5" t="str">
        <f>_xlfn.IFNA(VLOOKUP(C26,Table1[],2,FALSE),"")</f>
        <v>#FF5000</v>
      </c>
      <c r="E26" s="9" t="s">
        <v>65</v>
      </c>
      <c r="G26" s="4" t="s">
        <v>172</v>
      </c>
      <c r="H26" s="7"/>
    </row>
    <row r="27" spans="1:8" ht="15" customHeight="1" x14ac:dyDescent="0.25">
      <c r="A27" s="5" t="s">
        <v>6</v>
      </c>
      <c r="B27" t="s">
        <v>212</v>
      </c>
      <c r="C27" s="5" t="s">
        <v>20</v>
      </c>
      <c r="D27" s="5" t="str">
        <f>_xlfn.IFNA(VLOOKUP(C27,Table1[],2,FALSE),"")</f>
        <v>#FF5000</v>
      </c>
      <c r="E27" s="9" t="s">
        <v>66</v>
      </c>
      <c r="G27" s="4" t="s">
        <v>172</v>
      </c>
      <c r="H27" s="7"/>
    </row>
    <row r="28" spans="1:8" ht="15" customHeight="1" x14ac:dyDescent="0.25">
      <c r="A28" s="5" t="s">
        <v>6</v>
      </c>
      <c r="B28" t="s">
        <v>212</v>
      </c>
      <c r="C28" s="5" t="s">
        <v>20</v>
      </c>
      <c r="D28" s="5" t="str">
        <f>_xlfn.IFNA(VLOOKUP(C28,Table1[],2,FALSE),"")</f>
        <v>#FF5000</v>
      </c>
      <c r="E28" s="9" t="s">
        <v>67</v>
      </c>
      <c r="G28" s="4" t="s">
        <v>172</v>
      </c>
      <c r="H28" s="7"/>
    </row>
    <row r="29" spans="1:8" ht="15" customHeight="1" x14ac:dyDescent="0.25">
      <c r="A29" s="5" t="s">
        <v>6</v>
      </c>
      <c r="B29" t="s">
        <v>113</v>
      </c>
      <c r="C29" s="5" t="s">
        <v>11</v>
      </c>
      <c r="D29" s="5" t="str">
        <f>_xlfn.IFNA(VLOOKUP(C29,Table1[],2,FALSE),"")</f>
        <v>#AEAE9F</v>
      </c>
      <c r="E29" s="9" t="s">
        <v>68</v>
      </c>
      <c r="G29" s="4" t="s">
        <v>171</v>
      </c>
      <c r="H29" s="7"/>
    </row>
    <row r="30" spans="1:8" ht="15" customHeight="1" x14ac:dyDescent="0.25">
      <c r="A30" s="5" t="s">
        <v>6</v>
      </c>
      <c r="B30" t="s">
        <v>77</v>
      </c>
      <c r="C30" s="5" t="s">
        <v>14</v>
      </c>
      <c r="D30" s="5" t="str">
        <f>_xlfn.IFNA(VLOOKUP(C30,Table1[],2,FALSE),"")</f>
        <v>#00E5BA</v>
      </c>
      <c r="E30" s="5" t="s">
        <v>71</v>
      </c>
      <c r="G30" s="4" t="s">
        <v>173</v>
      </c>
      <c r="H30" s="7"/>
    </row>
    <row r="31" spans="1:8" ht="15" customHeight="1" x14ac:dyDescent="0.25">
      <c r="A31" s="5" t="s">
        <v>6</v>
      </c>
      <c r="B31" t="s">
        <v>75</v>
      </c>
      <c r="C31" s="5" t="s">
        <v>9</v>
      </c>
      <c r="D31" s="5" t="str">
        <f>_xlfn.IFNA(VLOOKUP(C31,Table1[],2,FALSE),"")</f>
        <v>#0060FF</v>
      </c>
      <c r="E31" s="9" t="s">
        <v>59</v>
      </c>
      <c r="G31" s="4" t="s">
        <v>174</v>
      </c>
    </row>
    <row r="32" spans="1:8" ht="15" customHeight="1" x14ac:dyDescent="0.25">
      <c r="A32" s="5" t="s">
        <v>6</v>
      </c>
      <c r="B32" t="s">
        <v>75</v>
      </c>
      <c r="C32" s="5" t="s">
        <v>9</v>
      </c>
      <c r="D32" s="5" t="str">
        <f>_xlfn.IFNA(VLOOKUP(C32,Table1[],2,FALSE),"")</f>
        <v>#0060FF</v>
      </c>
      <c r="E32" s="9" t="s">
        <v>60</v>
      </c>
      <c r="G32" s="4" t="s">
        <v>174</v>
      </c>
    </row>
    <row r="33" spans="1:7" ht="15" customHeight="1" x14ac:dyDescent="0.25">
      <c r="A33" s="5" t="s">
        <v>6</v>
      </c>
      <c r="B33" t="s">
        <v>75</v>
      </c>
      <c r="C33" s="5" t="s">
        <v>9</v>
      </c>
      <c r="D33" s="5" t="str">
        <f>_xlfn.IFNA(VLOOKUP(C33,Table1[],2,FALSE),"")</f>
        <v>#0060FF</v>
      </c>
      <c r="E33" s="9" t="s">
        <v>61</v>
      </c>
      <c r="G33" s="4" t="s">
        <v>174</v>
      </c>
    </row>
    <row r="34" spans="1:7" ht="15" customHeight="1" x14ac:dyDescent="0.25">
      <c r="A34" s="5" t="s">
        <v>6</v>
      </c>
      <c r="B34" t="s">
        <v>211</v>
      </c>
      <c r="C34" s="5" t="s">
        <v>17</v>
      </c>
      <c r="D34" s="5" t="str">
        <f>_xlfn.IFNA(VLOOKUP(C34,Table1[],2,FALSE),"")</f>
        <v>#FEDB00</v>
      </c>
      <c r="E34" s="9" t="s">
        <v>55</v>
      </c>
      <c r="G34" s="4" t="s">
        <v>175</v>
      </c>
    </row>
    <row r="35" spans="1:7" ht="15" customHeight="1" x14ac:dyDescent="0.25">
      <c r="A35" s="5" t="s">
        <v>6</v>
      </c>
      <c r="B35" t="s">
        <v>211</v>
      </c>
      <c r="C35" s="5" t="s">
        <v>17</v>
      </c>
      <c r="D35" s="5" t="str">
        <f>_xlfn.IFNA(VLOOKUP(C35,Table1[],2,FALSE),"")</f>
        <v>#FEDB00</v>
      </c>
      <c r="E35" s="9" t="s">
        <v>56</v>
      </c>
      <c r="G35" s="4" t="s">
        <v>175</v>
      </c>
    </row>
    <row r="36" spans="1:7" ht="15" customHeight="1" x14ac:dyDescent="0.25">
      <c r="A36" s="5" t="s">
        <v>6</v>
      </c>
      <c r="B36" t="s">
        <v>211</v>
      </c>
      <c r="C36" s="5" t="s">
        <v>17</v>
      </c>
      <c r="D36" s="5" t="str">
        <f>_xlfn.IFNA(VLOOKUP(C36,Table1[],2,FALSE),"")</f>
        <v>#FEDB00</v>
      </c>
      <c r="E36" s="9" t="s">
        <v>57</v>
      </c>
      <c r="G36" s="4" t="s">
        <v>175</v>
      </c>
    </row>
    <row r="37" spans="1:7" ht="15" customHeight="1" x14ac:dyDescent="0.25">
      <c r="A37" s="5" t="s">
        <v>6</v>
      </c>
      <c r="B37" t="s">
        <v>211</v>
      </c>
      <c r="C37" s="5" t="s">
        <v>17</v>
      </c>
      <c r="D37" s="5" t="str">
        <f>_xlfn.IFNA(VLOOKUP(C37,Table1[],2,FALSE),"")</f>
        <v>#FEDB00</v>
      </c>
      <c r="E37" s="9" t="s">
        <v>58</v>
      </c>
      <c r="G37" s="4" t="s">
        <v>175</v>
      </c>
    </row>
    <row r="38" spans="1:7" ht="15" customHeight="1" x14ac:dyDescent="0.25">
      <c r="A38" s="5" t="s">
        <v>6</v>
      </c>
      <c r="B38" t="s">
        <v>78</v>
      </c>
      <c r="C38" s="5" t="s">
        <v>23</v>
      </c>
      <c r="D38" s="5" t="str">
        <f>_xlfn.IFNA(VLOOKUP(C38,Table1[],2,FALSE),"")</f>
        <v>#C700D3</v>
      </c>
      <c r="E38" s="5" t="s">
        <v>72</v>
      </c>
      <c r="G38" s="4" t="s">
        <v>176</v>
      </c>
    </row>
    <row r="39" spans="1:7" ht="15" customHeight="1" x14ac:dyDescent="0.25">
      <c r="A39" s="5" t="s">
        <v>6</v>
      </c>
      <c r="B39" t="s">
        <v>76</v>
      </c>
      <c r="C39" s="5" t="s">
        <v>22</v>
      </c>
      <c r="D39" s="5" t="str">
        <f>_xlfn.IFNA(VLOOKUP(C39,Table1[],2,FALSE),"")</f>
        <v>#FA0028</v>
      </c>
      <c r="E39" s="9" t="s">
        <v>62</v>
      </c>
      <c r="G39" s="4" t="s">
        <v>177</v>
      </c>
    </row>
    <row r="40" spans="1:7" ht="15" customHeight="1" x14ac:dyDescent="0.25">
      <c r="A40" s="5" t="s">
        <v>6</v>
      </c>
      <c r="B40" t="s">
        <v>76</v>
      </c>
      <c r="C40" s="5" t="s">
        <v>22</v>
      </c>
      <c r="D40" s="5" t="str">
        <f>_xlfn.IFNA(VLOOKUP(C40,Table1[],2,FALSE),"")</f>
        <v>#FA0028</v>
      </c>
      <c r="E40" s="9" t="s">
        <v>63</v>
      </c>
      <c r="G40" s="4" t="s">
        <v>177</v>
      </c>
    </row>
    <row r="41" spans="1:7" ht="15" customHeight="1" x14ac:dyDescent="0.25">
      <c r="A41" s="5" t="s">
        <v>6</v>
      </c>
      <c r="B41" t="s">
        <v>76</v>
      </c>
      <c r="C41" s="5" t="s">
        <v>22</v>
      </c>
      <c r="D41" s="5" t="str">
        <f>_xlfn.IFNA(VLOOKUP(C41,Table1[],2,FALSE),"")</f>
        <v>#FA0028</v>
      </c>
      <c r="E41" s="9" t="s">
        <v>64</v>
      </c>
      <c r="G41" s="4" t="s">
        <v>177</v>
      </c>
    </row>
    <row r="42" spans="1:7" ht="15" customHeight="1" x14ac:dyDescent="0.25"/>
    <row r="43" spans="1:7" ht="15" customHeight="1" x14ac:dyDescent="0.25"/>
    <row r="44" spans="1:7" ht="15" customHeight="1" x14ac:dyDescent="0.25"/>
  </sheetData>
  <autoFilter ref="A1:E41" xr:uid="{8234D5B2-E2B4-4BB4-92B2-ED14509F35F7}">
    <sortState xmlns:xlrd2="http://schemas.microsoft.com/office/spreadsheetml/2017/richdata2" ref="A2:E41">
      <sortCondition descending="1" ref="A1:A4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FE52E65-F1DA-47B8-9AE6-512B5657D843}">
          <x14:formula1>
            <xm:f>CATA!$A:$A</xm:f>
          </x14:formula1>
          <xm:sqref>C2:C41</xm:sqref>
        </x14:dataValidation>
        <x14:dataValidation type="list" allowBlank="1" showInputMessage="1" showErrorMessage="1" xr:uid="{F37D5276-6334-498E-8506-1110171691C2}">
          <x14:formula1>
            <xm:f>CATA!$A$1:$A$4</xm:f>
          </x14:formula1>
          <xm:sqref>C1</xm:sqref>
        </x14:dataValidation>
        <x14:dataValidation type="list" allowBlank="1" showInputMessage="1" showErrorMessage="1" xr:uid="{C7FC4CD8-0916-409C-9D7F-F4D8CF0D2632}">
          <x14:formula1>
            <xm:f>CATA!$A$2:$A$7</xm:f>
          </x14:formula1>
          <xm:sqref>C42:C58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4909-4F96-4C40-B65F-4EA6CB204413}">
  <dimension ref="A1:L34"/>
  <sheetViews>
    <sheetView zoomScaleNormal="100" workbookViewId="0">
      <selection activeCell="B3" sqref="B3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8" max="8" width="13.7109375" bestFit="1" customWidth="1"/>
    <col min="10" max="10" width="17.5703125" bestFit="1" customWidth="1"/>
  </cols>
  <sheetData>
    <row r="1" spans="1:12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12" x14ac:dyDescent="0.25">
      <c r="A2" s="5" t="s">
        <v>6</v>
      </c>
      <c r="B2" s="4" t="str">
        <f>VLOOKUP(F2,$J$5:$M$12,3,0)</f>
        <v>Easy to find (4.3%)</v>
      </c>
      <c r="C2" s="5" t="s">
        <v>11</v>
      </c>
      <c r="D2" s="5" t="str">
        <f>_xlfn.IFNA(VLOOKUP(C2,Table1[],2,FALSE),"")</f>
        <v>#AEAE9F</v>
      </c>
      <c r="E2" s="9" t="s">
        <v>102</v>
      </c>
      <c r="F2" s="4" t="s">
        <v>105</v>
      </c>
      <c r="G2" s="2"/>
      <c r="H2" t="s">
        <v>26</v>
      </c>
    </row>
    <row r="3" spans="1:12" x14ac:dyDescent="0.25">
      <c r="A3" s="5" t="s">
        <v>6</v>
      </c>
      <c r="B3" s="4" t="str">
        <f>VLOOKUP(F3,$J$5:$M$12,3,0)</f>
        <v>Pack availability (21.0%)</v>
      </c>
      <c r="C3" s="5" t="s">
        <v>16</v>
      </c>
      <c r="D3" s="5" t="str">
        <f>_xlfn.IFNA(VLOOKUP(C3,Table1[],2,FALSE),"")</f>
        <v>#00B600</v>
      </c>
      <c r="E3" s="5" t="s">
        <v>90</v>
      </c>
      <c r="F3" s="4" t="s">
        <v>106</v>
      </c>
      <c r="G3" s="2"/>
    </row>
    <row r="4" spans="1:12" x14ac:dyDescent="0.25">
      <c r="A4" s="5" t="s">
        <v>6</v>
      </c>
      <c r="B4" s="4" t="str">
        <f t="shared" ref="B4:B16" si="0">VLOOKUP(F4,$J$5:$M$12,3,0)</f>
        <v>Pack availability (21.0%)</v>
      </c>
      <c r="C4" s="5" t="s">
        <v>16</v>
      </c>
      <c r="D4" s="5" t="str">
        <f>_xlfn.IFNA(VLOOKUP(C4,Table1[],2,FALSE),"")</f>
        <v>#00B600</v>
      </c>
      <c r="E4" s="5" t="s">
        <v>89</v>
      </c>
      <c r="F4" s="4" t="s">
        <v>106</v>
      </c>
      <c r="G4" s="2"/>
    </row>
    <row r="5" spans="1:12" x14ac:dyDescent="0.25">
      <c r="A5" s="5" t="s">
        <v>6</v>
      </c>
      <c r="B5" s="4" t="str">
        <f t="shared" si="0"/>
        <v>POS Awareness (7.6%)</v>
      </c>
      <c r="C5" s="5" t="s">
        <v>20</v>
      </c>
      <c r="D5" s="5" t="str">
        <f>_xlfn.IFNA(VLOOKUP(C5,Table1[],2,FALSE),"")</f>
        <v>#FF5000</v>
      </c>
      <c r="E5" s="9" t="s">
        <v>97</v>
      </c>
      <c r="F5" s="4" t="s">
        <v>114</v>
      </c>
      <c r="G5" s="2"/>
      <c r="J5" t="s">
        <v>105</v>
      </c>
      <c r="K5" s="7">
        <v>4.3456016270728315E-2</v>
      </c>
      <c r="L5" t="str">
        <f>_xlfn.TEXTJOIN(" ",1,J5,TEXT(K5,"(0.0%)"))</f>
        <v>Easy to find (4.3%)</v>
      </c>
    </row>
    <row r="6" spans="1:12" x14ac:dyDescent="0.25">
      <c r="A6" s="5" t="s">
        <v>6</v>
      </c>
      <c r="B6" s="4" t="str">
        <f t="shared" si="0"/>
        <v>POS Awareness (7.6%)</v>
      </c>
      <c r="C6" s="5" t="s">
        <v>20</v>
      </c>
      <c r="D6" s="5" t="str">
        <f>_xlfn.IFNA(VLOOKUP(C6,Table1[],2,FALSE),"")</f>
        <v>#FF5000</v>
      </c>
      <c r="E6" s="9" t="s">
        <v>95</v>
      </c>
      <c r="F6" s="4" t="s">
        <v>114</v>
      </c>
      <c r="G6" s="2"/>
      <c r="J6" t="s">
        <v>114</v>
      </c>
      <c r="K6" s="7">
        <v>7.6110463113175222E-2</v>
      </c>
      <c r="L6" t="str">
        <f t="shared" ref="L6:L12" si="1">_xlfn.TEXTJOIN(" ",1,J6,TEXT(K6,"(0.0%)"))</f>
        <v>POS Awareness (7.6%)</v>
      </c>
    </row>
    <row r="7" spans="1:12" x14ac:dyDescent="0.25">
      <c r="A7" s="5" t="s">
        <v>6</v>
      </c>
      <c r="B7" s="4" t="str">
        <f t="shared" si="0"/>
        <v>POS Awareness (7.6%)</v>
      </c>
      <c r="C7" s="5" t="s">
        <v>20</v>
      </c>
      <c r="D7" s="5" t="str">
        <f>_xlfn.IFNA(VLOOKUP(C7,Table1[],2,FALSE),"")</f>
        <v>#FF5000</v>
      </c>
      <c r="E7" s="5" t="s">
        <v>96</v>
      </c>
      <c r="F7" s="4" t="s">
        <v>114</v>
      </c>
      <c r="G7" s="2"/>
      <c r="J7" t="s">
        <v>107</v>
      </c>
      <c r="K7" s="7">
        <v>0.14054702877415329</v>
      </c>
      <c r="L7" t="str">
        <f t="shared" si="1"/>
        <v>Price perception (14.1%)</v>
      </c>
    </row>
    <row r="8" spans="1:12" x14ac:dyDescent="0.25">
      <c r="A8" s="5" t="s">
        <v>6</v>
      </c>
      <c r="B8" s="4" t="str">
        <f t="shared" si="0"/>
        <v>Price perception (14.1%)</v>
      </c>
      <c r="C8" s="5" t="s">
        <v>17</v>
      </c>
      <c r="D8" s="5" t="str">
        <f>_xlfn.IFNA(VLOOKUP(C8,Table1[],2,FALSE),"")</f>
        <v>#FEDB00</v>
      </c>
      <c r="E8" s="9" t="s">
        <v>100</v>
      </c>
      <c r="F8" s="4" t="s">
        <v>107</v>
      </c>
      <c r="G8" s="2"/>
      <c r="J8" t="s">
        <v>103</v>
      </c>
      <c r="K8" s="7">
        <v>8.6959794295363921E-2</v>
      </c>
      <c r="L8" t="str">
        <f t="shared" si="1"/>
        <v>Recommended (8.7%)</v>
      </c>
    </row>
    <row r="9" spans="1:12" x14ac:dyDescent="0.25">
      <c r="A9" s="5" t="s">
        <v>6</v>
      </c>
      <c r="B9" s="4" t="str">
        <f t="shared" si="0"/>
        <v>Recommended (8.7%)</v>
      </c>
      <c r="C9" s="5" t="s">
        <v>8</v>
      </c>
      <c r="D9" s="5" t="str">
        <f>_xlfn.IFNA(VLOOKUP(C9,Table1[],2,FALSE),"")</f>
        <v>#802AB7</v>
      </c>
      <c r="E9" s="9" t="s">
        <v>98</v>
      </c>
      <c r="F9" s="4" t="s">
        <v>103</v>
      </c>
      <c r="G9" s="2"/>
      <c r="J9" t="s">
        <v>104</v>
      </c>
      <c r="K9" s="7">
        <v>0.28466510249934651</v>
      </c>
      <c r="L9" t="str">
        <f t="shared" si="1"/>
        <v>Refrigerated (28.5%)</v>
      </c>
    </row>
    <row r="10" spans="1:12" x14ac:dyDescent="0.25">
      <c r="A10" s="5" t="s">
        <v>6</v>
      </c>
      <c r="B10" s="4" t="str">
        <f t="shared" si="0"/>
        <v>Refrigerated (28.5%)</v>
      </c>
      <c r="C10" s="5" t="s">
        <v>14</v>
      </c>
      <c r="D10" s="5" t="str">
        <f>_xlfn.IFNA(VLOOKUP(C10,Table1[],2,FALSE),"")</f>
        <v>#00E5BA</v>
      </c>
      <c r="E10" s="9" t="s">
        <v>101</v>
      </c>
      <c r="F10" s="4" t="s">
        <v>104</v>
      </c>
      <c r="G10" s="2"/>
      <c r="J10" t="s">
        <v>115</v>
      </c>
      <c r="K10" s="7">
        <v>9.8667557619885715E-2</v>
      </c>
      <c r="L10" t="str">
        <f t="shared" si="1"/>
        <v>Special activations (9.9%)</v>
      </c>
    </row>
    <row r="11" spans="1:12" x14ac:dyDescent="0.25">
      <c r="A11" s="5" t="s">
        <v>6</v>
      </c>
      <c r="B11" s="4" t="str">
        <f t="shared" si="0"/>
        <v>Special activations (9.9%)</v>
      </c>
      <c r="C11" s="5" t="s">
        <v>22</v>
      </c>
      <c r="D11" s="5" t="str">
        <f>_xlfn.IFNA(VLOOKUP(C11,Table1[],2,FALSE),"")</f>
        <v>#FA0028</v>
      </c>
      <c r="E11" s="9" t="s">
        <v>92</v>
      </c>
      <c r="F11" s="4" t="s">
        <v>115</v>
      </c>
      <c r="G11" s="2"/>
      <c r="J11" t="s">
        <v>157</v>
      </c>
      <c r="K11" s="7">
        <v>6.0008709143758943E-2</v>
      </c>
      <c r="L11" t="str">
        <f t="shared" si="1"/>
        <v>Where I go (6.0%)</v>
      </c>
    </row>
    <row r="12" spans="1:12" x14ac:dyDescent="0.25">
      <c r="A12" s="5" t="s">
        <v>6</v>
      </c>
      <c r="B12" s="4" t="str">
        <f t="shared" si="0"/>
        <v>Special activations (9.9%)</v>
      </c>
      <c r="C12" s="5" t="s">
        <v>22</v>
      </c>
      <c r="D12" s="5" t="str">
        <f>_xlfn.IFNA(VLOOKUP(C12,Table1[],2,FALSE),"")</f>
        <v>#FA0028</v>
      </c>
      <c r="E12" s="9" t="s">
        <v>93</v>
      </c>
      <c r="F12" s="4" t="s">
        <v>115</v>
      </c>
      <c r="J12" t="s">
        <v>106</v>
      </c>
      <c r="K12" s="7">
        <v>0.2095853282835882</v>
      </c>
      <c r="L12" t="str">
        <f t="shared" si="1"/>
        <v>Pack availability (21.0%)</v>
      </c>
    </row>
    <row r="13" spans="1:12" x14ac:dyDescent="0.25">
      <c r="A13" s="5" t="s">
        <v>6</v>
      </c>
      <c r="B13" s="4" t="str">
        <f t="shared" si="0"/>
        <v>Special activations (9.9%)</v>
      </c>
      <c r="C13" s="5" t="s">
        <v>22</v>
      </c>
      <c r="D13" s="5" t="str">
        <f>_xlfn.IFNA(VLOOKUP(C13,Table1[],2,FALSE),"")</f>
        <v>#FA0028</v>
      </c>
      <c r="E13" s="9" t="s">
        <v>91</v>
      </c>
      <c r="F13" s="4" t="s">
        <v>115</v>
      </c>
      <c r="G13" s="2"/>
    </row>
    <row r="14" spans="1:12" x14ac:dyDescent="0.25">
      <c r="A14" s="5" t="s">
        <v>6</v>
      </c>
      <c r="B14" s="4" t="str">
        <f t="shared" si="0"/>
        <v>Special activations (9.9%)</v>
      </c>
      <c r="C14" s="5" t="s">
        <v>22</v>
      </c>
      <c r="D14" s="5" t="str">
        <f>_xlfn.IFNA(VLOOKUP(C14,Table1[],2,FALSE),"")</f>
        <v>#FA0028</v>
      </c>
      <c r="E14" s="9" t="s">
        <v>94</v>
      </c>
      <c r="F14" s="4" t="s">
        <v>115</v>
      </c>
      <c r="G14" s="2"/>
    </row>
    <row r="15" spans="1:12" x14ac:dyDescent="0.25">
      <c r="A15" s="5" t="s">
        <v>6</v>
      </c>
      <c r="B15" s="4" t="str">
        <f t="shared" si="0"/>
        <v>Special activations (9.9%)</v>
      </c>
      <c r="C15" s="5" t="s">
        <v>22</v>
      </c>
      <c r="D15" s="5" t="str">
        <f>_xlfn.IFNA(VLOOKUP(C15,Table1[],2,FALSE),"")</f>
        <v>#FA0028</v>
      </c>
      <c r="E15" s="5" t="s">
        <v>112</v>
      </c>
      <c r="F15" s="4" t="s">
        <v>115</v>
      </c>
      <c r="G15" s="2"/>
    </row>
    <row r="16" spans="1:12" x14ac:dyDescent="0.25">
      <c r="A16" s="5" t="s">
        <v>6</v>
      </c>
      <c r="B16" s="4" t="str">
        <f t="shared" si="0"/>
        <v>Where I go (6.0%)</v>
      </c>
      <c r="C16" s="5" t="s">
        <v>9</v>
      </c>
      <c r="D16" s="5" t="str">
        <f>_xlfn.IFNA(VLOOKUP(C16,Table1[],2,FALSE),"")</f>
        <v>#0060FF</v>
      </c>
      <c r="E16" s="9" t="s">
        <v>99</v>
      </c>
      <c r="F16" s="4" t="s">
        <v>157</v>
      </c>
      <c r="G16" s="2"/>
    </row>
    <row r="17" spans="1:12" x14ac:dyDescent="0.25">
      <c r="A17" s="8" t="s">
        <v>5</v>
      </c>
      <c r="B17" s="4" t="str">
        <f>VLOOKUP(F17,$J$17:$M$24,3,0)</f>
        <v>(49.7%) Others</v>
      </c>
      <c r="C17" s="5" t="s">
        <v>28</v>
      </c>
      <c r="D17" s="5" t="str">
        <f>_xlfn.IFNA(VLOOKUP(C17,Table1[],2,FALSE),"")</f>
        <v>#D9D9D9</v>
      </c>
      <c r="E17" s="9" t="s">
        <v>97</v>
      </c>
      <c r="F17" s="4" t="s">
        <v>109</v>
      </c>
      <c r="G17" s="2"/>
      <c r="J17" t="s">
        <v>109</v>
      </c>
      <c r="K17" s="7">
        <v>0.49667753186045688</v>
      </c>
      <c r="L17" t="str">
        <f>_xlfn.TEXTJOIN(" ",1,TEXT(K17,"(0.0%)"),J17)</f>
        <v>(49.7%) Others</v>
      </c>
    </row>
    <row r="18" spans="1:12" x14ac:dyDescent="0.25">
      <c r="A18" s="8" t="s">
        <v>5</v>
      </c>
      <c r="B18" s="4" t="str">
        <f t="shared" ref="B18:B31" si="2">VLOOKUP(F18,$J$17:$M$24,3,0)</f>
        <v>(49.7%) Others</v>
      </c>
      <c r="C18" s="5" t="s">
        <v>28</v>
      </c>
      <c r="D18" s="5" t="str">
        <f>_xlfn.IFNA(VLOOKUP(C18,Table1[],2,FALSE),"")</f>
        <v>#D9D9D9</v>
      </c>
      <c r="E18" s="9" t="s">
        <v>92</v>
      </c>
      <c r="F18" s="4" t="s">
        <v>109</v>
      </c>
      <c r="J18" t="s">
        <v>106</v>
      </c>
      <c r="K18" s="7">
        <v>0.20958532828358814</v>
      </c>
      <c r="L18" t="str">
        <f t="shared" ref="L18:L20" si="3">_xlfn.TEXTJOIN(" ",1,TEXT(K18,"(0.0%)"),J18)</f>
        <v>(21.0%) Pack availability</v>
      </c>
    </row>
    <row r="19" spans="1:12" x14ac:dyDescent="0.25">
      <c r="A19" s="8" t="s">
        <v>5</v>
      </c>
      <c r="B19" s="4" t="str">
        <f t="shared" si="2"/>
        <v>(49.7%) Others</v>
      </c>
      <c r="C19" s="5" t="s">
        <v>28</v>
      </c>
      <c r="D19" s="5" t="str">
        <f>_xlfn.IFNA(VLOOKUP(C19,Table1[],2,FALSE),"")</f>
        <v>#D9D9D9</v>
      </c>
      <c r="E19" s="9" t="s">
        <v>93</v>
      </c>
      <c r="F19" s="4" t="s">
        <v>109</v>
      </c>
      <c r="G19" s="6"/>
      <c r="H19" s="7"/>
      <c r="J19" t="s">
        <v>107</v>
      </c>
      <c r="K19" s="7">
        <v>0.14054702877415326</v>
      </c>
      <c r="L19" t="str">
        <f t="shared" si="3"/>
        <v>(14.1%) Price perception</v>
      </c>
    </row>
    <row r="20" spans="1:12" x14ac:dyDescent="0.25">
      <c r="A20" s="8" t="s">
        <v>5</v>
      </c>
      <c r="B20" s="4" t="str">
        <f t="shared" si="2"/>
        <v>(49.7%) Others</v>
      </c>
      <c r="C20" s="5" t="s">
        <v>28</v>
      </c>
      <c r="D20" s="5" t="str">
        <f>_xlfn.IFNA(VLOOKUP(C20,Table1[],2,FALSE),"")</f>
        <v>#D9D9D9</v>
      </c>
      <c r="E20" s="9" t="s">
        <v>91</v>
      </c>
      <c r="F20" s="4" t="s">
        <v>109</v>
      </c>
      <c r="G20" s="6"/>
      <c r="H20" s="7"/>
      <c r="J20" t="s">
        <v>108</v>
      </c>
      <c r="K20" s="7">
        <v>0.15319011108180164</v>
      </c>
      <c r="L20" t="str">
        <f t="shared" si="3"/>
        <v>(15.3%) Trade visibility</v>
      </c>
    </row>
    <row r="21" spans="1:12" x14ac:dyDescent="0.25">
      <c r="A21" s="8" t="s">
        <v>5</v>
      </c>
      <c r="B21" s="4" t="str">
        <f t="shared" si="2"/>
        <v>(49.7%) Others</v>
      </c>
      <c r="C21" s="5" t="s">
        <v>28</v>
      </c>
      <c r="D21" s="5" t="str">
        <f>_xlfn.IFNA(VLOOKUP(C21,Table1[],2,FALSE),"")</f>
        <v>#D9D9D9</v>
      </c>
      <c r="E21" s="9" t="s">
        <v>98</v>
      </c>
      <c r="F21" s="4" t="s">
        <v>109</v>
      </c>
      <c r="G21" s="6"/>
      <c r="H21" s="7"/>
    </row>
    <row r="22" spans="1:12" x14ac:dyDescent="0.25">
      <c r="A22" s="8" t="s">
        <v>5</v>
      </c>
      <c r="B22" s="4" t="str">
        <f t="shared" si="2"/>
        <v>(49.7%) Others</v>
      </c>
      <c r="C22" s="5" t="s">
        <v>28</v>
      </c>
      <c r="D22" s="5" t="str">
        <f>_xlfn.IFNA(VLOOKUP(C22,Table1[],2,FALSE),"")</f>
        <v>#D9D9D9</v>
      </c>
      <c r="E22" s="9" t="s">
        <v>101</v>
      </c>
      <c r="F22" s="4" t="s">
        <v>109</v>
      </c>
      <c r="G22" s="6"/>
      <c r="H22" s="7"/>
    </row>
    <row r="23" spans="1:12" ht="15" customHeight="1" x14ac:dyDescent="0.25">
      <c r="A23" s="8" t="s">
        <v>5</v>
      </c>
      <c r="B23" s="4" t="str">
        <f t="shared" si="2"/>
        <v>(49.7%) Others</v>
      </c>
      <c r="C23" s="5" t="s">
        <v>28</v>
      </c>
      <c r="D23" s="5" t="str">
        <f>_xlfn.IFNA(VLOOKUP(C23,Table1[],2,FALSE),"")</f>
        <v>#D9D9D9</v>
      </c>
      <c r="E23" s="9" t="s">
        <v>94</v>
      </c>
      <c r="F23" s="4" t="s">
        <v>109</v>
      </c>
      <c r="G23" s="6"/>
      <c r="H23" s="7"/>
    </row>
    <row r="24" spans="1:12" x14ac:dyDescent="0.25">
      <c r="A24" s="8" t="s">
        <v>5</v>
      </c>
      <c r="B24" s="4" t="str">
        <f t="shared" si="2"/>
        <v>(49.7%) Others</v>
      </c>
      <c r="C24" s="5" t="s">
        <v>28</v>
      </c>
      <c r="D24" s="5" t="str">
        <f>_xlfn.IFNA(VLOOKUP(C24,Table1[],2,FALSE),"")</f>
        <v>#D9D9D9</v>
      </c>
      <c r="E24" s="5" t="s">
        <v>112</v>
      </c>
      <c r="F24" s="4" t="s">
        <v>109</v>
      </c>
      <c r="G24" s="6"/>
      <c r="H24" s="7"/>
    </row>
    <row r="25" spans="1:12" x14ac:dyDescent="0.25">
      <c r="A25" s="8" t="s">
        <v>5</v>
      </c>
      <c r="B25" s="4" t="str">
        <f t="shared" si="2"/>
        <v>(21.0%) Pack availability</v>
      </c>
      <c r="C25" s="5" t="s">
        <v>16</v>
      </c>
      <c r="D25" s="5" t="str">
        <f>_xlfn.IFNA(VLOOKUP(C25,Table1[],2,FALSE),"")</f>
        <v>#00B600</v>
      </c>
      <c r="E25" s="5" t="s">
        <v>90</v>
      </c>
      <c r="F25" s="4" t="s">
        <v>106</v>
      </c>
      <c r="G25" s="6"/>
      <c r="H25" s="7"/>
    </row>
    <row r="26" spans="1:12" ht="15" customHeight="1" x14ac:dyDescent="0.25">
      <c r="A26" s="8" t="s">
        <v>5</v>
      </c>
      <c r="B26" s="4" t="str">
        <f t="shared" si="2"/>
        <v>(21.0%) Pack availability</v>
      </c>
      <c r="C26" s="5" t="s">
        <v>16</v>
      </c>
      <c r="D26" s="5" t="str">
        <f>_xlfn.IFNA(VLOOKUP(C26,Table1[],2,FALSE),"")</f>
        <v>#00B600</v>
      </c>
      <c r="E26" s="5" t="s">
        <v>89</v>
      </c>
      <c r="F26" s="4" t="s">
        <v>106</v>
      </c>
    </row>
    <row r="27" spans="1:12" ht="15" customHeight="1" x14ac:dyDescent="0.25">
      <c r="A27" s="8" t="s">
        <v>5</v>
      </c>
      <c r="B27" s="4" t="str">
        <f t="shared" si="2"/>
        <v>(14.1%) Price perception</v>
      </c>
      <c r="C27" s="5" t="s">
        <v>17</v>
      </c>
      <c r="D27" s="5" t="str">
        <f>_xlfn.IFNA(VLOOKUP(C27,Table1[],2,FALSE),"")</f>
        <v>#FEDB00</v>
      </c>
      <c r="E27" s="9" t="s">
        <v>100</v>
      </c>
      <c r="F27" s="4" t="s">
        <v>107</v>
      </c>
    </row>
    <row r="28" spans="1:12" ht="15" customHeight="1" x14ac:dyDescent="0.25">
      <c r="A28" s="8" t="s">
        <v>5</v>
      </c>
      <c r="B28" s="4" t="str">
        <f t="shared" si="2"/>
        <v>(15.3%) Trade visibility</v>
      </c>
      <c r="C28" s="5" t="s">
        <v>9</v>
      </c>
      <c r="D28" s="5" t="str">
        <f>_xlfn.IFNA(VLOOKUP(C28,Table1[],2,FALSE),"")</f>
        <v>#0060FF</v>
      </c>
      <c r="E28" s="9" t="s">
        <v>99</v>
      </c>
      <c r="F28" s="4" t="s">
        <v>108</v>
      </c>
    </row>
    <row r="29" spans="1:12" ht="15" customHeight="1" x14ac:dyDescent="0.25">
      <c r="A29" s="8" t="s">
        <v>5</v>
      </c>
      <c r="B29" s="4" t="str">
        <f t="shared" si="2"/>
        <v>(15.3%) Trade visibility</v>
      </c>
      <c r="C29" s="5" t="s">
        <v>9</v>
      </c>
      <c r="D29" s="5" t="str">
        <f>_xlfn.IFNA(VLOOKUP(C29,Table1[],2,FALSE),"")</f>
        <v>#0060FF</v>
      </c>
      <c r="E29" s="9" t="s">
        <v>102</v>
      </c>
      <c r="F29" s="4" t="s">
        <v>108</v>
      </c>
    </row>
    <row r="30" spans="1:12" ht="15" customHeight="1" x14ac:dyDescent="0.25">
      <c r="A30" s="8" t="s">
        <v>5</v>
      </c>
      <c r="B30" s="4" t="str">
        <f t="shared" si="2"/>
        <v>(15.3%) Trade visibility</v>
      </c>
      <c r="C30" s="5" t="s">
        <v>9</v>
      </c>
      <c r="D30" s="5" t="str">
        <f>_xlfn.IFNA(VLOOKUP(C30,Table1[],2,FALSE),"")</f>
        <v>#0060FF</v>
      </c>
      <c r="E30" s="9" t="s">
        <v>95</v>
      </c>
      <c r="F30" s="4" t="s">
        <v>108</v>
      </c>
    </row>
    <row r="31" spans="1:12" ht="15" customHeight="1" x14ac:dyDescent="0.25">
      <c r="A31" s="8" t="s">
        <v>5</v>
      </c>
      <c r="B31" s="4" t="str">
        <f t="shared" si="2"/>
        <v>(15.3%) Trade visibility</v>
      </c>
      <c r="C31" s="5" t="s">
        <v>9</v>
      </c>
      <c r="D31" s="5" t="str">
        <f>_xlfn.IFNA(VLOOKUP(C31,Table1[],2,FALSE),"")</f>
        <v>#0060FF</v>
      </c>
      <c r="E31" s="5" t="s">
        <v>96</v>
      </c>
      <c r="F31" s="4" t="s">
        <v>108</v>
      </c>
    </row>
    <row r="32" spans="1:12" ht="15" customHeight="1" x14ac:dyDescent="0.25"/>
    <row r="33" ht="15" customHeight="1" x14ac:dyDescent="0.25"/>
    <row r="34" ht="15" customHeight="1" x14ac:dyDescent="0.25"/>
  </sheetData>
  <autoFilter ref="A1:E31" xr:uid="{8234D5B2-E2B4-4BB4-92B2-ED14509F35F7}">
    <sortState xmlns:xlrd2="http://schemas.microsoft.com/office/spreadsheetml/2017/richdata2" ref="A2:E31">
      <sortCondition ref="A1:A3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883EADA-6091-4A6C-A584-4D477AA8E834}">
          <x14:formula1>
            <xm:f>CATA!$A$2:$A$7</xm:f>
          </x14:formula1>
          <xm:sqref>C32:C48</xm:sqref>
        </x14:dataValidation>
        <x14:dataValidation type="list" allowBlank="1" showInputMessage="1" showErrorMessage="1" xr:uid="{3FA5C642-F561-4557-A949-396290FDCA79}">
          <x14:formula1>
            <xm:f>CATA!$A$1:$A$4</xm:f>
          </x14:formula1>
          <xm:sqref>C1</xm:sqref>
        </x14:dataValidation>
        <x14:dataValidation type="list" allowBlank="1" showInputMessage="1" showErrorMessage="1" xr:uid="{E4BC2882-F477-4540-80AF-356A2E0BC41A}">
          <x14:formula1>
            <xm:f>CATA!$A:$A</xm:f>
          </x14:formula1>
          <xm:sqref>C2:C31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91C8-073F-48F3-8341-F8FBE3355CEF}">
  <dimension ref="A1:L19"/>
  <sheetViews>
    <sheetView workbookViewId="0">
      <selection activeCell="E19" sqref="A1:E19"/>
    </sheetView>
  </sheetViews>
  <sheetFormatPr defaultRowHeight="15" x14ac:dyDescent="0.25"/>
  <cols>
    <col min="1" max="1" width="13" bestFit="1" customWidth="1"/>
    <col min="2" max="2" width="21.7109375" bestFit="1" customWidth="1"/>
    <col min="3" max="3" width="17" bestFit="1" customWidth="1"/>
    <col min="4" max="4" width="11.42578125" bestFit="1" customWidth="1"/>
    <col min="5" max="5" width="47.42578125" bestFit="1" customWidth="1"/>
  </cols>
  <sheetData>
    <row r="1" spans="1:12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</row>
    <row r="2" spans="1:12" x14ac:dyDescent="0.25">
      <c r="A2" t="s">
        <v>6</v>
      </c>
      <c r="B2" s="4" t="str">
        <f>VLOOKUP(F2,$J$4:$M$12,3,0)</f>
        <v>Beverage Focused (29.1%)</v>
      </c>
      <c r="C2" s="5" t="s">
        <v>9</v>
      </c>
      <c r="D2" s="5" t="str">
        <f>_xlfn.IFNA(VLOOKUP(C2,Table1[],2,FALSE),"")</f>
        <v>#0060FF</v>
      </c>
      <c r="E2" t="s">
        <v>117</v>
      </c>
      <c r="F2" t="s">
        <v>125</v>
      </c>
    </row>
    <row r="3" spans="1:12" x14ac:dyDescent="0.25">
      <c r="A3" t="s">
        <v>6</v>
      </c>
      <c r="B3" s="4" t="str">
        <f t="shared" ref="B3:B19" si="0">VLOOKUP(F3,$J$4:$M$12,3,0)</f>
        <v>Beverage Focused (29.1%)</v>
      </c>
      <c r="C3" s="5" t="s">
        <v>9</v>
      </c>
      <c r="D3" s="5" t="str">
        <f>_xlfn.IFNA(VLOOKUP(C3,Table1[],2,FALSE),"")</f>
        <v>#0060FF</v>
      </c>
      <c r="E3" t="s">
        <v>118</v>
      </c>
      <c r="F3" t="s">
        <v>125</v>
      </c>
    </row>
    <row r="4" spans="1:12" x14ac:dyDescent="0.25">
      <c r="A4" t="s">
        <v>6</v>
      </c>
      <c r="B4" s="4" t="str">
        <f t="shared" si="0"/>
        <v>Beverage Focused (29.1%)</v>
      </c>
      <c r="C4" s="5" t="s">
        <v>9</v>
      </c>
      <c r="D4" s="5" t="str">
        <f>_xlfn.IFNA(VLOOKUP(C4,Table1[],2,FALSE),"")</f>
        <v>#0060FF</v>
      </c>
      <c r="E4" t="s">
        <v>116</v>
      </c>
      <c r="F4" t="s">
        <v>125</v>
      </c>
      <c r="J4" t="s">
        <v>125</v>
      </c>
      <c r="K4" s="7">
        <v>0.29096941456877873</v>
      </c>
      <c r="L4" t="str">
        <f t="shared" ref="L4:L6" si="1">_xlfn.TEXTJOIN(" ",1,J4,TEXT(K4,"(0.0%)"))</f>
        <v>Beverage Focused (29.1%)</v>
      </c>
    </row>
    <row r="5" spans="1:12" x14ac:dyDescent="0.25">
      <c r="A5" t="s">
        <v>6</v>
      </c>
      <c r="B5" s="4" t="str">
        <f t="shared" si="0"/>
        <v>Neighbourhood stores  (30.2%)</v>
      </c>
      <c r="C5" s="5" t="s">
        <v>20</v>
      </c>
      <c r="D5" s="5" t="str">
        <f>_xlfn.IFNA(VLOOKUP(C5,Table1[],2,FALSE),"")</f>
        <v>#FF5000</v>
      </c>
      <c r="E5" t="s">
        <v>123</v>
      </c>
      <c r="F5" t="s">
        <v>126</v>
      </c>
      <c r="J5" t="s">
        <v>126</v>
      </c>
      <c r="K5" s="7">
        <v>0.30188627660607448</v>
      </c>
      <c r="L5" t="str">
        <f t="shared" si="1"/>
        <v>Neighbourhood stores  (30.2%)</v>
      </c>
    </row>
    <row r="6" spans="1:12" x14ac:dyDescent="0.25">
      <c r="A6" t="s">
        <v>6</v>
      </c>
      <c r="B6" s="4" t="str">
        <f t="shared" si="0"/>
        <v>Neighbourhood stores  (30.2%)</v>
      </c>
      <c r="C6" s="5" t="s">
        <v>20</v>
      </c>
      <c r="D6" s="5" t="str">
        <f>_xlfn.IFNA(VLOOKUP(C6,Table1[],2,FALSE),"")</f>
        <v>#FF5000</v>
      </c>
      <c r="E6" t="s">
        <v>124</v>
      </c>
      <c r="F6" t="s">
        <v>126</v>
      </c>
      <c r="J6" t="s">
        <v>146</v>
      </c>
      <c r="K6" s="7">
        <v>0.40714430882514679</v>
      </c>
      <c r="L6" t="str">
        <f t="shared" si="1"/>
        <v>Retailer (40.7%)</v>
      </c>
    </row>
    <row r="7" spans="1:12" x14ac:dyDescent="0.25">
      <c r="A7" t="s">
        <v>6</v>
      </c>
      <c r="B7" s="4" t="str">
        <f t="shared" si="0"/>
        <v>Neighbourhood stores  (30.2%)</v>
      </c>
      <c r="C7" s="5" t="s">
        <v>20</v>
      </c>
      <c r="D7" s="5" t="str">
        <f>_xlfn.IFNA(VLOOKUP(C7,Table1[],2,FALSE),"")</f>
        <v>#FF5000</v>
      </c>
      <c r="E7" t="s">
        <v>122</v>
      </c>
      <c r="F7" t="s">
        <v>126</v>
      </c>
    </row>
    <row r="8" spans="1:12" x14ac:dyDescent="0.25">
      <c r="A8" t="s">
        <v>6</v>
      </c>
      <c r="B8" s="4" t="str">
        <f t="shared" si="0"/>
        <v>Retailer (40.7%)</v>
      </c>
      <c r="C8" s="5" t="s">
        <v>16</v>
      </c>
      <c r="D8" s="5" t="str">
        <f>_xlfn.IFNA(VLOOKUP(C8,Table1[],2,FALSE),"")</f>
        <v>#00B600</v>
      </c>
      <c r="E8" t="s">
        <v>121</v>
      </c>
      <c r="F8" t="s">
        <v>146</v>
      </c>
    </row>
    <row r="9" spans="1:12" x14ac:dyDescent="0.25">
      <c r="A9" t="s">
        <v>6</v>
      </c>
      <c r="B9" s="4" t="str">
        <f t="shared" si="0"/>
        <v>Retailer (40.7%)</v>
      </c>
      <c r="C9" s="5" t="s">
        <v>16</v>
      </c>
      <c r="D9" s="5" t="str">
        <f>_xlfn.IFNA(VLOOKUP(C9,Table1[],2,FALSE),"")</f>
        <v>#00B600</v>
      </c>
      <c r="E9" t="s">
        <v>119</v>
      </c>
      <c r="F9" t="s">
        <v>146</v>
      </c>
      <c r="J9" t="s">
        <v>127</v>
      </c>
      <c r="K9" s="7">
        <v>0.343712038638258</v>
      </c>
      <c r="L9" t="str">
        <f t="shared" ref="L9:L12" si="2">_xlfn.TEXTJOIN(" ",1,TEXT(K9,"(0.0%)"),J9)</f>
        <v>(34.4%) Modern</v>
      </c>
    </row>
    <row r="10" spans="1:12" x14ac:dyDescent="0.25">
      <c r="A10" t="s">
        <v>6</v>
      </c>
      <c r="B10" s="4" t="str">
        <f t="shared" si="0"/>
        <v>Retailer (40.7%)</v>
      </c>
      <c r="C10" s="5" t="s">
        <v>16</v>
      </c>
      <c r="D10" s="5" t="str">
        <f>_xlfn.IFNA(VLOOKUP(C10,Table1[],2,FALSE),"")</f>
        <v>#00B600</v>
      </c>
      <c r="E10" t="s">
        <v>120</v>
      </c>
      <c r="F10" t="s">
        <v>146</v>
      </c>
      <c r="J10" t="s">
        <v>128</v>
      </c>
      <c r="K10" s="7">
        <v>0.30062062151240776</v>
      </c>
      <c r="L10" t="str">
        <f t="shared" si="2"/>
        <v>(30.1%) On premise</v>
      </c>
    </row>
    <row r="11" spans="1:12" x14ac:dyDescent="0.25">
      <c r="A11" t="s">
        <v>5</v>
      </c>
      <c r="B11" s="4" t="str">
        <f t="shared" si="0"/>
        <v>(34.4%) Modern</v>
      </c>
      <c r="C11" s="5" t="s">
        <v>17</v>
      </c>
      <c r="D11" s="5" t="str">
        <f>_xlfn.IFNA(VLOOKUP(C11,Table1[],2,FALSE),"")</f>
        <v>#FEDB00</v>
      </c>
      <c r="E11" t="s">
        <v>123</v>
      </c>
      <c r="F11" t="s">
        <v>127</v>
      </c>
      <c r="J11" t="s">
        <v>129</v>
      </c>
      <c r="K11" s="7">
        <v>0.25125647464955375</v>
      </c>
      <c r="L11" t="str">
        <f t="shared" si="2"/>
        <v>(25.1%) TT Off premise</v>
      </c>
    </row>
    <row r="12" spans="1:12" x14ac:dyDescent="0.25">
      <c r="A12" t="s">
        <v>5</v>
      </c>
      <c r="B12" s="4" t="str">
        <f t="shared" si="0"/>
        <v>(10.4%) Modelorama or Tecate Six</v>
      </c>
      <c r="C12" s="5" t="s">
        <v>17</v>
      </c>
      <c r="D12" s="5" t="str">
        <f>_xlfn.IFNA(VLOOKUP(C12,Table1[],2,FALSE),"")</f>
        <v>#FEDB00</v>
      </c>
      <c r="E12" t="s">
        <v>124</v>
      </c>
      <c r="F12" t="s">
        <v>124</v>
      </c>
      <c r="J12" t="s">
        <v>124</v>
      </c>
      <c r="K12" s="7">
        <v>0.10441086519978048</v>
      </c>
      <c r="L12" t="str">
        <f t="shared" si="2"/>
        <v>(10.4%) Modelorama or Tecate Six</v>
      </c>
    </row>
    <row r="13" spans="1:12" x14ac:dyDescent="0.25">
      <c r="A13" t="s">
        <v>5</v>
      </c>
      <c r="B13" s="4" t="str">
        <f t="shared" si="0"/>
        <v>(34.4%) Modern</v>
      </c>
      <c r="C13" s="5" t="s">
        <v>17</v>
      </c>
      <c r="D13" s="5" t="str">
        <f>_xlfn.IFNA(VLOOKUP(C13,Table1[],2,FALSE),"")</f>
        <v>#FEDB00</v>
      </c>
      <c r="E13" t="s">
        <v>119</v>
      </c>
      <c r="F13" t="s">
        <v>127</v>
      </c>
    </row>
    <row r="14" spans="1:12" x14ac:dyDescent="0.25">
      <c r="A14" t="s">
        <v>5</v>
      </c>
      <c r="B14" s="4" t="str">
        <f t="shared" si="0"/>
        <v>(30.1%) On premise</v>
      </c>
      <c r="C14" s="5" t="s">
        <v>9</v>
      </c>
      <c r="D14" s="5" t="str">
        <f>_xlfn.IFNA(VLOOKUP(C14,Table1[],2,FALSE),"")</f>
        <v>#0060FF</v>
      </c>
      <c r="E14" t="s">
        <v>117</v>
      </c>
      <c r="F14" t="s">
        <v>128</v>
      </c>
    </row>
    <row r="15" spans="1:12" x14ac:dyDescent="0.25">
      <c r="A15" t="s">
        <v>5</v>
      </c>
      <c r="B15" s="4" t="str">
        <f t="shared" si="0"/>
        <v>(30.1%) On premise</v>
      </c>
      <c r="C15" s="5" t="s">
        <v>9</v>
      </c>
      <c r="D15" s="5" t="str">
        <f>_xlfn.IFNA(VLOOKUP(C15,Table1[],2,FALSE),"")</f>
        <v>#0060FF</v>
      </c>
      <c r="E15" t="s">
        <v>118</v>
      </c>
      <c r="F15" t="s">
        <v>128</v>
      </c>
    </row>
    <row r="16" spans="1:12" x14ac:dyDescent="0.25">
      <c r="A16" t="s">
        <v>5</v>
      </c>
      <c r="B16" s="4" t="str">
        <f t="shared" si="0"/>
        <v>(30.1%) On premise</v>
      </c>
      <c r="C16" s="5" t="s">
        <v>9</v>
      </c>
      <c r="D16" s="5" t="str">
        <f>_xlfn.IFNA(VLOOKUP(C16,Table1[],2,FALSE),"")</f>
        <v>#0060FF</v>
      </c>
      <c r="E16" t="s">
        <v>121</v>
      </c>
      <c r="F16" t="s">
        <v>128</v>
      </c>
    </row>
    <row r="17" spans="1:6" x14ac:dyDescent="0.25">
      <c r="A17" t="s">
        <v>5</v>
      </c>
      <c r="B17" s="4" t="str">
        <f t="shared" si="0"/>
        <v>(30.1%) On premise</v>
      </c>
      <c r="C17" s="5" t="s">
        <v>9</v>
      </c>
      <c r="D17" s="5" t="str">
        <f>_xlfn.IFNA(VLOOKUP(C17,Table1[],2,FALSE),"")</f>
        <v>#0060FF</v>
      </c>
      <c r="E17" t="s">
        <v>116</v>
      </c>
      <c r="F17" t="s">
        <v>128</v>
      </c>
    </row>
    <row r="18" spans="1:6" x14ac:dyDescent="0.25">
      <c r="A18" t="s">
        <v>5</v>
      </c>
      <c r="B18" s="4" t="str">
        <f t="shared" si="0"/>
        <v>(25.1%) TT Off premise</v>
      </c>
      <c r="C18" s="5" t="s">
        <v>23</v>
      </c>
      <c r="D18" s="5" t="str">
        <f>_xlfn.IFNA(VLOOKUP(C18,Table1[],2,FALSE),"")</f>
        <v>#C700D3</v>
      </c>
      <c r="E18" t="s">
        <v>122</v>
      </c>
      <c r="F18" t="s">
        <v>129</v>
      </c>
    </row>
    <row r="19" spans="1:6" x14ac:dyDescent="0.25">
      <c r="A19" t="s">
        <v>5</v>
      </c>
      <c r="B19" s="4" t="str">
        <f t="shared" si="0"/>
        <v>(25.1%) TT Off premise</v>
      </c>
      <c r="C19" s="5" t="s">
        <v>23</v>
      </c>
      <c r="D19" s="5" t="str">
        <f>_xlfn.IFNA(VLOOKUP(C19,Table1[],2,FALSE),"")</f>
        <v>#C700D3</v>
      </c>
      <c r="E19" t="s">
        <v>120</v>
      </c>
      <c r="F19" t="s">
        <v>129</v>
      </c>
    </row>
  </sheetData>
  <autoFilter ref="A1:E19" xr:uid="{57DE91C8-073F-48F3-8341-F8FBE3355CEF}">
    <sortState xmlns:xlrd2="http://schemas.microsoft.com/office/spreadsheetml/2017/richdata2" ref="A2:E19">
      <sortCondition ref="A1:A19"/>
    </sortState>
  </autoFilter>
  <conditionalFormatting sqref="J1:J1048576">
    <cfRule type="duplicateValues" dxfId="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7AEC35-0202-43FC-8A57-4393ED47EBE3}">
          <x14:formula1>
            <xm:f>CATA!$A:$A</xm:f>
          </x14:formula1>
          <xm:sqref>C2:C19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8CEC-8127-4BC0-9D74-2E10DEE191BD}">
  <dimension ref="A1:L25"/>
  <sheetViews>
    <sheetView workbookViewId="0">
      <selection sqref="A1:E25"/>
    </sheetView>
  </sheetViews>
  <sheetFormatPr defaultRowHeight="15" x14ac:dyDescent="0.25"/>
  <cols>
    <col min="1" max="1" width="10.7109375" bestFit="1" customWidth="1"/>
    <col min="2" max="2" width="47.28515625" bestFit="1" customWidth="1"/>
    <col min="3" max="3" width="17" bestFit="1" customWidth="1"/>
    <col min="4" max="4" width="9.85546875" bestFit="1" customWidth="1"/>
    <col min="5" max="5" width="51.28515625" bestFit="1" customWidth="1"/>
  </cols>
  <sheetData>
    <row r="1" spans="1:12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H1" t="s">
        <v>25</v>
      </c>
    </row>
    <row r="2" spans="1:12" x14ac:dyDescent="0.25">
      <c r="A2" s="5" t="s">
        <v>6</v>
      </c>
      <c r="B2" s="4" t="str">
        <f>VLOOKUP(F2,$J$4:$M$23,3,0)</f>
        <v>Celebrating (3.0%)</v>
      </c>
      <c r="C2" s="5" t="s">
        <v>17</v>
      </c>
      <c r="D2" s="5" t="str">
        <f>_xlfn.IFNA(VLOOKUP(C2,Table1[],2,FALSE),"")</f>
        <v>#FEDB00</v>
      </c>
      <c r="E2" s="9" t="s">
        <v>133</v>
      </c>
      <c r="F2" s="10" t="s">
        <v>148</v>
      </c>
      <c r="H2" t="s">
        <v>26</v>
      </c>
    </row>
    <row r="3" spans="1:12" x14ac:dyDescent="0.25">
      <c r="A3" s="5" t="s">
        <v>6</v>
      </c>
      <c r="B3" s="4" t="str">
        <f t="shared" ref="B3:B25" si="0">VLOOKUP(F3,$J$4:$M$23,3,0)</f>
        <v>Eating out with friends (8.6%)</v>
      </c>
      <c r="C3" s="5" t="s">
        <v>14</v>
      </c>
      <c r="D3" s="5" t="str">
        <f>_xlfn.IFNA(VLOOKUP(C3,Table1[],2,FALSE),"")</f>
        <v>#00E5BA</v>
      </c>
      <c r="E3" s="9" t="s">
        <v>132</v>
      </c>
      <c r="F3" s="10" t="s">
        <v>137</v>
      </c>
    </row>
    <row r="4" spans="1:12" x14ac:dyDescent="0.25">
      <c r="A4" s="5" t="s">
        <v>6</v>
      </c>
      <c r="B4" s="4" t="str">
        <f t="shared" si="0"/>
        <v>Eating out with friends (8.6%)</v>
      </c>
      <c r="C4" s="5" t="s">
        <v>14</v>
      </c>
      <c r="D4" s="5" t="str">
        <f>_xlfn.IFNA(VLOOKUP(C4,Table1[],2,FALSE),"")</f>
        <v>#00E5BA</v>
      </c>
      <c r="E4" s="9" t="s">
        <v>156</v>
      </c>
      <c r="F4" s="10" t="s">
        <v>137</v>
      </c>
      <c r="J4" t="s">
        <v>148</v>
      </c>
      <c r="K4" s="7">
        <v>2.9749865008811636E-2</v>
      </c>
      <c r="L4" t="str">
        <f t="shared" ref="L4:L10" si="1">_xlfn.TEXTJOIN(" ",1,J4,TEXT(K4,"(0.0%)"))</f>
        <v>Celebrating (3.0%)</v>
      </c>
    </row>
    <row r="5" spans="1:12" x14ac:dyDescent="0.25">
      <c r="A5" s="5" t="s">
        <v>6</v>
      </c>
      <c r="B5" s="4" t="str">
        <f t="shared" si="0"/>
        <v>Everyday activities (22.2%)</v>
      </c>
      <c r="C5" s="5" t="s">
        <v>23</v>
      </c>
      <c r="D5" s="5" t="str">
        <f>_xlfn.IFNA(VLOOKUP(C5,Table1[],2,FALSE),"")</f>
        <v>#C700D3</v>
      </c>
      <c r="E5" s="9" t="s">
        <v>134</v>
      </c>
      <c r="F5" s="10" t="s">
        <v>138</v>
      </c>
      <c r="J5" t="s">
        <v>137</v>
      </c>
      <c r="K5" s="7">
        <v>8.56296979962715E-2</v>
      </c>
      <c r="L5" t="str">
        <f t="shared" si="1"/>
        <v>Eating out with friends (8.6%)</v>
      </c>
    </row>
    <row r="6" spans="1:12" x14ac:dyDescent="0.25">
      <c r="A6" s="5" t="s">
        <v>6</v>
      </c>
      <c r="B6" s="4" t="str">
        <f t="shared" si="0"/>
        <v>Food at home (10.2%)</v>
      </c>
      <c r="C6" s="5" t="s">
        <v>20</v>
      </c>
      <c r="D6" s="5" t="str">
        <f>_xlfn.IFNA(VLOOKUP(C6,Table1[],2,FALSE),"")</f>
        <v>#FF5000</v>
      </c>
      <c r="E6" s="9" t="s">
        <v>152</v>
      </c>
      <c r="F6" s="10" t="s">
        <v>149</v>
      </c>
      <c r="J6" t="s">
        <v>138</v>
      </c>
      <c r="K6" s="7">
        <v>0.22160210651938908</v>
      </c>
      <c r="L6" t="str">
        <f t="shared" si="1"/>
        <v>Everyday activities (22.2%)</v>
      </c>
    </row>
    <row r="7" spans="1:12" x14ac:dyDescent="0.25">
      <c r="A7" s="5" t="s">
        <v>6</v>
      </c>
      <c r="B7" s="4" t="str">
        <f t="shared" si="0"/>
        <v>Food at home (10.2%)</v>
      </c>
      <c r="C7" s="5" t="s">
        <v>20</v>
      </c>
      <c r="D7" s="5" t="str">
        <f>_xlfn.IFNA(VLOOKUP(C7,Table1[],2,FALSE),"")</f>
        <v>#FF5000</v>
      </c>
      <c r="E7" s="9" t="s">
        <v>151</v>
      </c>
      <c r="F7" s="10" t="s">
        <v>149</v>
      </c>
      <c r="J7" t="s">
        <v>149</v>
      </c>
      <c r="K7" s="7">
        <v>0.10150648039411821</v>
      </c>
      <c r="L7" t="str">
        <f t="shared" si="1"/>
        <v>Food at home (10.2%)</v>
      </c>
    </row>
    <row r="8" spans="1:12" x14ac:dyDescent="0.25">
      <c r="A8" s="5" t="s">
        <v>6</v>
      </c>
      <c r="B8" s="4" t="str">
        <f t="shared" si="0"/>
        <v>Men's socialization OOH (5.4%)</v>
      </c>
      <c r="C8" s="5" t="s">
        <v>9</v>
      </c>
      <c r="D8" s="5" t="str">
        <f>_xlfn.IFNA(VLOOKUP(C8,Table1[],2,FALSE),"")</f>
        <v>#0060FF</v>
      </c>
      <c r="E8" s="9" t="s">
        <v>150</v>
      </c>
      <c r="F8" s="10" t="s">
        <v>135</v>
      </c>
      <c r="J8" t="s">
        <v>135</v>
      </c>
      <c r="K8" s="7">
        <v>5.4195052048449509E-2</v>
      </c>
      <c r="L8" t="str">
        <f t="shared" si="1"/>
        <v>Men's socialization OOH (5.4%)</v>
      </c>
    </row>
    <row r="9" spans="1:12" x14ac:dyDescent="0.25">
      <c r="A9" s="5" t="s">
        <v>6</v>
      </c>
      <c r="B9" s="4" t="str">
        <f t="shared" si="0"/>
        <v>Relaxing / Unwind  (26.7%)</v>
      </c>
      <c r="C9" s="5" t="s">
        <v>8</v>
      </c>
      <c r="D9" s="5" t="str">
        <f>_xlfn.IFNA(VLOOKUP(C9,Table1[],2,FALSE),"")</f>
        <v>#802AB7</v>
      </c>
      <c r="E9" s="9" t="s">
        <v>130</v>
      </c>
      <c r="F9" s="10" t="s">
        <v>147</v>
      </c>
      <c r="J9" t="s">
        <v>147</v>
      </c>
      <c r="K9" s="7">
        <v>0.26651528142241687</v>
      </c>
      <c r="L9" t="str">
        <f t="shared" si="1"/>
        <v>Relaxing / Unwind  (26.7%)</v>
      </c>
    </row>
    <row r="10" spans="1:12" x14ac:dyDescent="0.25">
      <c r="A10" s="5" t="s">
        <v>6</v>
      </c>
      <c r="B10" s="4" t="str">
        <f t="shared" si="0"/>
        <v>Relaxing / Unwind  (26.7%)</v>
      </c>
      <c r="C10" s="5" t="s">
        <v>8</v>
      </c>
      <c r="D10" s="5" t="str">
        <f>_xlfn.IFNA(VLOOKUP(C10,Table1[],2,FALSE),"")</f>
        <v>#802AB7</v>
      </c>
      <c r="E10" s="9" t="s">
        <v>131</v>
      </c>
      <c r="F10" s="10" t="s">
        <v>147</v>
      </c>
      <c r="J10" t="s">
        <v>136</v>
      </c>
      <c r="K10" s="7">
        <v>0.24080151661054314</v>
      </c>
      <c r="L10" t="str">
        <f t="shared" si="1"/>
        <v>Socializing at home (24.1%)</v>
      </c>
    </row>
    <row r="11" spans="1:12" x14ac:dyDescent="0.25">
      <c r="A11" s="5" t="s">
        <v>6</v>
      </c>
      <c r="B11" s="4" t="str">
        <f t="shared" si="0"/>
        <v>Socializing at home (24.1%)</v>
      </c>
      <c r="C11" s="5" t="s">
        <v>16</v>
      </c>
      <c r="D11" s="5" t="str">
        <f>_xlfn.IFNA(VLOOKUP(C11,Table1[],2,FALSE),"")</f>
        <v>#00B600</v>
      </c>
      <c r="E11" s="9" t="s">
        <v>153</v>
      </c>
      <c r="F11" s="10" t="s">
        <v>136</v>
      </c>
    </row>
    <row r="12" spans="1:12" x14ac:dyDescent="0.25">
      <c r="A12" s="5" t="s">
        <v>6</v>
      </c>
      <c r="B12" s="4" t="str">
        <f t="shared" si="0"/>
        <v>Socializing at home (24.1%)</v>
      </c>
      <c r="C12" s="5" t="s">
        <v>16</v>
      </c>
      <c r="D12" s="5" t="str">
        <f>_xlfn.IFNA(VLOOKUP(C12,Table1[],2,FALSE),"")</f>
        <v>#00B600</v>
      </c>
      <c r="E12" s="9" t="s">
        <v>154</v>
      </c>
      <c r="F12" s="10" t="s">
        <v>136</v>
      </c>
    </row>
    <row r="13" spans="1:12" x14ac:dyDescent="0.25">
      <c r="A13" s="5" t="s">
        <v>6</v>
      </c>
      <c r="B13" s="4" t="str">
        <f t="shared" si="0"/>
        <v>Socializing at home (24.1%)</v>
      </c>
      <c r="C13" s="5" t="s">
        <v>16</v>
      </c>
      <c r="D13" s="5" t="str">
        <f>_xlfn.IFNA(VLOOKUP(C13,Table1[],2,FALSE),"")</f>
        <v>#00B600</v>
      </c>
      <c r="E13" s="9" t="s">
        <v>155</v>
      </c>
      <c r="F13" s="10" t="s">
        <v>136</v>
      </c>
    </row>
    <row r="14" spans="1:12" x14ac:dyDescent="0.25">
      <c r="A14" s="8" t="s">
        <v>5</v>
      </c>
      <c r="B14" s="4" t="str">
        <f t="shared" si="0"/>
        <v>(26.0%) Living</v>
      </c>
      <c r="C14" s="5" t="s">
        <v>14</v>
      </c>
      <c r="D14" s="5" t="str">
        <f>_xlfn.IFNA(VLOOKUP(C14,Table1[],2,FALSE),"")</f>
        <v>#00E5BA</v>
      </c>
      <c r="E14" s="9" t="s">
        <v>134</v>
      </c>
      <c r="F14" s="10" t="s">
        <v>139</v>
      </c>
    </row>
    <row r="15" spans="1:12" x14ac:dyDescent="0.25">
      <c r="A15" s="8" t="s">
        <v>5</v>
      </c>
      <c r="B15" s="4" t="str">
        <f t="shared" si="0"/>
        <v>(26.0%) Living</v>
      </c>
      <c r="C15" s="5" t="s">
        <v>14</v>
      </c>
      <c r="D15" s="5" t="str">
        <f>_xlfn.IFNA(VLOOKUP(C15,Table1[],2,FALSE),"")</f>
        <v>#00E5BA</v>
      </c>
      <c r="E15" s="9" t="s">
        <v>152</v>
      </c>
      <c r="F15" s="10" t="s">
        <v>139</v>
      </c>
    </row>
    <row r="16" spans="1:12" x14ac:dyDescent="0.25">
      <c r="A16" s="8" t="s">
        <v>5</v>
      </c>
      <c r="B16" s="4" t="str">
        <f t="shared" si="0"/>
        <v>(10.1%) Meal</v>
      </c>
      <c r="C16" s="5" t="s">
        <v>20</v>
      </c>
      <c r="D16" s="5" t="str">
        <f>_xlfn.IFNA(VLOOKUP(C16,Table1[],2,FALSE),"")</f>
        <v>#FF5000</v>
      </c>
      <c r="E16" s="9" t="s">
        <v>132</v>
      </c>
      <c r="F16" s="9" t="s">
        <v>140</v>
      </c>
      <c r="J16" t="s">
        <v>139</v>
      </c>
      <c r="K16" s="7">
        <v>0.25956724993790398</v>
      </c>
      <c r="L16" t="str">
        <f t="shared" ref="L16:L22" si="2">_xlfn.TEXTJOIN(" ",1,TEXT(K16,"(0.0%)"),J16)</f>
        <v>(26.0%) Living</v>
      </c>
    </row>
    <row r="17" spans="1:12" x14ac:dyDescent="0.25">
      <c r="A17" s="8" t="s">
        <v>5</v>
      </c>
      <c r="B17" s="4" t="str">
        <f t="shared" si="0"/>
        <v>(10.1%) Meal</v>
      </c>
      <c r="C17" s="5" t="s">
        <v>20</v>
      </c>
      <c r="D17" s="5" t="str">
        <f>_xlfn.IFNA(VLOOKUP(C17,Table1[],2,FALSE),"")</f>
        <v>#FF5000</v>
      </c>
      <c r="E17" s="9" t="s">
        <v>151</v>
      </c>
      <c r="F17" s="10" t="s">
        <v>140</v>
      </c>
      <c r="J17" t="s">
        <v>140</v>
      </c>
      <c r="K17" s="7">
        <v>0.10075699373645268</v>
      </c>
      <c r="L17" t="str">
        <f t="shared" si="2"/>
        <v>(10.1%) Meal</v>
      </c>
    </row>
    <row r="18" spans="1:12" x14ac:dyDescent="0.25">
      <c r="A18" s="8" t="s">
        <v>5</v>
      </c>
      <c r="B18" s="4" t="str">
        <f t="shared" si="0"/>
        <v>(12.1%) Party</v>
      </c>
      <c r="C18" s="5" t="s">
        <v>17</v>
      </c>
      <c r="D18" s="5" t="str">
        <f>_xlfn.IFNA(VLOOKUP(C18,Table1[],2,FALSE),"")</f>
        <v>#FEDB00</v>
      </c>
      <c r="E18" s="9" t="s">
        <v>133</v>
      </c>
      <c r="F18" s="10" t="s">
        <v>141</v>
      </c>
      <c r="J18" t="s">
        <v>141</v>
      </c>
      <c r="K18" s="7">
        <v>0.12133991264264983</v>
      </c>
      <c r="L18" t="str">
        <f t="shared" si="2"/>
        <v>(12.1%) Party</v>
      </c>
    </row>
    <row r="19" spans="1:12" x14ac:dyDescent="0.25">
      <c r="A19" s="8" t="s">
        <v>5</v>
      </c>
      <c r="B19" s="4" t="str">
        <f t="shared" si="0"/>
        <v>(12.1%) Party</v>
      </c>
      <c r="C19" s="5" t="s">
        <v>17</v>
      </c>
      <c r="D19" s="5" t="str">
        <f>_xlfn.IFNA(VLOOKUP(C19,Table1[],2,FALSE),"")</f>
        <v>#FEDB00</v>
      </c>
      <c r="E19" s="9" t="s">
        <v>153</v>
      </c>
      <c r="F19" s="10" t="s">
        <v>141</v>
      </c>
      <c r="J19" t="s">
        <v>142</v>
      </c>
      <c r="K19" s="7">
        <v>0.14854519464620461</v>
      </c>
      <c r="L19" t="str">
        <f t="shared" si="2"/>
        <v>(14.9%) Relax alone</v>
      </c>
    </row>
    <row r="20" spans="1:12" x14ac:dyDescent="0.25">
      <c r="A20" s="8" t="s">
        <v>5</v>
      </c>
      <c r="B20" s="4" t="str">
        <f t="shared" si="0"/>
        <v>(14.9%) Relax alone</v>
      </c>
      <c r="C20" s="5" t="s">
        <v>23</v>
      </c>
      <c r="D20" s="5" t="str">
        <f>_xlfn.IFNA(VLOOKUP(C20,Table1[],2,FALSE),"")</f>
        <v>#C700D3</v>
      </c>
      <c r="E20" s="9" t="s">
        <v>130</v>
      </c>
      <c r="F20" s="10" t="s">
        <v>142</v>
      </c>
      <c r="J20" t="s">
        <v>143</v>
      </c>
      <c r="K20" s="7">
        <v>0.11797008677621229</v>
      </c>
      <c r="L20" t="str">
        <f t="shared" si="2"/>
        <v>(11.8%) Relax family</v>
      </c>
    </row>
    <row r="21" spans="1:12" x14ac:dyDescent="0.25">
      <c r="A21" s="8" t="s">
        <v>5</v>
      </c>
      <c r="B21" s="4" t="str">
        <f t="shared" si="0"/>
        <v>(11.8%) Relax family</v>
      </c>
      <c r="C21" s="5" t="s">
        <v>8</v>
      </c>
      <c r="D21" s="5" t="str">
        <f>_xlfn.IFNA(VLOOKUP(C21,Table1[],2,FALSE),"")</f>
        <v>#802AB7</v>
      </c>
      <c r="E21" s="9" t="s">
        <v>131</v>
      </c>
      <c r="F21" s="10" t="s">
        <v>143</v>
      </c>
      <c r="J21" t="s">
        <v>144</v>
      </c>
      <c r="K21" s="7">
        <v>0.12129837028234507</v>
      </c>
      <c r="L21" t="str">
        <f t="shared" si="2"/>
        <v>(12.1%) Social mixed gender</v>
      </c>
    </row>
    <row r="22" spans="1:12" x14ac:dyDescent="0.25">
      <c r="A22" s="8" t="s">
        <v>5</v>
      </c>
      <c r="B22" s="4" t="str">
        <f t="shared" si="0"/>
        <v>(12.1%) Social mixed gender</v>
      </c>
      <c r="C22" s="5" t="s">
        <v>16</v>
      </c>
      <c r="D22" s="5" t="str">
        <f>_xlfn.IFNA(VLOOKUP(C22,Table1[],2,FALSE),"")</f>
        <v>#00B600</v>
      </c>
      <c r="E22" s="9" t="s">
        <v>155</v>
      </c>
      <c r="F22" s="10" t="s">
        <v>144</v>
      </c>
      <c r="J22" t="s">
        <v>145</v>
      </c>
      <c r="K22" s="7">
        <v>0.13052219197823153</v>
      </c>
      <c r="L22" t="str">
        <f t="shared" si="2"/>
        <v>(13.1%) Social same gender</v>
      </c>
    </row>
    <row r="23" spans="1:12" x14ac:dyDescent="0.25">
      <c r="A23" s="8" t="s">
        <v>5</v>
      </c>
      <c r="B23" s="4" t="str">
        <f t="shared" si="0"/>
        <v>(12.1%) Social mixed gender</v>
      </c>
      <c r="C23" s="5" t="s">
        <v>16</v>
      </c>
      <c r="D23" s="5" t="str">
        <f>_xlfn.IFNA(VLOOKUP(C23,Table1[],2,FALSE),"")</f>
        <v>#00B600</v>
      </c>
      <c r="E23" s="9" t="s">
        <v>156</v>
      </c>
      <c r="F23" s="10" t="s">
        <v>144</v>
      </c>
    </row>
    <row r="24" spans="1:12" x14ac:dyDescent="0.25">
      <c r="A24" s="8" t="s">
        <v>5</v>
      </c>
      <c r="B24" s="4" t="str">
        <f t="shared" si="0"/>
        <v>(13.1%) Social same gender</v>
      </c>
      <c r="C24" s="5" t="s">
        <v>9</v>
      </c>
      <c r="D24" s="5" t="str">
        <f>_xlfn.IFNA(VLOOKUP(C24,Table1[],2,FALSE),"")</f>
        <v>#0060FF</v>
      </c>
      <c r="E24" s="9" t="s">
        <v>154</v>
      </c>
      <c r="F24" s="9" t="s">
        <v>145</v>
      </c>
    </row>
    <row r="25" spans="1:12" x14ac:dyDescent="0.25">
      <c r="A25" s="8" t="s">
        <v>5</v>
      </c>
      <c r="B25" s="4" t="str">
        <f t="shared" si="0"/>
        <v>(13.1%) Social same gender</v>
      </c>
      <c r="C25" s="5" t="s">
        <v>9</v>
      </c>
      <c r="D25" s="5" t="str">
        <f>_xlfn.IFNA(VLOOKUP(C25,Table1[],2,FALSE),"")</f>
        <v>#0060FF</v>
      </c>
      <c r="E25" s="9" t="s">
        <v>150</v>
      </c>
      <c r="F25" s="9" t="s">
        <v>145</v>
      </c>
    </row>
  </sheetData>
  <autoFilter ref="A1:E25" xr:uid="{733A8CEC-8127-4BC0-9D74-2E10DEE191BD}">
    <sortState xmlns:xlrd2="http://schemas.microsoft.com/office/spreadsheetml/2017/richdata2" ref="A2:E25">
      <sortCondition ref="A1:A25"/>
    </sortState>
  </autoFilter>
  <conditionalFormatting sqref="J1:J1048576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BB4F4A-21A7-469A-9B96-9587DDBDF033}">
          <x14:formula1>
            <xm:f>CATA!$A$1:$A$4</xm:f>
          </x14:formula1>
          <xm:sqref>C1</xm:sqref>
        </x14:dataValidation>
        <x14:dataValidation type="list" allowBlank="1" showInputMessage="1" showErrorMessage="1" xr:uid="{2B42005E-44BE-463D-97D8-7B1074CFB66D}">
          <x14:formula1>
            <xm:f>CATA!$A:$A</xm:f>
          </x14:formula1>
          <xm:sqref>C2:C25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71D9-1CAF-4B03-A56F-50631E7ED057}">
  <dimension ref="B2:J68"/>
  <sheetViews>
    <sheetView topLeftCell="A22" workbookViewId="0">
      <selection activeCell="G3" sqref="G3"/>
    </sheetView>
  </sheetViews>
  <sheetFormatPr defaultRowHeight="15" x14ac:dyDescent="0.25"/>
  <cols>
    <col min="2" max="2" width="15.85546875" customWidth="1"/>
    <col min="3" max="3" width="21.85546875" customWidth="1"/>
    <col min="4" max="4" width="62.140625" bestFit="1" customWidth="1"/>
    <col min="5" max="5" width="21.85546875" customWidth="1"/>
    <col min="8" max="8" width="12.5703125" customWidth="1"/>
  </cols>
  <sheetData>
    <row r="2" spans="2:10" x14ac:dyDescent="0.25">
      <c r="B2" t="s">
        <v>178</v>
      </c>
      <c r="C2" t="s">
        <v>179</v>
      </c>
      <c r="D2" t="s">
        <v>190</v>
      </c>
      <c r="E2" t="s">
        <v>180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</row>
    <row r="3" spans="2:10" x14ac:dyDescent="0.25">
      <c r="B3" t="s">
        <v>181</v>
      </c>
      <c r="C3" t="s">
        <v>104</v>
      </c>
      <c r="D3" t="s">
        <v>101</v>
      </c>
      <c r="E3" s="12">
        <v>1.7883828086714418E-2</v>
      </c>
      <c r="F3" s="11">
        <f t="shared" ref="F3:F34" si="0">SUMIFS($E$3:$E$68,$C$3:$C$68,C3)</f>
        <v>1.7883828086714418E-2</v>
      </c>
      <c r="G3" s="12">
        <f t="shared" ref="G3:G34" si="1">SUMIFS($E$3:$E$68,$B$3:$B$68,B3)</f>
        <v>6.2824097262696513E-2</v>
      </c>
      <c r="H3" s="7">
        <f>F3/G3</f>
        <v>0.28466510249934651</v>
      </c>
      <c r="I3" t="str">
        <f>_xlfn.TEXTJOIN(" ",TRUE,C3,TEXT(H3,"(0.0%)"))</f>
        <v>Refrigerated (28.5%)</v>
      </c>
      <c r="J3" t="s">
        <v>101</v>
      </c>
    </row>
    <row r="4" spans="2:10" x14ac:dyDescent="0.25">
      <c r="B4" t="s">
        <v>181</v>
      </c>
      <c r="C4" t="s">
        <v>106</v>
      </c>
      <c r="D4" t="s">
        <v>89</v>
      </c>
      <c r="E4" s="12">
        <v>6.6104419878746882E-3</v>
      </c>
      <c r="F4" s="11">
        <f t="shared" si="0"/>
        <v>1.3167009048922323E-2</v>
      </c>
      <c r="G4" s="12">
        <f t="shared" si="1"/>
        <v>6.2824097262696513E-2</v>
      </c>
      <c r="H4" s="7">
        <f t="shared" ref="H4:H67" si="2">F4/G4</f>
        <v>0.2095853282835882</v>
      </c>
      <c r="I4" t="str">
        <f t="shared" ref="I4:I67" si="3">_xlfn.TEXTJOIN(" ",TRUE,C4,TEXT(H4,"(0.0%)"))</f>
        <v>Pack availability (21.0%)</v>
      </c>
      <c r="J4" t="s">
        <v>89</v>
      </c>
    </row>
    <row r="5" spans="2:10" x14ac:dyDescent="0.25">
      <c r="B5" t="s">
        <v>181</v>
      </c>
      <c r="C5" t="s">
        <v>106</v>
      </c>
      <c r="D5" t="s">
        <v>90</v>
      </c>
      <c r="E5" s="12">
        <v>6.556567061047635E-3</v>
      </c>
      <c r="F5" s="11">
        <f t="shared" si="0"/>
        <v>1.3167009048922323E-2</v>
      </c>
      <c r="G5" s="12">
        <f t="shared" si="1"/>
        <v>6.2824097262696513E-2</v>
      </c>
      <c r="H5" s="7">
        <f t="shared" si="2"/>
        <v>0.2095853282835882</v>
      </c>
      <c r="I5" t="str">
        <f t="shared" si="3"/>
        <v>Pack availability (21.0%)</v>
      </c>
      <c r="J5" t="s">
        <v>90</v>
      </c>
    </row>
    <row r="6" spans="2:10" x14ac:dyDescent="0.25">
      <c r="B6" t="s">
        <v>181</v>
      </c>
      <c r="C6" t="s">
        <v>107</v>
      </c>
      <c r="D6" t="s">
        <v>100</v>
      </c>
      <c r="E6" s="12">
        <v>8.8297402056904117E-3</v>
      </c>
      <c r="F6" s="11">
        <f t="shared" si="0"/>
        <v>8.8297402056904117E-3</v>
      </c>
      <c r="G6" s="12">
        <f t="shared" si="1"/>
        <v>6.2824097262696513E-2</v>
      </c>
      <c r="H6" s="7">
        <f t="shared" si="2"/>
        <v>0.14054702877415329</v>
      </c>
      <c r="I6" t="str">
        <f t="shared" si="3"/>
        <v>Price perception (14.1%)</v>
      </c>
      <c r="J6" t="s">
        <v>100</v>
      </c>
    </row>
    <row r="7" spans="2:10" x14ac:dyDescent="0.25">
      <c r="B7" t="s">
        <v>181</v>
      </c>
      <c r="C7" t="s">
        <v>115</v>
      </c>
      <c r="D7" t="s">
        <v>112</v>
      </c>
      <c r="E7" s="12">
        <v>1.3953227146409645E-3</v>
      </c>
      <c r="F7" s="11">
        <f t="shared" si="0"/>
        <v>6.1987002365844123E-3</v>
      </c>
      <c r="G7" s="12">
        <f t="shared" si="1"/>
        <v>6.2824097262696513E-2</v>
      </c>
      <c r="H7" s="7">
        <f t="shared" si="2"/>
        <v>9.8667557619885715E-2</v>
      </c>
      <c r="I7" t="str">
        <f t="shared" si="3"/>
        <v>Special activations (9.9%)</v>
      </c>
      <c r="J7" t="s">
        <v>112</v>
      </c>
    </row>
    <row r="8" spans="2:10" x14ac:dyDescent="0.25">
      <c r="B8" t="s">
        <v>181</v>
      </c>
      <c r="C8" t="s">
        <v>115</v>
      </c>
      <c r="D8" t="s">
        <v>93</v>
      </c>
      <c r="E8" s="12">
        <v>1.2600665311221567E-3</v>
      </c>
      <c r="F8" s="11">
        <f t="shared" si="0"/>
        <v>6.1987002365844123E-3</v>
      </c>
      <c r="G8" s="12">
        <f t="shared" si="1"/>
        <v>6.2824097262696513E-2</v>
      </c>
      <c r="H8" s="7">
        <f t="shared" si="2"/>
        <v>9.8667557619885715E-2</v>
      </c>
      <c r="I8" t="str">
        <f t="shared" si="3"/>
        <v>Special activations (9.9%)</v>
      </c>
      <c r="J8" t="s">
        <v>93</v>
      </c>
    </row>
    <row r="9" spans="2:10" x14ac:dyDescent="0.25">
      <c r="B9" t="s">
        <v>181</v>
      </c>
      <c r="C9" t="s">
        <v>115</v>
      </c>
      <c r="D9" t="s">
        <v>92</v>
      </c>
      <c r="E9" s="12">
        <v>1.1999522244937361E-3</v>
      </c>
      <c r="F9" s="11">
        <f t="shared" si="0"/>
        <v>6.1987002365844123E-3</v>
      </c>
      <c r="G9" s="12">
        <f t="shared" si="1"/>
        <v>6.2824097262696513E-2</v>
      </c>
      <c r="H9" s="7">
        <f t="shared" si="2"/>
        <v>9.8667557619885715E-2</v>
      </c>
      <c r="I9" t="str">
        <f t="shared" si="3"/>
        <v>Special activations (9.9%)</v>
      </c>
      <c r="J9" t="s">
        <v>92</v>
      </c>
    </row>
    <row r="10" spans="2:10" x14ac:dyDescent="0.25">
      <c r="B10" t="s">
        <v>181</v>
      </c>
      <c r="C10" t="s">
        <v>115</v>
      </c>
      <c r="D10" t="s">
        <v>91</v>
      </c>
      <c r="E10" s="12">
        <v>1.1914448065358948E-3</v>
      </c>
      <c r="F10" s="11">
        <f t="shared" si="0"/>
        <v>6.1987002365844123E-3</v>
      </c>
      <c r="G10" s="12">
        <f t="shared" si="1"/>
        <v>6.2824097262696513E-2</v>
      </c>
      <c r="H10" s="7">
        <f t="shared" si="2"/>
        <v>9.8667557619885715E-2</v>
      </c>
      <c r="I10" t="str">
        <f t="shared" si="3"/>
        <v>Special activations (9.9%)</v>
      </c>
      <c r="J10" t="s">
        <v>91</v>
      </c>
    </row>
    <row r="11" spans="2:10" x14ac:dyDescent="0.25">
      <c r="B11" t="s">
        <v>181</v>
      </c>
      <c r="C11" t="s">
        <v>115</v>
      </c>
      <c r="D11" t="s">
        <v>94</v>
      </c>
      <c r="E11" s="12">
        <v>1.1519139597916609E-3</v>
      </c>
      <c r="F11" s="11">
        <f t="shared" si="0"/>
        <v>6.1987002365844123E-3</v>
      </c>
      <c r="G11" s="12">
        <f t="shared" si="1"/>
        <v>6.2824097262696513E-2</v>
      </c>
      <c r="H11" s="7">
        <f t="shared" si="2"/>
        <v>9.8667557619885715E-2</v>
      </c>
      <c r="I11" t="str">
        <f t="shared" si="3"/>
        <v>Special activations (9.9%)</v>
      </c>
      <c r="J11" t="s">
        <v>94</v>
      </c>
    </row>
    <row r="12" spans="2:10" x14ac:dyDescent="0.25">
      <c r="B12" t="s">
        <v>181</v>
      </c>
      <c r="C12" t="s">
        <v>103</v>
      </c>
      <c r="D12" t="s">
        <v>98</v>
      </c>
      <c r="E12" s="12">
        <v>5.4631705747560247E-3</v>
      </c>
      <c r="F12" s="11">
        <f t="shared" si="0"/>
        <v>5.4631705747560247E-3</v>
      </c>
      <c r="G12" s="12">
        <f t="shared" si="1"/>
        <v>6.2824097262696513E-2</v>
      </c>
      <c r="H12" s="7">
        <f t="shared" si="2"/>
        <v>8.6959794295363921E-2</v>
      </c>
      <c r="I12" t="str">
        <f t="shared" si="3"/>
        <v>Recommended (8.7%)</v>
      </c>
      <c r="J12" t="s">
        <v>98</v>
      </c>
    </row>
    <row r="13" spans="2:10" x14ac:dyDescent="0.25">
      <c r="B13" t="s">
        <v>181</v>
      </c>
      <c r="C13" t="s">
        <v>114</v>
      </c>
      <c r="D13" t="s">
        <v>96</v>
      </c>
      <c r="E13" s="12">
        <v>1.6676746070405967E-3</v>
      </c>
      <c r="F13" s="11">
        <f t="shared" si="0"/>
        <v>4.7815711373309956E-3</v>
      </c>
      <c r="G13" s="12">
        <f t="shared" si="1"/>
        <v>6.2824097262696513E-2</v>
      </c>
      <c r="H13" s="7">
        <f t="shared" si="2"/>
        <v>7.6110463113175222E-2</v>
      </c>
      <c r="I13" t="str">
        <f t="shared" si="3"/>
        <v>POS Awareness (7.6%)</v>
      </c>
      <c r="J13" t="s">
        <v>96</v>
      </c>
    </row>
    <row r="14" spans="2:10" x14ac:dyDescent="0.25">
      <c r="B14" t="s">
        <v>181</v>
      </c>
      <c r="C14" t="s">
        <v>114</v>
      </c>
      <c r="D14" t="s">
        <v>97</v>
      </c>
      <c r="E14" s="12">
        <v>1.6576186717425388E-3</v>
      </c>
      <c r="F14" s="11">
        <f t="shared" si="0"/>
        <v>4.7815711373309956E-3</v>
      </c>
      <c r="G14" s="12">
        <f t="shared" si="1"/>
        <v>6.2824097262696513E-2</v>
      </c>
      <c r="H14" s="7">
        <f t="shared" si="2"/>
        <v>7.6110463113175222E-2</v>
      </c>
      <c r="I14" t="str">
        <f t="shared" si="3"/>
        <v>POS Awareness (7.6%)</v>
      </c>
      <c r="J14" t="s">
        <v>97</v>
      </c>
    </row>
    <row r="15" spans="2:10" x14ac:dyDescent="0.25">
      <c r="B15" t="s">
        <v>181</v>
      </c>
      <c r="C15" t="s">
        <v>114</v>
      </c>
      <c r="D15" t="s">
        <v>95</v>
      </c>
      <c r="E15" s="12">
        <v>1.4562778585478606E-3</v>
      </c>
      <c r="F15" s="11">
        <f t="shared" si="0"/>
        <v>4.7815711373309956E-3</v>
      </c>
      <c r="G15" s="12">
        <f t="shared" si="1"/>
        <v>6.2824097262696513E-2</v>
      </c>
      <c r="H15" s="7">
        <f t="shared" si="2"/>
        <v>7.6110463113175222E-2</v>
      </c>
      <c r="I15" t="str">
        <f t="shared" si="3"/>
        <v>POS Awareness (7.6%)</v>
      </c>
      <c r="J15" t="s">
        <v>95</v>
      </c>
    </row>
    <row r="16" spans="2:10" x14ac:dyDescent="0.25">
      <c r="B16" t="s">
        <v>181</v>
      </c>
      <c r="C16" t="s">
        <v>157</v>
      </c>
      <c r="D16" t="s">
        <v>99</v>
      </c>
      <c r="E16" s="12">
        <v>3.7699929798563772E-3</v>
      </c>
      <c r="F16" s="11">
        <f t="shared" si="0"/>
        <v>3.7699929798563772E-3</v>
      </c>
      <c r="G16" s="12">
        <f t="shared" si="1"/>
        <v>6.2824097262696513E-2</v>
      </c>
      <c r="H16" s="7">
        <f t="shared" si="2"/>
        <v>6.0008709143758943E-2</v>
      </c>
      <c r="I16" t="str">
        <f t="shared" si="3"/>
        <v>Where I go (6.0%)</v>
      </c>
      <c r="J16" t="s">
        <v>99</v>
      </c>
    </row>
    <row r="17" spans="2:10" x14ac:dyDescent="0.25">
      <c r="B17" t="s">
        <v>181</v>
      </c>
      <c r="C17" t="s">
        <v>105</v>
      </c>
      <c r="D17" t="s">
        <v>102</v>
      </c>
      <c r="E17" s="12">
        <v>2.7300849928415579E-3</v>
      </c>
      <c r="F17" s="11">
        <f t="shared" si="0"/>
        <v>2.7300849928415579E-3</v>
      </c>
      <c r="G17" s="12">
        <f t="shared" si="1"/>
        <v>6.2824097262696513E-2</v>
      </c>
      <c r="H17" s="7">
        <f t="shared" si="2"/>
        <v>4.3456016270728315E-2</v>
      </c>
      <c r="I17" t="str">
        <f t="shared" si="3"/>
        <v>Easy to find (4.3%)</v>
      </c>
      <c r="J17" t="s">
        <v>102</v>
      </c>
    </row>
    <row r="18" spans="2:10" x14ac:dyDescent="0.25">
      <c r="B18" t="s">
        <v>182</v>
      </c>
      <c r="C18" t="s">
        <v>111</v>
      </c>
      <c r="D18" t="s">
        <v>191</v>
      </c>
      <c r="E18" s="12">
        <v>1.8163259139998472E-2</v>
      </c>
      <c r="F18" s="11">
        <f t="shared" si="0"/>
        <v>5.3819346847449559E-2</v>
      </c>
      <c r="G18" s="12">
        <f t="shared" si="1"/>
        <v>0.23130622684197466</v>
      </c>
      <c r="H18" s="7">
        <f t="shared" si="2"/>
        <v>0.23267573719153795</v>
      </c>
      <c r="I18" t="str">
        <f t="shared" si="3"/>
        <v>Indulgent scape with friends (23.3%)</v>
      </c>
      <c r="J18" t="s">
        <v>191</v>
      </c>
    </row>
    <row r="19" spans="2:10" x14ac:dyDescent="0.25">
      <c r="B19" t="s">
        <v>182</v>
      </c>
      <c r="C19" t="s">
        <v>111</v>
      </c>
      <c r="D19" t="s">
        <v>65</v>
      </c>
      <c r="E19" s="12">
        <v>1.8078103259098512E-2</v>
      </c>
      <c r="F19" s="11">
        <f t="shared" si="0"/>
        <v>5.3819346847449559E-2</v>
      </c>
      <c r="G19" s="12">
        <f t="shared" si="1"/>
        <v>0.23130622684197466</v>
      </c>
      <c r="H19" s="7">
        <f t="shared" si="2"/>
        <v>0.23267573719153795</v>
      </c>
      <c r="I19" t="str">
        <f t="shared" si="3"/>
        <v>Indulgent scape with friends (23.3%)</v>
      </c>
      <c r="J19" t="s">
        <v>65</v>
      </c>
    </row>
    <row r="20" spans="2:10" x14ac:dyDescent="0.25">
      <c r="B20" t="s">
        <v>182</v>
      </c>
      <c r="C20" t="s">
        <v>111</v>
      </c>
      <c r="D20" t="s">
        <v>66</v>
      </c>
      <c r="E20" s="12">
        <v>1.7577984448352575E-2</v>
      </c>
      <c r="F20" s="11">
        <f t="shared" si="0"/>
        <v>5.3819346847449559E-2</v>
      </c>
      <c r="G20" s="12">
        <f t="shared" si="1"/>
        <v>0.23130622684197466</v>
      </c>
      <c r="H20" s="7">
        <f t="shared" si="2"/>
        <v>0.23267573719153795</v>
      </c>
      <c r="I20" t="str">
        <f t="shared" si="3"/>
        <v>Indulgent scape with friends (23.3%)</v>
      </c>
      <c r="J20" t="s">
        <v>66</v>
      </c>
    </row>
    <row r="21" spans="2:10" x14ac:dyDescent="0.25">
      <c r="B21" t="s">
        <v>182</v>
      </c>
      <c r="C21" t="s">
        <v>158</v>
      </c>
      <c r="D21" t="s">
        <v>57</v>
      </c>
      <c r="E21" s="12">
        <v>1.2688563526484103E-2</v>
      </c>
      <c r="F21" s="11">
        <f t="shared" si="0"/>
        <v>4.989701084358044E-2</v>
      </c>
      <c r="G21" s="12">
        <f t="shared" si="1"/>
        <v>0.23130622684197466</v>
      </c>
      <c r="H21" s="7">
        <f t="shared" si="2"/>
        <v>0.21571840725960834</v>
      </c>
      <c r="I21" t="str">
        <f t="shared" si="3"/>
        <v>Equilibrium for social moments (21.6%)</v>
      </c>
      <c r="J21" t="s">
        <v>57</v>
      </c>
    </row>
    <row r="22" spans="2:10" x14ac:dyDescent="0.25">
      <c r="B22" t="s">
        <v>182</v>
      </c>
      <c r="C22" t="s">
        <v>158</v>
      </c>
      <c r="D22" t="s">
        <v>55</v>
      </c>
      <c r="E22" s="12">
        <v>1.2620700969083676E-2</v>
      </c>
      <c r="F22" s="11">
        <f t="shared" si="0"/>
        <v>4.989701084358044E-2</v>
      </c>
      <c r="G22" s="12">
        <f t="shared" si="1"/>
        <v>0.23130622684197466</v>
      </c>
      <c r="H22" s="7">
        <f t="shared" si="2"/>
        <v>0.21571840725960834</v>
      </c>
      <c r="I22" t="str">
        <f t="shared" si="3"/>
        <v>Equilibrium for social moments (21.6%)</v>
      </c>
      <c r="J22" t="s">
        <v>55</v>
      </c>
    </row>
    <row r="23" spans="2:10" x14ac:dyDescent="0.25">
      <c r="B23" t="s">
        <v>182</v>
      </c>
      <c r="C23" t="s">
        <v>158</v>
      </c>
      <c r="D23" t="s">
        <v>56</v>
      </c>
      <c r="E23" s="12">
        <v>1.2351925974884803E-2</v>
      </c>
      <c r="F23" s="11">
        <f t="shared" si="0"/>
        <v>4.989701084358044E-2</v>
      </c>
      <c r="G23" s="12">
        <f t="shared" si="1"/>
        <v>0.23130622684197466</v>
      </c>
      <c r="H23" s="7">
        <f t="shared" si="2"/>
        <v>0.21571840725960834</v>
      </c>
      <c r="I23" t="str">
        <f t="shared" si="3"/>
        <v>Equilibrium for social moments (21.6%)</v>
      </c>
      <c r="J23" t="s">
        <v>56</v>
      </c>
    </row>
    <row r="24" spans="2:10" x14ac:dyDescent="0.25">
      <c r="B24" t="s">
        <v>182</v>
      </c>
      <c r="C24" t="s">
        <v>158</v>
      </c>
      <c r="D24" t="s">
        <v>58</v>
      </c>
      <c r="E24" s="12">
        <v>1.2235820373127858E-2</v>
      </c>
      <c r="F24" s="11">
        <f t="shared" si="0"/>
        <v>4.989701084358044E-2</v>
      </c>
      <c r="G24" s="12">
        <f t="shared" si="1"/>
        <v>0.23130622684197466</v>
      </c>
      <c r="H24" s="7">
        <f t="shared" si="2"/>
        <v>0.21571840725960834</v>
      </c>
      <c r="I24" t="str">
        <f t="shared" si="3"/>
        <v>Equilibrium for social moments (21.6%)</v>
      </c>
      <c r="J24" t="s">
        <v>58</v>
      </c>
    </row>
    <row r="25" spans="2:10" x14ac:dyDescent="0.25">
      <c r="B25" t="s">
        <v>182</v>
      </c>
      <c r="C25" t="s">
        <v>113</v>
      </c>
      <c r="D25" t="s">
        <v>70</v>
      </c>
      <c r="E25" s="12">
        <v>1.1770852134649266E-2</v>
      </c>
      <c r="F25" s="11">
        <f t="shared" si="0"/>
        <v>3.5115318085051195E-2</v>
      </c>
      <c r="G25" s="12">
        <f t="shared" si="1"/>
        <v>0.23130622684197466</v>
      </c>
      <c r="H25" s="7">
        <f t="shared" si="2"/>
        <v>0.15181311184087368</v>
      </c>
      <c r="I25" t="str">
        <f t="shared" si="3"/>
        <v>Refreshing and relaxing meals (15.2%)</v>
      </c>
      <c r="J25" t="s">
        <v>70</v>
      </c>
    </row>
    <row r="26" spans="2:10" x14ac:dyDescent="0.25">
      <c r="B26" t="s">
        <v>182</v>
      </c>
      <c r="C26" t="s">
        <v>113</v>
      </c>
      <c r="D26" t="s">
        <v>68</v>
      </c>
      <c r="E26" s="12">
        <v>1.1719899707574583E-2</v>
      </c>
      <c r="F26" s="11">
        <f t="shared" si="0"/>
        <v>3.5115318085051195E-2</v>
      </c>
      <c r="G26" s="12">
        <f t="shared" si="1"/>
        <v>0.23130622684197466</v>
      </c>
      <c r="H26" s="7">
        <f t="shared" si="2"/>
        <v>0.15181311184087368</v>
      </c>
      <c r="I26" t="str">
        <f t="shared" si="3"/>
        <v>Refreshing and relaxing meals (15.2%)</v>
      </c>
      <c r="J26" t="s">
        <v>68</v>
      </c>
    </row>
    <row r="27" spans="2:10" x14ac:dyDescent="0.25">
      <c r="B27" t="s">
        <v>182</v>
      </c>
      <c r="C27" t="s">
        <v>113</v>
      </c>
      <c r="D27" t="s">
        <v>69</v>
      </c>
      <c r="E27" s="12">
        <v>1.1624566242827346E-2</v>
      </c>
      <c r="F27" s="11">
        <f t="shared" si="0"/>
        <v>3.5115318085051195E-2</v>
      </c>
      <c r="G27" s="12">
        <f t="shared" si="1"/>
        <v>0.23130622684197466</v>
      </c>
      <c r="H27" s="7">
        <f t="shared" si="2"/>
        <v>0.15181311184087368</v>
      </c>
      <c r="I27" t="str">
        <f t="shared" si="3"/>
        <v>Refreshing and relaxing meals (15.2%)</v>
      </c>
      <c r="J27" t="s">
        <v>69</v>
      </c>
    </row>
    <row r="28" spans="2:10" x14ac:dyDescent="0.25">
      <c r="B28" t="s">
        <v>182</v>
      </c>
      <c r="C28" t="s">
        <v>76</v>
      </c>
      <c r="D28" t="s">
        <v>62</v>
      </c>
      <c r="E28" s="12">
        <v>1.1721080276627717E-2</v>
      </c>
      <c r="F28" s="11">
        <f t="shared" si="0"/>
        <v>3.4964920106304267E-2</v>
      </c>
      <c r="G28" s="12">
        <f t="shared" si="1"/>
        <v>0.23130622684197466</v>
      </c>
      <c r="H28" s="7">
        <f t="shared" si="2"/>
        <v>0.15116290029749971</v>
      </c>
      <c r="I28" t="str">
        <f t="shared" si="3"/>
        <v>Traditions and national pride (15.1%)</v>
      </c>
      <c r="J28" t="s">
        <v>62</v>
      </c>
    </row>
    <row r="29" spans="2:10" x14ac:dyDescent="0.25">
      <c r="B29" t="s">
        <v>182</v>
      </c>
      <c r="C29" t="s">
        <v>76</v>
      </c>
      <c r="D29" t="s">
        <v>63</v>
      </c>
      <c r="E29" s="12">
        <v>1.1622427845493369E-2</v>
      </c>
      <c r="F29" s="11">
        <f t="shared" si="0"/>
        <v>3.4964920106304267E-2</v>
      </c>
      <c r="G29" s="12">
        <f t="shared" si="1"/>
        <v>0.23130622684197466</v>
      </c>
      <c r="H29" s="7">
        <f t="shared" si="2"/>
        <v>0.15116290029749971</v>
      </c>
      <c r="I29" t="str">
        <f t="shared" si="3"/>
        <v>Traditions and national pride (15.1%)</v>
      </c>
      <c r="J29" t="s">
        <v>63</v>
      </c>
    </row>
    <row r="30" spans="2:10" x14ac:dyDescent="0.25">
      <c r="B30" t="s">
        <v>182</v>
      </c>
      <c r="C30" t="s">
        <v>76</v>
      </c>
      <c r="D30" t="s">
        <v>192</v>
      </c>
      <c r="E30" s="12">
        <v>1.1621411984183183E-2</v>
      </c>
      <c r="F30" s="11">
        <f t="shared" si="0"/>
        <v>3.4964920106304267E-2</v>
      </c>
      <c r="G30" s="12">
        <f t="shared" si="1"/>
        <v>0.23130622684197466</v>
      </c>
      <c r="H30" s="7">
        <f t="shared" si="2"/>
        <v>0.15116290029749971</v>
      </c>
      <c r="I30" t="str">
        <f t="shared" si="3"/>
        <v>Traditions and national pride (15.1%)</v>
      </c>
      <c r="J30" t="s">
        <v>192</v>
      </c>
    </row>
    <row r="31" spans="2:10" x14ac:dyDescent="0.25">
      <c r="B31" t="s">
        <v>182</v>
      </c>
      <c r="C31" t="s">
        <v>79</v>
      </c>
      <c r="D31" t="s">
        <v>73</v>
      </c>
      <c r="E31" s="12">
        <v>2.5861068570710067E-2</v>
      </c>
      <c r="F31" s="11">
        <f t="shared" si="0"/>
        <v>2.5861068570710067E-2</v>
      </c>
      <c r="G31" s="12">
        <f t="shared" si="1"/>
        <v>0.23130622684197466</v>
      </c>
      <c r="H31" s="7">
        <f t="shared" si="2"/>
        <v>0.1118044633894703</v>
      </c>
      <c r="I31" t="str">
        <f t="shared" si="3"/>
        <v>Brewed with care (11.2%)</v>
      </c>
      <c r="J31" t="s">
        <v>73</v>
      </c>
    </row>
    <row r="32" spans="2:10" x14ac:dyDescent="0.25">
      <c r="B32" t="s">
        <v>182</v>
      </c>
      <c r="C32" t="s">
        <v>75</v>
      </c>
      <c r="D32" t="s">
        <v>60</v>
      </c>
      <c r="E32" s="12">
        <v>7.0346768172846732E-3</v>
      </c>
      <c r="F32" s="11">
        <f t="shared" si="0"/>
        <v>2.0908459096116296E-2</v>
      </c>
      <c r="G32" s="12">
        <f t="shared" si="1"/>
        <v>0.23130622684197466</v>
      </c>
      <c r="H32" s="7">
        <f t="shared" si="2"/>
        <v>9.0392979824104255E-2</v>
      </c>
      <c r="I32" t="str">
        <f t="shared" si="3"/>
        <v>Social commitment (9.0%)</v>
      </c>
      <c r="J32" t="s">
        <v>60</v>
      </c>
    </row>
    <row r="33" spans="2:10" x14ac:dyDescent="0.25">
      <c r="B33" t="s">
        <v>182</v>
      </c>
      <c r="C33" t="s">
        <v>75</v>
      </c>
      <c r="D33" t="s">
        <v>59</v>
      </c>
      <c r="E33" s="12">
        <v>6.9656352731000022E-3</v>
      </c>
      <c r="F33" s="11">
        <f t="shared" si="0"/>
        <v>2.0908459096116296E-2</v>
      </c>
      <c r="G33" s="12">
        <f t="shared" si="1"/>
        <v>0.23130622684197466</v>
      </c>
      <c r="H33" s="7">
        <f t="shared" si="2"/>
        <v>9.0392979824104255E-2</v>
      </c>
      <c r="I33" t="str">
        <f t="shared" si="3"/>
        <v>Social commitment (9.0%)</v>
      </c>
      <c r="J33" t="s">
        <v>59</v>
      </c>
    </row>
    <row r="34" spans="2:10" x14ac:dyDescent="0.25">
      <c r="B34" t="s">
        <v>182</v>
      </c>
      <c r="C34" t="s">
        <v>75</v>
      </c>
      <c r="D34" t="s">
        <v>61</v>
      </c>
      <c r="E34" s="12">
        <v>6.9081470057316208E-3</v>
      </c>
      <c r="F34" s="11">
        <f t="shared" si="0"/>
        <v>2.0908459096116296E-2</v>
      </c>
      <c r="G34" s="12">
        <f t="shared" si="1"/>
        <v>0.23130622684197466</v>
      </c>
      <c r="H34" s="7">
        <f t="shared" si="2"/>
        <v>9.0392979824104255E-2</v>
      </c>
      <c r="I34" t="str">
        <f t="shared" si="3"/>
        <v>Social commitment (9.0%)</v>
      </c>
      <c r="J34" t="s">
        <v>61</v>
      </c>
    </row>
    <row r="35" spans="2:10" x14ac:dyDescent="0.25">
      <c r="B35" t="s">
        <v>182</v>
      </c>
      <c r="C35" t="s">
        <v>77</v>
      </c>
      <c r="D35" t="s">
        <v>71</v>
      </c>
      <c r="E35" s="12">
        <v>1.0702488233358513E-2</v>
      </c>
      <c r="F35" s="11">
        <f t="shared" ref="F35:F68" si="4">SUMIFS($E$3:$E$68,$C$3:$C$68,C35)</f>
        <v>1.0702488233358513E-2</v>
      </c>
      <c r="G35" s="12">
        <f t="shared" ref="G35:G68" si="5">SUMIFS($E$3:$E$68,$B$3:$B$68,B35)</f>
        <v>0.23130622684197466</v>
      </c>
      <c r="H35" s="7">
        <f t="shared" si="2"/>
        <v>4.6269780020536631E-2</v>
      </c>
      <c r="I35" t="str">
        <f t="shared" si="3"/>
        <v>Smooth taste (4.6%)</v>
      </c>
      <c r="J35" t="s">
        <v>71</v>
      </c>
    </row>
    <row r="36" spans="2:10" x14ac:dyDescent="0.25">
      <c r="B36" t="s">
        <v>182</v>
      </c>
      <c r="C36" t="s">
        <v>80</v>
      </c>
      <c r="D36" t="s">
        <v>74</v>
      </c>
      <c r="E36" s="12">
        <v>3.4544146633167956E-5</v>
      </c>
      <c r="F36" s="11">
        <f t="shared" si="4"/>
        <v>3.4544146633167956E-5</v>
      </c>
      <c r="G36" s="12">
        <f t="shared" si="5"/>
        <v>0.23130622684197466</v>
      </c>
      <c r="H36" s="7">
        <f t="shared" si="2"/>
        <v>1.4934378163873667E-4</v>
      </c>
      <c r="I36" t="str">
        <f t="shared" si="3"/>
        <v>High quality brand (0.0%)</v>
      </c>
      <c r="J36" t="s">
        <v>74</v>
      </c>
    </row>
    <row r="37" spans="2:10" x14ac:dyDescent="0.25">
      <c r="B37" t="s">
        <v>182</v>
      </c>
      <c r="C37" t="s">
        <v>78</v>
      </c>
      <c r="D37" t="s">
        <v>72</v>
      </c>
      <c r="E37" s="12">
        <v>3.0709127711478809E-6</v>
      </c>
      <c r="F37" s="11">
        <f t="shared" si="4"/>
        <v>3.0709127711478809E-6</v>
      </c>
      <c r="G37" s="12">
        <f t="shared" si="5"/>
        <v>0.23130622684197466</v>
      </c>
      <c r="H37" s="7">
        <f t="shared" si="2"/>
        <v>1.327639473037571E-5</v>
      </c>
      <c r="I37" t="str">
        <f t="shared" si="3"/>
        <v>Successful international brand (0.0%)</v>
      </c>
      <c r="J37" t="s">
        <v>72</v>
      </c>
    </row>
    <row r="38" spans="2:10" x14ac:dyDescent="0.25">
      <c r="B38" t="s">
        <v>183</v>
      </c>
      <c r="C38" t="s">
        <v>147</v>
      </c>
      <c r="D38" t="s">
        <v>130</v>
      </c>
      <c r="E38" s="12">
        <v>1.3220278957771132E-2</v>
      </c>
      <c r="F38" s="11">
        <f t="shared" si="4"/>
        <v>2.3719423407166096E-2</v>
      </c>
      <c r="G38" s="12">
        <f t="shared" si="5"/>
        <v>8.8998361672071216E-2</v>
      </c>
      <c r="H38" s="7">
        <f t="shared" si="2"/>
        <v>0.26651528142241682</v>
      </c>
      <c r="I38" t="str">
        <f t="shared" si="3"/>
        <v>Relaxing / Unwind  (26.7%)</v>
      </c>
      <c r="J38" t="s">
        <v>130</v>
      </c>
    </row>
    <row r="39" spans="2:10" x14ac:dyDescent="0.25">
      <c r="B39" t="s">
        <v>183</v>
      </c>
      <c r="C39" t="s">
        <v>147</v>
      </c>
      <c r="D39" t="s">
        <v>131</v>
      </c>
      <c r="E39" s="12">
        <v>1.0499144449394966E-2</v>
      </c>
      <c r="F39" s="11">
        <f t="shared" si="4"/>
        <v>2.3719423407166096E-2</v>
      </c>
      <c r="G39" s="12">
        <f t="shared" si="5"/>
        <v>8.8998361672071216E-2</v>
      </c>
      <c r="H39" s="7">
        <f t="shared" si="2"/>
        <v>0.26651528142241682</v>
      </c>
      <c r="I39" t="str">
        <f t="shared" si="3"/>
        <v>Relaxing / Unwind  (26.7%)</v>
      </c>
      <c r="J39" t="s">
        <v>131</v>
      </c>
    </row>
    <row r="40" spans="2:10" x14ac:dyDescent="0.25">
      <c r="B40" t="s">
        <v>183</v>
      </c>
      <c r="C40" t="s">
        <v>136</v>
      </c>
      <c r="D40" t="s">
        <v>153</v>
      </c>
      <c r="E40" s="12">
        <v>8.1513641848785599E-3</v>
      </c>
      <c r="F40" s="11">
        <f t="shared" si="4"/>
        <v>2.1430940466488378E-2</v>
      </c>
      <c r="G40" s="12">
        <f t="shared" si="5"/>
        <v>8.8998361672071216E-2</v>
      </c>
      <c r="H40" s="7">
        <f t="shared" si="2"/>
        <v>0.24080151661054308</v>
      </c>
      <c r="I40" t="str">
        <f t="shared" si="3"/>
        <v>Socializing at home (24.1%)</v>
      </c>
      <c r="J40" t="s">
        <v>153</v>
      </c>
    </row>
    <row r="41" spans="2:10" x14ac:dyDescent="0.25">
      <c r="B41" t="s">
        <v>183</v>
      </c>
      <c r="C41" t="s">
        <v>136</v>
      </c>
      <c r="D41" t="s">
        <v>154</v>
      </c>
      <c r="E41" s="12">
        <v>6.792990404865527E-3</v>
      </c>
      <c r="F41" s="11">
        <f t="shared" si="4"/>
        <v>2.1430940466488378E-2</v>
      </c>
      <c r="G41" s="12">
        <f t="shared" si="5"/>
        <v>8.8998361672071216E-2</v>
      </c>
      <c r="H41" s="7">
        <f t="shared" si="2"/>
        <v>0.24080151661054308</v>
      </c>
      <c r="I41" t="str">
        <f t="shared" si="3"/>
        <v>Socializing at home (24.1%)</v>
      </c>
      <c r="J41" t="s">
        <v>154</v>
      </c>
    </row>
    <row r="42" spans="2:10" x14ac:dyDescent="0.25">
      <c r="B42" t="s">
        <v>183</v>
      </c>
      <c r="C42" t="s">
        <v>136</v>
      </c>
      <c r="D42" t="s">
        <v>196</v>
      </c>
      <c r="E42" s="12">
        <v>6.4865858767442931E-3</v>
      </c>
      <c r="F42" s="11">
        <f t="shared" si="4"/>
        <v>2.1430940466488378E-2</v>
      </c>
      <c r="G42" s="12">
        <f t="shared" si="5"/>
        <v>8.8998361672071216E-2</v>
      </c>
      <c r="H42" s="7">
        <f t="shared" si="2"/>
        <v>0.24080151661054308</v>
      </c>
      <c r="I42" t="str">
        <f t="shared" si="3"/>
        <v>Socializing at home (24.1%)</v>
      </c>
      <c r="J42" t="s">
        <v>196</v>
      </c>
    </row>
    <row r="43" spans="2:10" x14ac:dyDescent="0.25">
      <c r="B43" t="s">
        <v>183</v>
      </c>
      <c r="C43" t="s">
        <v>138</v>
      </c>
      <c r="D43" t="s">
        <v>134</v>
      </c>
      <c r="E43" s="12">
        <v>1.9722224423305436E-2</v>
      </c>
      <c r="F43" s="11">
        <f t="shared" si="4"/>
        <v>1.9722224423305436E-2</v>
      </c>
      <c r="G43" s="12">
        <f t="shared" si="5"/>
        <v>8.8998361672071216E-2</v>
      </c>
      <c r="H43" s="7">
        <f t="shared" si="2"/>
        <v>0.22160210651938902</v>
      </c>
      <c r="I43" t="str">
        <f t="shared" si="3"/>
        <v>Everyday activities (22.2%)</v>
      </c>
      <c r="J43" t="s">
        <v>134</v>
      </c>
    </row>
    <row r="44" spans="2:10" x14ac:dyDescent="0.25">
      <c r="B44" t="s">
        <v>183</v>
      </c>
      <c r="C44" t="s">
        <v>149</v>
      </c>
      <c r="D44" t="s">
        <v>151</v>
      </c>
      <c r="E44" s="12">
        <v>5.6550748892816947E-3</v>
      </c>
      <c r="F44" s="11">
        <f t="shared" si="4"/>
        <v>9.0339104541747369E-3</v>
      </c>
      <c r="G44" s="12">
        <f t="shared" si="5"/>
        <v>8.8998361672071216E-2</v>
      </c>
      <c r="H44" s="7">
        <f t="shared" si="2"/>
        <v>0.10150648039411819</v>
      </c>
      <c r="I44" t="str">
        <f t="shared" si="3"/>
        <v>Food at home (10.2%)</v>
      </c>
      <c r="J44" t="s">
        <v>151</v>
      </c>
    </row>
    <row r="45" spans="2:10" x14ac:dyDescent="0.25">
      <c r="B45" t="s">
        <v>183</v>
      </c>
      <c r="C45" t="s">
        <v>149</v>
      </c>
      <c r="D45" t="s">
        <v>152</v>
      </c>
      <c r="E45" s="12">
        <v>3.3788355648930422E-3</v>
      </c>
      <c r="F45" s="11">
        <f t="shared" si="4"/>
        <v>9.0339104541747369E-3</v>
      </c>
      <c r="G45" s="12">
        <f t="shared" si="5"/>
        <v>8.8998361672071216E-2</v>
      </c>
      <c r="H45" s="7">
        <f t="shared" si="2"/>
        <v>0.10150648039411819</v>
      </c>
      <c r="I45" t="str">
        <f t="shared" si="3"/>
        <v>Food at home (10.2%)</v>
      </c>
      <c r="J45" t="s">
        <v>152</v>
      </c>
    </row>
    <row r="46" spans="2:10" x14ac:dyDescent="0.25">
      <c r="B46" t="s">
        <v>183</v>
      </c>
      <c r="C46" t="s">
        <v>137</v>
      </c>
      <c r="D46" t="s">
        <v>195</v>
      </c>
      <c r="E46" s="12">
        <v>4.3087703518766667E-3</v>
      </c>
      <c r="F46" s="11">
        <f t="shared" si="4"/>
        <v>7.6209028321424016E-3</v>
      </c>
      <c r="G46" s="12">
        <f t="shared" si="5"/>
        <v>8.8998361672071216E-2</v>
      </c>
      <c r="H46" s="7">
        <f t="shared" si="2"/>
        <v>8.5629697996271487E-2</v>
      </c>
      <c r="I46" t="str">
        <f t="shared" si="3"/>
        <v>Eating out with friends (8.6%)</v>
      </c>
      <c r="J46" t="s">
        <v>195</v>
      </c>
    </row>
    <row r="47" spans="2:10" x14ac:dyDescent="0.25">
      <c r="B47" t="s">
        <v>183</v>
      </c>
      <c r="C47" t="s">
        <v>137</v>
      </c>
      <c r="D47" t="s">
        <v>194</v>
      </c>
      <c r="E47" s="12">
        <v>3.3121324802657349E-3</v>
      </c>
      <c r="F47" s="11">
        <f t="shared" si="4"/>
        <v>7.6209028321424016E-3</v>
      </c>
      <c r="G47" s="12">
        <f t="shared" si="5"/>
        <v>8.8998361672071216E-2</v>
      </c>
      <c r="H47" s="7">
        <f t="shared" si="2"/>
        <v>8.5629697996271487E-2</v>
      </c>
      <c r="I47" t="str">
        <f t="shared" si="3"/>
        <v>Eating out with friends (8.6%)</v>
      </c>
      <c r="J47" t="s">
        <v>194</v>
      </c>
    </row>
    <row r="48" spans="2:10" x14ac:dyDescent="0.25">
      <c r="B48" t="s">
        <v>183</v>
      </c>
      <c r="C48" t="s">
        <v>135</v>
      </c>
      <c r="D48" t="s">
        <v>150</v>
      </c>
      <c r="E48" s="12">
        <v>4.8232708430446325E-3</v>
      </c>
      <c r="F48" s="11">
        <f t="shared" si="4"/>
        <v>4.8232708430446325E-3</v>
      </c>
      <c r="G48" s="12">
        <f t="shared" si="5"/>
        <v>8.8998361672071216E-2</v>
      </c>
      <c r="H48" s="7">
        <f t="shared" si="2"/>
        <v>5.4195052048449502E-2</v>
      </c>
      <c r="I48" t="str">
        <f t="shared" si="3"/>
        <v>Men's socialization OOH (5.4%)</v>
      </c>
      <c r="J48" t="s">
        <v>150</v>
      </c>
    </row>
    <row r="49" spans="2:10" x14ac:dyDescent="0.25">
      <c r="B49" t="s">
        <v>183</v>
      </c>
      <c r="C49" t="s">
        <v>148</v>
      </c>
      <c r="D49" t="s">
        <v>193</v>
      </c>
      <c r="E49" s="12">
        <v>2.6476892457495136E-3</v>
      </c>
      <c r="F49" s="11">
        <f t="shared" si="4"/>
        <v>2.6476892457495136E-3</v>
      </c>
      <c r="G49" s="12">
        <f t="shared" si="5"/>
        <v>8.8998361672071216E-2</v>
      </c>
      <c r="H49" s="7">
        <f t="shared" si="2"/>
        <v>2.9749865008811629E-2</v>
      </c>
      <c r="I49" t="str">
        <f t="shared" si="3"/>
        <v>Celebrating (3.0%)</v>
      </c>
      <c r="J49" t="s">
        <v>193</v>
      </c>
    </row>
    <row r="50" spans="2:10" x14ac:dyDescent="0.25">
      <c r="B50" t="s">
        <v>184</v>
      </c>
      <c r="C50" t="s">
        <v>146</v>
      </c>
      <c r="D50" t="s">
        <v>119</v>
      </c>
      <c r="E50" s="12">
        <v>1.8218974886932082E-2</v>
      </c>
      <c r="F50" s="11">
        <f t="shared" si="4"/>
        <v>3.7021503227886624E-2</v>
      </c>
      <c r="G50" s="12">
        <f t="shared" si="5"/>
        <v>9.0929683715131993E-2</v>
      </c>
      <c r="H50" s="7">
        <f t="shared" si="2"/>
        <v>0.40714430882514679</v>
      </c>
      <c r="I50" t="str">
        <f t="shared" si="3"/>
        <v>Retailer (40.7%)</v>
      </c>
      <c r="J50" t="s">
        <v>119</v>
      </c>
    </row>
    <row r="51" spans="2:10" x14ac:dyDescent="0.25">
      <c r="B51" t="s">
        <v>184</v>
      </c>
      <c r="C51" t="s">
        <v>146</v>
      </c>
      <c r="D51" t="s">
        <v>120</v>
      </c>
      <c r="E51" s="12">
        <v>1.7924947146101069E-2</v>
      </c>
      <c r="F51" s="11">
        <f t="shared" si="4"/>
        <v>3.7021503227886624E-2</v>
      </c>
      <c r="G51" s="12">
        <f t="shared" si="5"/>
        <v>9.0929683715131993E-2</v>
      </c>
      <c r="H51" s="7">
        <f t="shared" si="2"/>
        <v>0.40714430882514679</v>
      </c>
      <c r="I51" t="str">
        <f t="shared" si="3"/>
        <v>Retailer (40.7%)</v>
      </c>
      <c r="J51" t="s">
        <v>120</v>
      </c>
    </row>
    <row r="52" spans="2:10" x14ac:dyDescent="0.25">
      <c r="B52" t="s">
        <v>184</v>
      </c>
      <c r="C52" t="s">
        <v>146</v>
      </c>
      <c r="D52" t="s">
        <v>121</v>
      </c>
      <c r="E52" s="12">
        <v>8.7758119485347103E-4</v>
      </c>
      <c r="F52" s="11">
        <f t="shared" si="4"/>
        <v>3.7021503227886624E-2</v>
      </c>
      <c r="G52" s="12">
        <f t="shared" si="5"/>
        <v>9.0929683715131993E-2</v>
      </c>
      <c r="H52" s="7">
        <f t="shared" si="2"/>
        <v>0.40714430882514679</v>
      </c>
      <c r="I52" t="str">
        <f t="shared" si="3"/>
        <v>Retailer (40.7%)</v>
      </c>
      <c r="J52" t="s">
        <v>121</v>
      </c>
    </row>
    <row r="53" spans="2:10" x14ac:dyDescent="0.25">
      <c r="B53" t="s">
        <v>184</v>
      </c>
      <c r="C53" t="s">
        <v>126</v>
      </c>
      <c r="D53" t="s">
        <v>123</v>
      </c>
      <c r="E53" s="12">
        <v>1.3034652075527947E-2</v>
      </c>
      <c r="F53" s="11">
        <f t="shared" si="4"/>
        <v>2.7450423649729203E-2</v>
      </c>
      <c r="G53" s="12">
        <f t="shared" si="5"/>
        <v>9.0929683715131993E-2</v>
      </c>
      <c r="H53" s="7">
        <f t="shared" si="2"/>
        <v>0.30188627660607448</v>
      </c>
      <c r="I53" t="str">
        <f t="shared" si="3"/>
        <v>Neighbourhood stores  (30.2%)</v>
      </c>
      <c r="J53" t="s">
        <v>123</v>
      </c>
    </row>
    <row r="54" spans="2:10" x14ac:dyDescent="0.25">
      <c r="B54" t="s">
        <v>184</v>
      </c>
      <c r="C54" t="s">
        <v>126</v>
      </c>
      <c r="D54" t="s">
        <v>124</v>
      </c>
      <c r="E54" s="12">
        <v>9.4940469490393201E-3</v>
      </c>
      <c r="F54" s="11">
        <f t="shared" si="4"/>
        <v>2.7450423649729203E-2</v>
      </c>
      <c r="G54" s="12">
        <f t="shared" si="5"/>
        <v>9.0929683715131993E-2</v>
      </c>
      <c r="H54" s="7">
        <f t="shared" si="2"/>
        <v>0.30188627660607448</v>
      </c>
      <c r="I54" t="str">
        <f t="shared" si="3"/>
        <v>Neighbourhood stores  (30.2%)</v>
      </c>
      <c r="J54" t="s">
        <v>124</v>
      </c>
    </row>
    <row r="55" spans="2:10" x14ac:dyDescent="0.25">
      <c r="B55" t="s">
        <v>184</v>
      </c>
      <c r="C55" t="s">
        <v>126</v>
      </c>
      <c r="D55" t="s">
        <v>122</v>
      </c>
      <c r="E55" s="12">
        <v>4.9217246251619332E-3</v>
      </c>
      <c r="F55" s="11">
        <f t="shared" si="4"/>
        <v>2.7450423649729203E-2</v>
      </c>
      <c r="G55" s="12">
        <f t="shared" si="5"/>
        <v>9.0929683715131993E-2</v>
      </c>
      <c r="H55" s="7">
        <f t="shared" si="2"/>
        <v>0.30188627660607448</v>
      </c>
      <c r="I55" t="str">
        <f t="shared" si="3"/>
        <v>Neighbourhood stores  (30.2%)</v>
      </c>
      <c r="J55" t="s">
        <v>122</v>
      </c>
    </row>
    <row r="56" spans="2:10" x14ac:dyDescent="0.25">
      <c r="B56" t="s">
        <v>184</v>
      </c>
      <c r="C56" t="s">
        <v>125</v>
      </c>
      <c r="D56" t="s">
        <v>116</v>
      </c>
      <c r="E56" s="12">
        <v>1.4890581158372676E-2</v>
      </c>
      <c r="F56" s="11">
        <f t="shared" si="4"/>
        <v>2.645775683751617E-2</v>
      </c>
      <c r="G56" s="12">
        <f t="shared" si="5"/>
        <v>9.0929683715131993E-2</v>
      </c>
      <c r="H56" s="7">
        <f t="shared" si="2"/>
        <v>0.29096941456877873</v>
      </c>
      <c r="I56" t="str">
        <f t="shared" si="3"/>
        <v>Beverage Focused (29.1%)</v>
      </c>
      <c r="J56" t="s">
        <v>116</v>
      </c>
    </row>
    <row r="57" spans="2:10" x14ac:dyDescent="0.25">
      <c r="B57" t="s">
        <v>184</v>
      </c>
      <c r="C57" t="s">
        <v>125</v>
      </c>
      <c r="D57" t="s">
        <v>117</v>
      </c>
      <c r="E57" s="12">
        <v>7.660482432070629E-3</v>
      </c>
      <c r="F57" s="11">
        <f t="shared" si="4"/>
        <v>2.645775683751617E-2</v>
      </c>
      <c r="G57" s="12">
        <f t="shared" si="5"/>
        <v>9.0929683715131993E-2</v>
      </c>
      <c r="H57" s="7">
        <f t="shared" si="2"/>
        <v>0.29096941456877873</v>
      </c>
      <c r="I57" t="str">
        <f t="shared" si="3"/>
        <v>Beverage Focused (29.1%)</v>
      </c>
      <c r="J57" t="s">
        <v>117</v>
      </c>
    </row>
    <row r="58" spans="2:10" x14ac:dyDescent="0.25">
      <c r="B58" t="s">
        <v>184</v>
      </c>
      <c r="C58" t="s">
        <v>125</v>
      </c>
      <c r="D58" t="s">
        <v>118</v>
      </c>
      <c r="E58" s="12">
        <v>3.9066932470728649E-3</v>
      </c>
      <c r="F58" s="11">
        <f t="shared" si="4"/>
        <v>2.645775683751617E-2</v>
      </c>
      <c r="G58" s="12">
        <f t="shared" si="5"/>
        <v>9.0929683715131993E-2</v>
      </c>
      <c r="H58" s="7">
        <f t="shared" si="2"/>
        <v>0.29096941456877873</v>
      </c>
      <c r="I58" t="str">
        <f t="shared" si="3"/>
        <v>Beverage Focused (29.1%)</v>
      </c>
      <c r="J58" t="s">
        <v>118</v>
      </c>
    </row>
    <row r="59" spans="2:10" x14ac:dyDescent="0.25">
      <c r="B59" t="s">
        <v>185</v>
      </c>
      <c r="C59" t="s">
        <v>187</v>
      </c>
      <c r="D59" t="s">
        <v>203</v>
      </c>
      <c r="E59" s="12">
        <v>5.9643250791617704E-4</v>
      </c>
      <c r="F59" s="11">
        <f t="shared" si="4"/>
        <v>1.9661504676209952E-3</v>
      </c>
      <c r="G59" s="12">
        <f t="shared" si="5"/>
        <v>4.1894684807517388E-3</v>
      </c>
      <c r="H59" s="7">
        <f t="shared" si="2"/>
        <v>0.46930785531729274</v>
      </c>
      <c r="I59" t="str">
        <f t="shared" si="3"/>
        <v>On-offline media (46.9%)</v>
      </c>
      <c r="J59" t="s">
        <v>203</v>
      </c>
    </row>
    <row r="60" spans="2:10" x14ac:dyDescent="0.25">
      <c r="B60" t="s">
        <v>185</v>
      </c>
      <c r="C60" t="s">
        <v>187</v>
      </c>
      <c r="D60" t="s">
        <v>200</v>
      </c>
      <c r="E60" s="12">
        <v>5.2079642381148896E-4</v>
      </c>
      <c r="F60" s="11">
        <f t="shared" si="4"/>
        <v>1.9661504676209952E-3</v>
      </c>
      <c r="G60" s="12">
        <f t="shared" si="5"/>
        <v>4.1894684807517388E-3</v>
      </c>
      <c r="H60" s="7">
        <f t="shared" si="2"/>
        <v>0.46930785531729274</v>
      </c>
      <c r="I60" t="str">
        <f t="shared" si="3"/>
        <v>On-offline media (46.9%)</v>
      </c>
      <c r="J60" t="s">
        <v>200</v>
      </c>
    </row>
    <row r="61" spans="2:10" x14ac:dyDescent="0.25">
      <c r="B61" t="s">
        <v>185</v>
      </c>
      <c r="C61" t="s">
        <v>187</v>
      </c>
      <c r="D61" t="s">
        <v>202</v>
      </c>
      <c r="E61" s="12">
        <v>4.4926855591513837E-4</v>
      </c>
      <c r="F61" s="11">
        <f t="shared" si="4"/>
        <v>1.9661504676209952E-3</v>
      </c>
      <c r="G61" s="12">
        <f t="shared" si="5"/>
        <v>4.1894684807517388E-3</v>
      </c>
      <c r="H61" s="7">
        <f t="shared" si="2"/>
        <v>0.46930785531729274</v>
      </c>
      <c r="I61" t="str">
        <f t="shared" si="3"/>
        <v>On-offline media (46.9%)</v>
      </c>
      <c r="J61" t="s">
        <v>202</v>
      </c>
    </row>
    <row r="62" spans="2:10" x14ac:dyDescent="0.25">
      <c r="B62" t="s">
        <v>185</v>
      </c>
      <c r="C62" t="s">
        <v>187</v>
      </c>
      <c r="D62" t="s">
        <v>201</v>
      </c>
      <c r="E62" s="12">
        <v>3.9965297997819063E-4</v>
      </c>
      <c r="F62" s="11">
        <f t="shared" si="4"/>
        <v>1.9661504676209952E-3</v>
      </c>
      <c r="G62" s="12">
        <f t="shared" si="5"/>
        <v>4.1894684807517388E-3</v>
      </c>
      <c r="H62" s="7">
        <f t="shared" si="2"/>
        <v>0.46930785531729274</v>
      </c>
      <c r="I62" t="str">
        <f t="shared" si="3"/>
        <v>On-offline media (46.9%)</v>
      </c>
      <c r="J62" t="s">
        <v>201</v>
      </c>
    </row>
    <row r="63" spans="2:10" x14ac:dyDescent="0.25">
      <c r="B63" t="s">
        <v>185</v>
      </c>
      <c r="C63" t="s">
        <v>186</v>
      </c>
      <c r="D63" t="s">
        <v>186</v>
      </c>
      <c r="E63" s="12">
        <v>7.2346833294384492E-4</v>
      </c>
      <c r="F63" s="11">
        <f t="shared" si="4"/>
        <v>7.2346833294384492E-4</v>
      </c>
      <c r="G63" s="12">
        <f t="shared" si="5"/>
        <v>4.1894684807517388E-3</v>
      </c>
      <c r="H63" s="7">
        <f t="shared" si="2"/>
        <v>0.17268737938184203</v>
      </c>
      <c r="I63" t="str">
        <f t="shared" si="3"/>
        <v>In a store (17.3%)</v>
      </c>
      <c r="J63" t="s">
        <v>186</v>
      </c>
    </row>
    <row r="64" spans="2:10" x14ac:dyDescent="0.25">
      <c r="B64" t="s">
        <v>185</v>
      </c>
      <c r="C64" t="s">
        <v>128</v>
      </c>
      <c r="D64" t="s">
        <v>198</v>
      </c>
      <c r="E64" s="12">
        <v>2.8751591803550619E-4</v>
      </c>
      <c r="F64" s="11">
        <f t="shared" si="4"/>
        <v>7.0566451225259359E-4</v>
      </c>
      <c r="G64" s="12">
        <f t="shared" si="5"/>
        <v>4.1894684807517388E-3</v>
      </c>
      <c r="H64" s="7">
        <f t="shared" si="2"/>
        <v>0.16843771841099336</v>
      </c>
      <c r="I64" t="str">
        <f t="shared" si="3"/>
        <v>On premise (16.8%)</v>
      </c>
      <c r="J64" t="s">
        <v>198</v>
      </c>
    </row>
    <row r="65" spans="2:10" x14ac:dyDescent="0.25">
      <c r="B65" t="s">
        <v>185</v>
      </c>
      <c r="C65" t="s">
        <v>128</v>
      </c>
      <c r="D65" t="s">
        <v>199</v>
      </c>
      <c r="E65" s="12">
        <v>2.2346246129922642E-4</v>
      </c>
      <c r="F65" s="11">
        <f t="shared" si="4"/>
        <v>7.0566451225259359E-4</v>
      </c>
      <c r="G65" s="12">
        <f t="shared" si="5"/>
        <v>4.1894684807517388E-3</v>
      </c>
      <c r="H65" s="7">
        <f t="shared" si="2"/>
        <v>0.16843771841099336</v>
      </c>
      <c r="I65" t="str">
        <f t="shared" si="3"/>
        <v>On premise (16.8%)</v>
      </c>
      <c r="J65" t="s">
        <v>199</v>
      </c>
    </row>
    <row r="66" spans="2:10" x14ac:dyDescent="0.25">
      <c r="B66" t="s">
        <v>185</v>
      </c>
      <c r="C66" t="s">
        <v>128</v>
      </c>
      <c r="D66" t="s">
        <v>197</v>
      </c>
      <c r="E66" s="12">
        <v>1.9468613291786092E-4</v>
      </c>
      <c r="F66" s="11">
        <f t="shared" si="4"/>
        <v>7.0566451225259359E-4</v>
      </c>
      <c r="G66" s="12">
        <f t="shared" si="5"/>
        <v>4.1894684807517388E-3</v>
      </c>
      <c r="H66" s="7">
        <f t="shared" si="2"/>
        <v>0.16843771841099336</v>
      </c>
      <c r="I66" t="str">
        <f t="shared" si="3"/>
        <v>On premise (16.8%)</v>
      </c>
      <c r="J66" t="s">
        <v>197</v>
      </c>
    </row>
    <row r="67" spans="2:10" x14ac:dyDescent="0.25">
      <c r="B67" t="s">
        <v>185</v>
      </c>
      <c r="C67" t="s">
        <v>189</v>
      </c>
      <c r="D67" t="s">
        <v>205</v>
      </c>
      <c r="E67" s="12">
        <v>7.0367258083081706E-4</v>
      </c>
      <c r="F67" s="11">
        <f t="shared" si="4"/>
        <v>7.0367258083081706E-4</v>
      </c>
      <c r="G67" s="12">
        <f t="shared" si="5"/>
        <v>4.1894684807517388E-3</v>
      </c>
      <c r="H67" s="7">
        <f t="shared" si="2"/>
        <v>0.1679622568026943</v>
      </c>
      <c r="I67" t="str">
        <f t="shared" si="3"/>
        <v>Paid TV (16.8%)</v>
      </c>
      <c r="J67" t="s">
        <v>205</v>
      </c>
    </row>
    <row r="68" spans="2:10" x14ac:dyDescent="0.25">
      <c r="B68" t="s">
        <v>185</v>
      </c>
      <c r="C68" t="s">
        <v>188</v>
      </c>
      <c r="D68" t="s">
        <v>204</v>
      </c>
      <c r="E68" s="12">
        <v>9.0512587103488509E-5</v>
      </c>
      <c r="F68" s="11">
        <f t="shared" si="4"/>
        <v>9.0512587103488509E-5</v>
      </c>
      <c r="G68" s="12">
        <f t="shared" si="5"/>
        <v>4.1894684807517388E-3</v>
      </c>
      <c r="H68" s="7">
        <f t="shared" ref="H68" si="6">F68/G68</f>
        <v>2.160479008717768E-2</v>
      </c>
      <c r="I68" t="str">
        <f t="shared" ref="I68" si="7">_xlfn.TEXTJOIN(" ",TRUE,C68,TEXT(H68,"(0.0%)"))</f>
        <v>Open TV (2.2%)</v>
      </c>
      <c r="J68" t="s">
        <v>204</v>
      </c>
    </row>
  </sheetData>
  <autoFilter ref="B2:J2" xr:uid="{909471D9-1CAF-4B03-A56F-50631E7ED05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3c8d67e1dd6cd218e736507e601e000a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824c48bdaea88d6a16c16658edfce594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f0cdc8-4de3-4117-a0d7-8fd86872aa5a" xsi:nil="true"/>
    <lcf76f155ced4ddcb4097134ff3c332f xmlns="6041b3ba-1188-45b5-a271-dfb9a9a8da5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A734F16-EFDF-4444-AE8F-A62837517F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502CFB-C0F8-4A81-8EC4-65B7ABB20B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41b3ba-1188-45b5-a271-dfb9a9a8da58"/>
    <ds:schemaRef ds:uri="35f0cdc8-4de3-4117-a0d7-8fd86872a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288771-2173-4E57-ABB4-CC13103186B4}">
  <ds:schemaRefs>
    <ds:schemaRef ds:uri="http://schemas.microsoft.com/office/2006/metadata/properties"/>
    <ds:schemaRef ds:uri="http://schemas.microsoft.com/office/infopath/2007/PartnerControls"/>
    <ds:schemaRef ds:uri="35f0cdc8-4de3-4117-a0d7-8fd86872aa5a"/>
    <ds:schemaRef ds:uri="6041b3ba-1188-45b5-a271-dfb9a9a8da5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Liverpool vs Path Comms</vt:lpstr>
      <vt:lpstr>Liverpool vs Cat</vt:lpstr>
      <vt:lpstr>Empeños</vt:lpstr>
      <vt:lpstr>CATA</vt:lpstr>
      <vt:lpstr>Template</vt:lpstr>
      <vt:lpstr>BSA Protex IMG w Imp</vt:lpstr>
      <vt:lpstr>BSA Protex IMG</vt:lpstr>
      <vt:lpstr>ACT Placer Ciudad Posadas</vt:lpstr>
      <vt:lpstr>Placer Ciudad Posadas</vt:lpstr>
      <vt:lpstr>Lipton BR vs H2OH BR</vt:lpstr>
      <vt:lpstr>H2OH BR VS AR</vt:lpstr>
      <vt:lpstr>H2OH BR VS CO</vt:lpstr>
      <vt:lpstr>BSA Corona Capital</vt:lpstr>
      <vt:lpstr>Pacifico IMG vs Cat</vt:lpstr>
      <vt:lpstr>Pacifico IMG vs Pac</vt:lpstr>
      <vt:lpstr>Pacifico ACT vs Client</vt:lpstr>
      <vt:lpstr>Pacifico POS vs Client</vt:lpstr>
      <vt:lpstr>Pacifico OCC vs Client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Naranjo, Juan Manuel (MB)</dc:creator>
  <cp:keywords/>
  <dc:description/>
  <cp:lastModifiedBy>Fernando Monrroy</cp:lastModifiedBy>
  <cp:revision/>
  <dcterms:created xsi:type="dcterms:W3CDTF">2023-03-08T23:52:23Z</dcterms:created>
  <dcterms:modified xsi:type="dcterms:W3CDTF">2026-04-14T16:12:33Z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2023-03-09T00:03:50Z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8d6fd771-3bb7-4f90-ba8c-309a5c8881f8</vt:lpwstr>
  </property>
  <property fmtid="{D5CDD505-2E9C-101B-9397-08002B2CF9AE}" pid="8" name="MSIP_Label_3741da7a-79c1-417c-b408-16c0bfe99fca_ContentBits">
    <vt:lpwstr>0</vt:lpwstr>
  </property>
  <property fmtid="{D5CDD505-2E9C-101B-9397-08002B2CF9AE}" pid="9" name="ContentTypeId">
    <vt:lpwstr>0x0101009A5B2EB65F0D434998DAF77486C1C599</vt:lpwstr>
  </property>
  <property fmtid="{D5CDD505-2E9C-101B-9397-08002B2CF9AE}" pid="10" name="MediaServiceImageTags">
    <vt:lpwstr/>
  </property>
</Properties>
</file>