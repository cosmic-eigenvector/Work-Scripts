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Lift ROI Data Quality Tool/"/>
    </mc:Choice>
  </mc:AlternateContent>
  <xr:revisionPtr revIDLastSave="578" documentId="8_{65E0748D-672D-4634-904E-09CE9427C9F8}" xr6:coauthVersionLast="47" xr6:coauthVersionMax="47" xr10:uidLastSave="{207909A9-921B-4FA3-908C-A00ECCCE2166}"/>
  <bookViews>
    <workbookView xWindow="-120" yWindow="-120" windowWidth="29040" windowHeight="15720" activeTab="1" xr2:uid="{00000000-000D-0000-FFFF-FFFF00000000}"/>
  </bookViews>
  <sheets>
    <sheet name="DATA" sheetId="2" r:id="rId1"/>
    <sheet name="HIERARCH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1" i="1" l="1"/>
  <c r="A89" i="1"/>
  <c r="A90" i="1" l="1"/>
  <c r="A88" i="1"/>
  <c r="A8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2" i="1"/>
</calcChain>
</file>

<file path=xl/sharedStrings.xml><?xml version="1.0" encoding="utf-8"?>
<sst xmlns="http://schemas.openxmlformats.org/spreadsheetml/2006/main" count="872" uniqueCount="184">
  <si>
    <t>Variable Name</t>
  </si>
  <si>
    <t>L0</t>
  </si>
  <si>
    <t>L1</t>
  </si>
  <si>
    <t>L2</t>
  </si>
  <si>
    <t>L3</t>
  </si>
  <si>
    <t>L4</t>
  </si>
  <si>
    <t>Metric Type</t>
  </si>
  <si>
    <t>Metric</t>
  </si>
  <si>
    <t>Aggregation</t>
  </si>
  <si>
    <t>Sales</t>
  </si>
  <si>
    <t>Price</t>
  </si>
  <si>
    <t>Controlled Label</t>
  </si>
  <si>
    <t>Lala</t>
  </si>
  <si>
    <t>Alpura</t>
  </si>
  <si>
    <t>Nominal Dist.</t>
  </si>
  <si>
    <t>Dependent</t>
  </si>
  <si>
    <t>Effort</t>
  </si>
  <si>
    <t>Independent</t>
  </si>
  <si>
    <t>$</t>
  </si>
  <si>
    <t>L</t>
  </si>
  <si>
    <t>$/L</t>
  </si>
  <si>
    <t>%</t>
  </si>
  <si>
    <t>Sum</t>
  </si>
  <si>
    <t>Average</t>
  </si>
  <si>
    <t>Sales::Controlled Label::Sales::Sales::Sales::Independent::$::Sum</t>
  </si>
  <si>
    <t>Sales::Lala::Sales::Sales::Sales::Independent::$::Sum</t>
  </si>
  <si>
    <t>Sales::Alpura::Sales::Sales::Sales::Independent::$::Sum</t>
  </si>
  <si>
    <t>Sales::Controlled Label::Sales::Sales::Sales::Independent::L::Sum</t>
  </si>
  <si>
    <t>Sales::Lala::Sales::Sales::Sales::Independent::L::Sum</t>
  </si>
  <si>
    <t>Sales::Alpura::Sales::Sales::Sales::Independent::L::Sum</t>
  </si>
  <si>
    <t>Price::Controlled Label::Price::Price::Price::Independent::$/L::Average</t>
  </si>
  <si>
    <t>Price::Lala::Price::Price::Price::Independent::$/L::Average</t>
  </si>
  <si>
    <t>Price::Alpura::Price::Price::Price::Independent::$/L::Average</t>
  </si>
  <si>
    <t>Nominal Dist.::Controlled Label::Nominal Dist.::Nominal Dist.::Nominal Dist.::Independent::%::Average</t>
  </si>
  <si>
    <t>Nominal Dist.::Lala::Nominal Dist.::Nominal Dist.::Nominal Dist.::Independent::%::Average</t>
  </si>
  <si>
    <t>Nominal Dist.::Alpura::Nominal Dist.::Nominal Dist.::Nominal Dist.::Independent::%::Average</t>
  </si>
  <si>
    <t>Period</t>
  </si>
  <si>
    <t>Breaks</t>
  </si>
  <si>
    <t>FY'22</t>
  </si>
  <si>
    <t>FY'23</t>
  </si>
  <si>
    <t>FY'24</t>
  </si>
  <si>
    <t>Media</t>
  </si>
  <si>
    <t>Facebook</t>
  </si>
  <si>
    <t>PMAX</t>
  </si>
  <si>
    <t>Demand G</t>
  </si>
  <si>
    <t>TikTok</t>
  </si>
  <si>
    <t>Teads</t>
  </si>
  <si>
    <t>CTV</t>
  </si>
  <si>
    <t>Spotify</t>
  </si>
  <si>
    <t>Adsmovil</t>
  </si>
  <si>
    <t>Search</t>
  </si>
  <si>
    <t>Criteo</t>
  </si>
  <si>
    <t>Open TV</t>
  </si>
  <si>
    <t>TRPs</t>
  </si>
  <si>
    <t>Reach 1+</t>
  </si>
  <si>
    <t>Reach 3+</t>
  </si>
  <si>
    <t>OOH</t>
  </si>
  <si>
    <t>Spend</t>
  </si>
  <si>
    <t>Organic Media</t>
  </si>
  <si>
    <t>Engagement</t>
  </si>
  <si>
    <t>Instagram</t>
  </si>
  <si>
    <t>Recetas Nestlé</t>
  </si>
  <si>
    <t>Amazon Display</t>
  </si>
  <si>
    <t>Amazon Prime Video</t>
  </si>
  <si>
    <t>Amazon Search</t>
  </si>
  <si>
    <t>Azteca</t>
  </si>
  <si>
    <t>Cine</t>
  </si>
  <si>
    <t>Contenido</t>
  </si>
  <si>
    <t>Digital Wifi Metro</t>
  </si>
  <si>
    <t>Dynamic</t>
  </si>
  <si>
    <t>Estandar Banner</t>
  </si>
  <si>
    <t>Facebook Consider</t>
  </si>
  <si>
    <t>Facebook Encounter</t>
  </si>
  <si>
    <t>Facebook Purchase</t>
  </si>
  <si>
    <t>Facebook Repurchase</t>
  </si>
  <si>
    <t>Radio</t>
  </si>
  <si>
    <t>Tik Tok</t>
  </si>
  <si>
    <t>Youtube</t>
  </si>
  <si>
    <t>Pay TV</t>
  </si>
  <si>
    <t>DOOH</t>
  </si>
  <si>
    <t xml:space="preserve"> Carnation</t>
  </si>
  <si>
    <t>Web</t>
  </si>
  <si>
    <t>Streaming</t>
  </si>
  <si>
    <t>TV</t>
  </si>
  <si>
    <t>Medios tradicionales</t>
  </si>
  <si>
    <t>Redes sociales</t>
  </si>
  <si>
    <t>Google</t>
  </si>
  <si>
    <t>Medios pagados</t>
  </si>
  <si>
    <t>Medios orgánicos</t>
  </si>
  <si>
    <t>Sales:: Carnation::Sales::Sales::Sales::Independent::$::Sum</t>
  </si>
  <si>
    <t>Sales:: Carnation::Sales::Sales::Sales::Dependent::L::Sum</t>
  </si>
  <si>
    <t>Price:: Carnation::Price::Price::Price::Effort::$/L::Average</t>
  </si>
  <si>
    <t>Nominal Dist.:: Carnation::Nominal Dist.::Nominal Dist.::Nominal Dist.::Effort::%::Average</t>
  </si>
  <si>
    <t>Media:: Carnation::Medios pagados::Web::Adsmovil::Spend::$::Sum</t>
  </si>
  <si>
    <t>Media:: Carnation::Medios pagados::Streaming::Amazon Prime Video::Spend::$::Sum</t>
  </si>
  <si>
    <t>Media:: Carnation::Medios pagados::TV::Azteca::Spend::$::Sum</t>
  </si>
  <si>
    <t>Media:: Carnation::Medios pagados::Medios tradicionales::Cine::Spend::$::Sum</t>
  </si>
  <si>
    <t>Media:: Carnation::Medios pagados::Web::Contenido::Spend::$::Sum</t>
  </si>
  <si>
    <t>Media:: Carnation::Medios pagados::Web::Criteo::Spend::$::Sum</t>
  </si>
  <si>
    <t>Media:: Carnation::Medios pagados::TV::CTV::Spend::$::Sum</t>
  </si>
  <si>
    <t>Media:: Carnation::Medios pagados::Web::Demand G::Spend::$::Sum</t>
  </si>
  <si>
    <t>Media:: Carnation::Medios pagados::Web::Digital Wifi Metro::Spend::$::Sum</t>
  </si>
  <si>
    <t>Media:: Carnation::Medios pagados::Medios tradicionales::DOOH::Spend::$::Sum</t>
  </si>
  <si>
    <t>Media:: Carnation::Medios pagados::Web::Dynamic::Spend::$::Sum</t>
  </si>
  <si>
    <t>Media:: Carnation::Medios pagados::Web::Estandar Banner::Spend::$::Sum</t>
  </si>
  <si>
    <t>Media:: Carnation::Medios pagados::Redes sociales::Facebook Consider::Spend::$::Sum</t>
  </si>
  <si>
    <t>Media:: Carnation::Medios pagados::Redes sociales::Facebook Encounter::Spend::$::Sum</t>
  </si>
  <si>
    <t>Media:: Carnation::Medios pagados::Redes sociales::Facebook Purchase::Spend::$::Sum</t>
  </si>
  <si>
    <t>Media:: Carnation::Medios pagados::Redes sociales::Facebook Repurchase::Spend::$::Sum</t>
  </si>
  <si>
    <t>Media:: Carnation::Medios pagados::Web::PMAX::Spend::$::Sum</t>
  </si>
  <si>
    <t>Media:: Carnation::Medios pagados::Medios tradicionales::Radio::Spend::$::Sum</t>
  </si>
  <si>
    <t>Media:: Carnation::Medios pagados::Search::Google::Spend::$::Sum</t>
  </si>
  <si>
    <t>Media:: Carnation::Medios pagados::Streaming::Spotify::Spend::$::Sum</t>
  </si>
  <si>
    <t>Media:: Carnation::Medios pagados::Web::Teads::Spend::$::Sum</t>
  </si>
  <si>
    <t>Media:: Carnation::Medios pagados::Redes sociales::Tik Tok::Spend::$::Sum</t>
  </si>
  <si>
    <t>Media:: Carnation::Medios pagados::Streaming::Youtube::Spend::$::Sum</t>
  </si>
  <si>
    <t>Media:: Carnation::Medios pagados::TV::Open TV::Spend::$::Sum</t>
  </si>
  <si>
    <t>Media:: Carnation::Medios pagados::TV::Open TV::Effort::TRPs::Sum</t>
  </si>
  <si>
    <t>Media:: Carnation::Medios pagados::TV::Pay TV::Spend::$::Sum</t>
  </si>
  <si>
    <t>Media:: Carnation::Medios pagados::TV::Pay TV::Effort::TRPs::Sum</t>
  </si>
  <si>
    <t>Media:: Carnation::Medios pagados::TV::Open TV::Effort::Reach 1+::Sum</t>
  </si>
  <si>
    <t>Media:: Carnation::Medios pagados::TV::Open TV::Effort::Reach 3+::Sum</t>
  </si>
  <si>
    <t>Media:: Carnation::Medios pagados::Medios tradicionales::OOH::Spend::$::Sum</t>
  </si>
  <si>
    <t>Subsitio Carnation</t>
  </si>
  <si>
    <t>Visitas</t>
  </si>
  <si>
    <t>Sitio Recetas Nestlé</t>
  </si>
  <si>
    <t>Materiales</t>
  </si>
  <si>
    <t>Frecuencia</t>
  </si>
  <si>
    <t>Impresiones</t>
  </si>
  <si>
    <t>Macroeconomic</t>
  </si>
  <si>
    <t>-</t>
  </si>
  <si>
    <t>INPC</t>
  </si>
  <si>
    <t>Alimentos y bebidas</t>
  </si>
  <si>
    <t>Mensual</t>
  </si>
  <si>
    <t>Categoría</t>
  </si>
  <si>
    <t>Sales::Categoría::Sales::Sales::Sales::Independent::$::Sum</t>
  </si>
  <si>
    <t>Sales::Categoría::Sales::Sales::Sales::Independent::L::Sum</t>
  </si>
  <si>
    <t>Price::Categoría::Price::Price::Price::Independent::$/L::Average</t>
  </si>
  <si>
    <t>Nominal Dist.::Categoría::Nominal Dist.::Nominal Dist.::Nominal Dist.::Independent::%::Average</t>
  </si>
  <si>
    <t>Organic Media::Recetas Nestlé::Recetas Nestlé::Medios orgánicos::Facebook::Effort::Impresiones::Sum</t>
  </si>
  <si>
    <t>Organic Media::Recetas Nestlé::Recetas Nestlé::Medios orgánicos::Facebook::Effort::Engagement::Sum</t>
  </si>
  <si>
    <t>Organic Media::Recetas Nestlé::Recetas Nestlé::Medios orgánicos::Instagram::Effort::Impresiones::Sum</t>
  </si>
  <si>
    <t>Organic Media::Recetas Nestlé::Recetas Nestlé::Medios orgánicos::Instagram::Effort::Engagement::Sum</t>
  </si>
  <si>
    <t>Organic Media::Recetas Nestlé::Recetas Nestlé::Medios orgánicos::TikTok::Effort::Impresiones::Sum</t>
  </si>
  <si>
    <t>Organic Media::Recetas Nestlé::Recetas Nestlé::Medios orgánicos::TikTok::Effort::Engagement::Sum</t>
  </si>
  <si>
    <t>Media:: Carnation::Medios pagados::Web::Adsmovil::Effort::Impresiones::Sum</t>
  </si>
  <si>
    <t>Media:: Carnation::Medios pagados::Streaming::Amazon Prime Video::Effort::Impresiones::Sum</t>
  </si>
  <si>
    <t>Media:: Carnation::Medios pagados::TV::Azteca::Effort::Impresiones::Sum</t>
  </si>
  <si>
    <t>Media:: Carnation::Medios pagados::Medios tradicionales::Cine::Effort::Impresiones::Sum</t>
  </si>
  <si>
    <t>Media:: Carnation::Medios pagados::Web::Contenido::Effort::Impresiones::Sum</t>
  </si>
  <si>
    <t>Media:: Carnation::Medios pagados::Web::Criteo::Effort::Impresiones::Sum</t>
  </si>
  <si>
    <t>Media:: Carnation::Medios pagados::TV::CTV::Effort::Impresiones::Sum</t>
  </si>
  <si>
    <t>Media:: Carnation::Medios pagados::Web::Demand G::Effort::Impresiones::Sum</t>
  </si>
  <si>
    <t>Media:: Carnation::Medios pagados::Web::Digital Wifi Metro::Effort::Impresiones::Sum</t>
  </si>
  <si>
    <t>Media:: Carnation::Medios pagados::Medios tradicionales::DOOH::Effort::Impresiones::Sum</t>
  </si>
  <si>
    <t>Media:: Carnation::Medios pagados::Web::Dynamic::Effort::Impresiones::Sum</t>
  </si>
  <si>
    <t>Media:: Carnation::Medios pagados::Web::Estandar Banner::Effort::Impresiones::Sum</t>
  </si>
  <si>
    <t>Media:: Carnation::Medios pagados::Redes sociales::Facebook Consider::Effort::Impresiones::Sum</t>
  </si>
  <si>
    <t>Media:: Carnation::Medios pagados::Redes sociales::Facebook Encounter::Effort::Impresiones::Sum</t>
  </si>
  <si>
    <t>Media:: Carnation::Medios pagados::Redes sociales::Facebook Purchase::Effort::Impresiones::Sum</t>
  </si>
  <si>
    <t>Media:: Carnation::Medios pagados::Redes sociales::Facebook Repurchase::Effort::Impresiones::Sum</t>
  </si>
  <si>
    <t>Media:: Carnation::Medios pagados::Web::PMAX::Effort::Impresiones::Sum</t>
  </si>
  <si>
    <t>Media:: Carnation::Medios pagados::Medios tradicionales::Radio::Effort::Impresiones::Sum</t>
  </si>
  <si>
    <t>Media:: Carnation::Medios pagados::Search::Google::Effort::Impresiones::Sum</t>
  </si>
  <si>
    <t>Media:: Carnation::Medios pagados::Streaming::Spotify::Effort::Impresiones::Sum</t>
  </si>
  <si>
    <t>Media:: Carnation::Medios pagados::Web::Teads::Effort::Impresiones::Sum</t>
  </si>
  <si>
    <t>Media:: Carnation::Medios pagados::Redes sociales::Tik Tok::Effort::Impresiones::Sum</t>
  </si>
  <si>
    <t>Media:: Carnation::Medios pagados::Streaming::Youtube::Effort::Impresiones::Sum</t>
  </si>
  <si>
    <t>Media:: Carnation::Medios pagados::TV::Open TV::Effort::Frecuencia::Sum</t>
  </si>
  <si>
    <t>Media:: Carnation::Medios pagados::Medios tradicionales::OOH::Effort::Materiales::Sum</t>
  </si>
  <si>
    <t>Organic Media::Recetas Nestlé::Recetas Nestlé::Medios orgánicos::Subsitio Carnation::Effort::Visitas::Sum</t>
  </si>
  <si>
    <t>Organic Media::Recetas Nestlé::Recetas Nestlé::Medios orgánicos::Sitio Recetas Nestlé::Effort::Visitas::Sum</t>
  </si>
  <si>
    <t>Macroeconomic::-::INPC::Alimentos y bebidas::Mensual::Independent::%::Sum</t>
  </si>
  <si>
    <t>NA</t>
  </si>
  <si>
    <t>CRM</t>
  </si>
  <si>
    <t>Envíos</t>
  </si>
  <si>
    <t>Organic Media::Recetas Nestlé::Recetas Nestlé::Medios orgánicos::CRM::Effort::Envíos::Sum</t>
  </si>
  <si>
    <t>Pricing Discount</t>
  </si>
  <si>
    <t>Pricing Discount:: Carnation::Pricing Discount::Pricing Discount::Pricing Discount::Effort::%::Average</t>
  </si>
  <si>
    <t>E-commerce</t>
  </si>
  <si>
    <t>Media:: Carnation::Medios pagados::E-commerce::Amazon Display::Spend::$::Sum</t>
  </si>
  <si>
    <t>Media:: Carnation::Medios pagados::E-commerce::Amazon Display::Effort::Impresiones::Sum</t>
  </si>
  <si>
    <t>Media:: Carnation::Medios pagados::E-commerce::Amazon Search::Spend::$::Sum</t>
  </si>
  <si>
    <t>Media:: Carnation::Medios pagados::E-commerce::Amazon Search::Effort::Impresiones::Sum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</si>
</sst>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#,##0.0\%;\(#,##0.0\)\%"/>
    <numFmt numFmtId="165" formatCode="_ * #,##0.00_ ;_ * \-#,##0.00_ ;_ * &quot;-&quot;??_ ;_ @_ "/>
    <numFmt numFmtId="166" formatCode="_(* #,##0_);_(* \(#,##0\);_(* &quot;-&quot;??_);_(@_)"/>
  </numFmts>
  <fonts count="7" x14ac:knownFonts="1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0" xfId="1" applyNumberFormat="1" applyFont="1"/>
    <xf numFmtId="8" fontId="0" fillId="0" borderId="0" xfId="0" applyNumberFormat="1"/>
    <xf numFmtId="6" fontId="0" fillId="0" borderId="0" xfId="0" applyNumberFormat="1"/>
    <xf numFmtId="43" fontId="0" fillId="0" borderId="0" xfId="0" applyNumberFormat="1"/>
    <xf numFmtId="166" fontId="0" fillId="0" borderId="0" xfId="0" applyNumberFormat="1"/>
    <xf numFmtId="0" fontId="0" fillId="3" borderId="0" xfId="0" applyFill="1"/>
    <xf numFmtId="0" fontId="6" fillId="0" borderId="0" xfId="0" applyFont="1"/>
  </cellXfs>
  <cellStyles count="4">
    <cellStyle name="Comma" xfId="1" builtinId="3"/>
    <cellStyle name="Comma 2" xfId="3" xr:uid="{853EFA02-5452-4A38-BE22-DA4E1141894C}"/>
    <cellStyle name="Normal" xfId="0" builtinId="0" customBuiltin="1"/>
    <cellStyle name="Normal 2" xfId="2" xr:uid="{87F1B25B-4471-493B-8BFA-6B7C6FDDF64C}"/>
  </cellStyles>
  <dxfs count="96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164" formatCode="#,##0.0\%;\(#,##0.0\)\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9CAC7-EA86-4EA8-BBAA-92BA709634F8}" name="Table2" displayName="Table2" ref="A1:CN52" totalsRowShown="0" headerRowDxfId="95">
  <autoFilter ref="A1:CN52" xr:uid="{5149CAC7-EA86-4EA8-BBAA-92BA709634F8}"/>
  <tableColumns count="92">
    <tableColumn id="1" xr3:uid="{864A5946-9744-4009-87C0-B66678633358}" name="Period" dataDxfId="94"/>
    <tableColumn id="2" xr3:uid="{6B2D19F9-F3CD-428D-BF08-08C1F99F0610}" name="Breaks" dataDxfId="93"/>
    <tableColumn id="3" xr3:uid="{AC5D1DE9-23C9-4F25-872A-22DE7202C4A8}" name="Sales::Categoría::Sales::Sales::Sales::Independent::$::Sum" dataDxfId="92"/>
    <tableColumn id="4" xr3:uid="{18C42902-CBF1-45DD-BB30-ED8C89D6AA47}" name="Sales::Controlled Label::Sales::Sales::Sales::Independent::$::Sum" dataDxfId="91"/>
    <tableColumn id="5" xr3:uid="{A9A18FEC-DA8C-4193-9F41-5E72DD32A3D8}" name="Sales:: Carnation::Sales::Sales::Sales::Independent::$::Sum" dataDxfId="90"/>
    <tableColumn id="6" xr3:uid="{830885E5-C3FB-4CEF-8200-1D90363DE256}" name="Sales::Lala::Sales::Sales::Sales::Independent::$::Sum" dataDxfId="89"/>
    <tableColumn id="7" xr3:uid="{89618CBD-AFB1-4E7C-8B30-8311205F0E69}" name="Sales::Alpura::Sales::Sales::Sales::Independent::$::Sum" dataDxfId="88"/>
    <tableColumn id="9" xr3:uid="{379BF532-3105-46EE-9CE5-8A781B34EA9A}" name="Sales::Categoría::Sales::Sales::Sales::Independent::L::Sum" dataDxfId="87"/>
    <tableColumn id="10" xr3:uid="{6F30748B-B8DA-4A6E-B3EE-8DE6A2B3E4B7}" name="Sales::Controlled Label::Sales::Sales::Sales::Independent::L::Sum" dataDxfId="86"/>
    <tableColumn id="11" xr3:uid="{E29F7BDA-DFA3-4E52-AB91-77ABA3395667}" name="Sales:: Carnation::Sales::Sales::Sales::Dependent::L::Sum" dataDxfId="85"/>
    <tableColumn id="12" xr3:uid="{2528D5A2-8DCD-4EF4-BC1D-40EE877039BB}" name="Sales::Lala::Sales::Sales::Sales::Independent::L::Sum" dataDxfId="84"/>
    <tableColumn id="13" xr3:uid="{C5EEADF4-3AF9-4A2A-B80A-C0CC6494F120}" name="Sales::Alpura::Sales::Sales::Sales::Independent::L::Sum" dataDxfId="83"/>
    <tableColumn id="15" xr3:uid="{40849095-2AC4-44DD-A034-0DEE6A3208E1}" name="Price::Categoría::Price::Price::Price::Independent::$/L::Average" dataDxfId="82"/>
    <tableColumn id="16" xr3:uid="{35AC4635-D4FE-4519-8653-A5C837783038}" name="Price::Controlled Label::Price::Price::Price::Independent::$/L::Average" dataDxfId="81"/>
    <tableColumn id="17" xr3:uid="{0EC554D8-50BD-464A-A675-3937B5A4DF87}" name="Price:: Carnation::Price::Price::Price::Effort::$/L::Average" dataDxfId="80"/>
    <tableColumn id="18" xr3:uid="{77455D02-F151-40F7-BD0C-4C092A83DE54}" name="Price::Lala::Price::Price::Price::Independent::$/L::Average" dataDxfId="79"/>
    <tableColumn id="19" xr3:uid="{42E6A620-4D80-4B18-8412-CF61508A39A4}" name="Price::Alpura::Price::Price::Price::Independent::$/L::Average" dataDxfId="78"/>
    <tableColumn id="21" xr3:uid="{0FA71C45-CFF1-4932-8AC2-8F5D3B6E9FE7}" name="Nominal Dist.::Categoría::Nominal Dist.::Nominal Dist.::Nominal Dist.::Independent::%::Average" dataDxfId="77"/>
    <tableColumn id="22" xr3:uid="{EC530BAA-A2EF-4DDE-8EFC-9EC81B9BD242}" name="Nominal Dist.::Controlled Label::Nominal Dist.::Nominal Dist.::Nominal Dist.::Independent::%::Average" dataDxfId="76"/>
    <tableColumn id="23" xr3:uid="{3578FA8B-8735-49AE-8F08-5BD817E8FB09}" name="Nominal Dist.:: Carnation::Nominal Dist.::Nominal Dist.::Nominal Dist.::Effort::%::Average" dataDxfId="75"/>
    <tableColumn id="24" xr3:uid="{D779F8A9-37AF-48F1-AD61-18BF270C6477}" name="Nominal Dist.::Lala::Nominal Dist.::Nominal Dist.::Nominal Dist.::Independent::%::Average" dataDxfId="74"/>
    <tableColumn id="25" xr3:uid="{97AF9EA6-7EA3-442E-A143-62350AE0C856}" name="Nominal Dist.::Alpura::Nominal Dist.::Nominal Dist.::Nominal Dist.::Independent::%::Average" dataDxfId="73"/>
    <tableColumn id="81" xr3:uid="{66DC9DBB-2553-419F-8E1F-0F8DFAC50545}" name="Organic Media::Recetas Nestlé::Recetas Nestlé::Medios orgánicos::Facebook::Effort::Impresiones::Sum" dataDxfId="72"/>
    <tableColumn id="82" xr3:uid="{3D3E4259-A79D-4B3B-BB23-B1E395BF4361}" name="Organic Media::Recetas Nestlé::Recetas Nestlé::Medios orgánicos::Facebook::Effort::Engagement::Sum" dataDxfId="71"/>
    <tableColumn id="83" xr3:uid="{DB17F456-CA5B-4206-A4B7-AB72BC929594}" name="Organic Media::Recetas Nestlé::Recetas Nestlé::Medios orgánicos::Instagram::Effort::Impresiones::Sum" dataDxfId="70"/>
    <tableColumn id="84" xr3:uid="{2862748E-81C6-4A18-9833-9E27155241E5}" name="Organic Media::Recetas Nestlé::Recetas Nestlé::Medios orgánicos::Instagram::Effort::Engagement::Sum" dataDxfId="69"/>
    <tableColumn id="85" xr3:uid="{1F5FD11F-ED4A-44BA-BAC6-920F4A49C3A6}" name="Organic Media::Recetas Nestlé::Recetas Nestlé::Medios orgánicos::TikTok::Effort::Impresiones::Sum" dataDxfId="68"/>
    <tableColumn id="86" xr3:uid="{1D002CD0-1625-4753-A864-D6F63D9A8DD0}" name="Organic Media::Recetas Nestlé::Recetas Nestlé::Medios orgánicos::TikTok::Effort::Engagement::Sum" dataDxfId="67"/>
    <tableColumn id="26" xr3:uid="{584A048C-6906-44D2-875E-D6189CEF5FE1}" name="Media:: Carnation::Medios pagados::Web::Adsmovil::Spend::$::Sum" dataDxfId="66"/>
    <tableColumn id="27" xr3:uid="{A8E87FBC-95BF-455C-9037-7A542547EFBC}" name="Media:: Carnation::Medios pagados::Web::Adsmovil::Effort::Impresiones::Sum" dataDxfId="65"/>
    <tableColumn id="28" xr3:uid="{A3AFBD47-B597-485F-A7A4-1EA20D036924}" name="Media:: Carnation::Medios pagados::E-commerce::Amazon Display::Spend::$::Sum" dataDxfId="64"/>
    <tableColumn id="29" xr3:uid="{BC5EE314-9BB1-47D8-B7F6-D410604CA264}" name="Media:: Carnation::Medios pagados::E-commerce::Amazon Display::Effort::Impresiones::Sum" dataDxfId="63"/>
    <tableColumn id="30" xr3:uid="{5FC9D6ED-E059-4F9C-882A-9E7F32E3398E}" name="Media:: Carnation::Medios pagados::Streaming::Amazon Prime Video::Spend::$::Sum" dataDxfId="62"/>
    <tableColumn id="31" xr3:uid="{45924E3F-5F81-4CB1-A251-356FC340B76E}" name="Media:: Carnation::Medios pagados::Streaming::Amazon Prime Video::Effort::Impresiones::Sum" dataDxfId="61"/>
    <tableColumn id="32" xr3:uid="{C2ADDB57-83DA-4938-A5FC-2D3A5A83624E}" name="Media:: Carnation::Medios pagados::E-commerce::Amazon Search::Spend::$::Sum" dataDxfId="60"/>
    <tableColumn id="33" xr3:uid="{221BB137-5A07-43EB-B20C-A29BF49E1408}" name="Media:: Carnation::Medios pagados::E-commerce::Amazon Search::Effort::Impresiones::Sum" dataDxfId="59"/>
    <tableColumn id="34" xr3:uid="{39DE19F7-F5F4-4D62-A97C-1398B675F16C}" name="Media:: Carnation::Medios pagados::TV::Azteca::Spend::$::Sum" dataDxfId="58"/>
    <tableColumn id="35" xr3:uid="{2A559D54-0727-4B5B-BA6B-6C29F6A0D433}" name="Media:: Carnation::Medios pagados::TV::Azteca::Effort::Impresiones::Sum" dataDxfId="57"/>
    <tableColumn id="36" xr3:uid="{C9A9D9D2-828C-425A-BD4E-0509FA822903}" name="Media:: Carnation::Medios pagados::Medios tradicionales::Cine::Spend::$::Sum" dataDxfId="56"/>
    <tableColumn id="37" xr3:uid="{D6ED2368-BB46-4291-82D9-724A63ED451F}" name="Media:: Carnation::Medios pagados::Medios tradicionales::Cine::Effort::Impresiones::Sum" dataDxfId="55"/>
    <tableColumn id="38" xr3:uid="{8630D173-9C38-4D84-B007-E640957AEDAF}" name="Media:: Carnation::Medios pagados::Web::Contenido::Spend::$::Sum" dataDxfId="54"/>
    <tableColumn id="39" xr3:uid="{FAA8230B-15F9-454B-AD4C-DB0E8F8394E8}" name="Media:: Carnation::Medios pagados::Web::Contenido::Effort::Impresiones::Sum" dataDxfId="53"/>
    <tableColumn id="40" xr3:uid="{909CB624-B1A6-4567-B70D-E02D2A3AB5B9}" name="Media:: Carnation::Medios pagados::Web::Criteo::Spend::$::Sum" dataDxfId="52"/>
    <tableColumn id="41" xr3:uid="{6D61371C-CEF1-432E-93CC-4E7BA86B490F}" name="Media:: Carnation::Medios pagados::Web::Criteo::Effort::Impresiones::Sum" dataDxfId="51"/>
    <tableColumn id="42" xr3:uid="{5BCCCB3B-A391-44E1-A62E-9BA3196AF63F}" name="Media:: Carnation::Medios pagados::TV::CTV::Spend::$::Sum" dataDxfId="50"/>
    <tableColumn id="43" xr3:uid="{242F37E8-C9DB-4C06-AF72-19B707446EE2}" name="Media:: Carnation::Medios pagados::TV::CTV::Effort::Impresiones::Sum" dataDxfId="49"/>
    <tableColumn id="44" xr3:uid="{C982FFFE-5110-46E6-B7C6-BF255F16FA73}" name="Media:: Carnation::Medios pagados::Web::Demand G::Spend::$::Sum" dataDxfId="48"/>
    <tableColumn id="45" xr3:uid="{CB895C12-7F5A-4A4B-91D7-E97D595A8348}" name="Media:: Carnation::Medios pagados::Web::Demand G::Effort::Impresiones::Sum" dataDxfId="47"/>
    <tableColumn id="46" xr3:uid="{99C4365B-6392-46E2-AAA0-416B93DDEE47}" name="Media:: Carnation::Medios pagados::Web::Digital Wifi Metro::Spend::$::Sum" dataDxfId="46"/>
    <tableColumn id="47" xr3:uid="{FA18D1BA-C7BD-4F6B-BBD9-1A7FDD8EA9AC}" name="Media:: Carnation::Medios pagados::Web::Digital Wifi Metro::Effort::Impresiones::Sum" dataDxfId="45"/>
    <tableColumn id="48" xr3:uid="{8B2BD67A-904D-4967-BF4A-A0B167F4CF0D}" name="Media:: Carnation::Medios pagados::Medios tradicionales::DOOH::Spend::$::Sum" dataDxfId="44"/>
    <tableColumn id="49" xr3:uid="{17D7CB85-3691-464F-BC3E-989FF9FD8B68}" name="Media:: Carnation::Medios pagados::Medios tradicionales::DOOH::Effort::Impresiones::Sum" dataDxfId="43"/>
    <tableColumn id="50" xr3:uid="{4EC116D9-EB75-4C7E-AF08-D4FF3BB9ED5B}" name="Media:: Carnation::Medios pagados::Web::Dynamic::Spend::$::Sum" dataDxfId="42"/>
    <tableColumn id="51" xr3:uid="{B30DFBBB-2FE6-44CC-A275-5941E7C9BEBE}" name="Media:: Carnation::Medios pagados::Web::Dynamic::Effort::Impresiones::Sum" dataDxfId="41"/>
    <tableColumn id="52" xr3:uid="{B2A67984-2A62-4D31-843D-571273BA8F8C}" name="Media:: Carnation::Medios pagados::Web::Estandar Banner::Spend::$::Sum" dataDxfId="40"/>
    <tableColumn id="53" xr3:uid="{80F7ED24-85E1-472E-979C-3A8FA5A6A56D}" name="Media:: Carnation::Medios pagados::Web::Estandar Banner::Effort::Impresiones::Sum" dataDxfId="39"/>
    <tableColumn id="54" xr3:uid="{E6168870-DE44-4200-A9B7-796EF2599999}" name="Media:: Carnation::Medios pagados::Redes sociales::Facebook Consider::Spend::$::Sum" dataDxfId="38"/>
    <tableColumn id="55" xr3:uid="{061C9950-0023-4338-8DE4-5953167BB3D1}" name="Media:: Carnation::Medios pagados::Redes sociales::Facebook Consider::Effort::Impresiones::Sum" dataDxfId="37"/>
    <tableColumn id="56" xr3:uid="{7EA07798-4FD9-4593-AB9C-799DA1BB36E8}" name="Media:: Carnation::Medios pagados::Redes sociales::Facebook Encounter::Spend::$::Sum" dataDxfId="36"/>
    <tableColumn id="57" xr3:uid="{01067EFC-9E64-4D46-A077-ED9982AD4AC3}" name="Media:: Carnation::Medios pagados::Redes sociales::Facebook Encounter::Effort::Impresiones::Sum" dataDxfId="35"/>
    <tableColumn id="58" xr3:uid="{83BF51DE-5A3D-4DBA-95A7-43BFAD44E5B4}" name="Media:: Carnation::Medios pagados::Redes sociales::Facebook Purchase::Spend::$::Sum" dataDxfId="34"/>
    <tableColumn id="59" xr3:uid="{1E2F2232-2654-4580-BE42-7BCC5C0285E7}" name="Media:: Carnation::Medios pagados::Redes sociales::Facebook Purchase::Effort::Impresiones::Sum" dataDxfId="33"/>
    <tableColumn id="60" xr3:uid="{BFDA926C-B681-4D8D-A840-A65B7F596C4C}" name="Media:: Carnation::Medios pagados::Redes sociales::Facebook Repurchase::Spend::$::Sum" dataDxfId="32"/>
    <tableColumn id="61" xr3:uid="{5F6D5343-5B49-4167-A4BA-171FD32EFFCD}" name="Media:: Carnation::Medios pagados::Redes sociales::Facebook Repurchase::Effort::Impresiones::Sum" dataDxfId="31"/>
    <tableColumn id="62" xr3:uid="{ED6F4D1D-DAFD-4FD7-B124-A067375D767B}" name="Media:: Carnation::Medios pagados::Web::PMAX::Spend::$::Sum" dataDxfId="30"/>
    <tableColumn id="63" xr3:uid="{26674785-EF72-488D-988A-B58BCADA935B}" name="Media:: Carnation::Medios pagados::Web::PMAX::Effort::Impresiones::Sum" dataDxfId="29"/>
    <tableColumn id="64" xr3:uid="{C9704692-4A59-4518-A924-C0EAA1D337B8}" name="Media:: Carnation::Medios pagados::Medios tradicionales::Radio::Spend::$::Sum" dataDxfId="28"/>
    <tableColumn id="65" xr3:uid="{C1085CB7-016C-401E-826B-E53CE786E576}" name="Media:: Carnation::Medios pagados::Medios tradicionales::Radio::Effort::Impresiones::Sum" dataDxfId="27"/>
    <tableColumn id="66" xr3:uid="{56DF21CD-4BE1-4961-8F16-A665E4D06E90}" name="Media:: Carnation::Medios pagados::Search::Google::Spend::$::Sum" dataDxfId="26"/>
    <tableColumn id="67" xr3:uid="{C5E893B8-7F9A-4B39-AD71-E56E9CB12F6F}" name="Media:: Carnation::Medios pagados::Search::Google::Effort::Impresiones::Sum" dataDxfId="25"/>
    <tableColumn id="68" xr3:uid="{67F68FE5-7729-4DE6-A60D-AAF375F817DC}" name="Media:: Carnation::Medios pagados::Streaming::Spotify::Spend::$::Sum" dataDxfId="24"/>
    <tableColumn id="69" xr3:uid="{D8112D09-54AA-4D03-9114-E7E7E02CEFDF}" name="Media:: Carnation::Medios pagados::Streaming::Spotify::Effort::Impresiones::Sum" dataDxfId="23"/>
    <tableColumn id="70" xr3:uid="{E05B6C90-51B7-44A9-9277-16572C3B240E}" name="Media:: Carnation::Medios pagados::Web::Teads::Spend::$::Sum" dataDxfId="22"/>
    <tableColumn id="71" xr3:uid="{39EC5651-684B-45B5-84B2-125875562427}" name="Media:: Carnation::Medios pagados::Web::Teads::Effort::Impresiones::Sum" dataDxfId="21"/>
    <tableColumn id="72" xr3:uid="{FE67BB0E-7BF6-4473-A5E5-7F816D322D4E}" name="Media:: Carnation::Medios pagados::Redes sociales::Tik Tok::Spend::$::Sum" dataDxfId="20"/>
    <tableColumn id="73" xr3:uid="{84A45FEA-E90F-4B5B-B506-B0BF4B0757C0}" name="Media:: Carnation::Medios pagados::Redes sociales::Tik Tok::Effort::Impresiones::Sum" dataDxfId="19"/>
    <tableColumn id="74" xr3:uid="{749E22E4-E506-4A89-94F0-A161A3CC793D}" name="Media:: Carnation::Medios pagados::Streaming::Youtube::Spend::$::Sum" dataDxfId="18"/>
    <tableColumn id="75" xr3:uid="{76223179-2C0D-4A75-90EF-5A8199518103}" name="Media:: Carnation::Medios pagados::Streaming::Youtube::Effort::Impresiones::Sum" dataDxfId="17"/>
    <tableColumn id="76" xr3:uid="{5B51163E-5E45-4ABB-9122-4E88EA0D63BD}" name="Media:: Carnation::Medios pagados::TV::Open TV::Spend::$::Sum" dataDxfId="16"/>
    <tableColumn id="77" xr3:uid="{1FCA4C9C-E666-49B6-85B0-37792389EEC6}" name="Media:: Carnation::Medios pagados::TV::Open TV::Effort::TRPs::Sum" dataDxfId="15"/>
    <tableColumn id="78" xr3:uid="{90FD2D2B-5B25-42DA-B5C6-DC650318954A}" name="Media:: Carnation::Medios pagados::TV::Pay TV::Spend::$::Sum" dataDxfId="14"/>
    <tableColumn id="79" xr3:uid="{F79F772D-3BEA-4F19-A0B6-0F7B70992972}" name="Media:: Carnation::Medios pagados::TV::Pay TV::Effort::TRPs::Sum" dataDxfId="13"/>
    <tableColumn id="80" xr3:uid="{24006EF1-33C0-4495-A0BB-CFD0D46F4C6C}" name="Media:: Carnation::Medios pagados::TV::Open TV::Effort::Frecuencia::Sum" dataDxfId="12"/>
    <tableColumn id="89" xr3:uid="{EB6BC97D-20C7-4D9E-89FB-F91C3C967A1E}" name="Media:: Carnation::Medios pagados::TV::Open TV::Effort::Reach 1+::Sum" dataDxfId="11"/>
    <tableColumn id="90" xr3:uid="{AB6B366E-8CBD-4377-A424-11C74CD2FDA7}" name="Media:: Carnation::Medios pagados::TV::Open TV::Effort::Reach 3+::Sum" dataDxfId="10"/>
    <tableColumn id="91" xr3:uid="{52A04EA0-FC65-44C8-BAA0-55C1E8C6058B}" name="Media:: Carnation::Medios pagados::Medios tradicionales::OOH::Spend::$::Sum" dataDxfId="9"/>
    <tableColumn id="92" xr3:uid="{E0054581-C3CB-4D32-864D-C0147F9EF706}" name="Media:: Carnation::Medios pagados::Medios tradicionales::OOH::Effort::Materiales::Sum" dataDxfId="8"/>
    <tableColumn id="87" xr3:uid="{85A3B6F6-3ED9-4282-A21F-6E52E948AFD3}" name="Organic Media::Recetas Nestlé::Recetas Nestlé::Medios orgánicos::Subsitio Carnation::Effort::Visitas::Sum" dataDxfId="7"/>
    <tableColumn id="88" xr3:uid="{E3C1C424-18DA-405A-AF70-57A87675C96E}" name="Organic Media::Recetas Nestlé::Recetas Nestlé::Medios orgánicos::Sitio Recetas Nestlé::Effort::Visitas::Sum" dataDxfId="6"/>
    <tableColumn id="93" xr3:uid="{3768AE23-FBF6-48EB-A2FF-19F7A7A28F38}" name="Organic Media::Recetas Nestlé::Recetas Nestlé::Medios orgánicos::CRM::Effort::Envíos::Sum" dataDxfId="5"/>
    <tableColumn id="94" xr3:uid="{952F90CD-2E77-4C5D-A3BC-9D42B5BC05CE}" name="Macroeconomic::-::INPC::Alimentos y bebidas::Mensual::Independent::%::Sum" dataDxfId="4"/>
    <tableColumn id="95" xr3:uid="{52B9F315-F5E0-41AE-A3D6-6C03100FC946}" name="Pricing Discount:: Carnation::Pricing Discount::Pricing Discount::Pricing Discount::Effort::%::Averag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6A4C9-62A8-48AB-86B9-30EB6C77A861}" name="Table1" displayName="Table1" ref="A1:I91" totalsRowShown="0" headerRowDxfId="2" headerRowBorderDxfId="1" tableBorderDxfId="0">
  <autoFilter ref="A1:I91" xr:uid="{8346A4C9-62A8-48AB-86B9-30EB6C77A861}"/>
  <tableColumns count="9">
    <tableColumn id="1" xr3:uid="{E4BE1E12-F4BC-44BD-AB1E-900EAF819849}" name="Variable Name">
      <calculatedColumnFormula>_xlfn.TEXTJOIN("::",TRUE,B2:I2)</calculatedColumnFormula>
    </tableColumn>
    <tableColumn id="2" xr3:uid="{AB881B59-78D2-4B0F-A0C6-EFCE7AF01A76}" name="L0"/>
    <tableColumn id="3" xr3:uid="{4941E56B-5062-444F-AEAC-8BFB1EC16727}" name="L1"/>
    <tableColumn id="4" xr3:uid="{A5E7461B-4D69-4764-A5F2-80391D299499}" name="L2"/>
    <tableColumn id="5" xr3:uid="{F75376F1-3DAB-451D-9BF9-D5F6269C1FB8}" name="L3"/>
    <tableColumn id="6" xr3:uid="{71C12AE1-69A6-4938-BF68-694BE12CC703}" name="L4"/>
    <tableColumn id="7" xr3:uid="{69629AF9-D0B3-47D9-B0B7-6645BBADE7AE}" name="Metric Type"/>
    <tableColumn id="8" xr3:uid="{F318CBC3-7739-4058-852E-F04EEFD10772}" name="Metric"/>
    <tableColumn id="9" xr3:uid="{E3CE838D-4EBA-4DB6-BA65-750807987B93}" name="Aggreg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4C17-291C-4B7F-94DC-B8C686B092B0}">
  <dimension ref="A1:CN52"/>
  <sheetViews>
    <sheetView workbookViewId="0">
      <pane xSplit="2" topLeftCell="BQ1" activePane="topRight" state="frozen"/>
      <selection pane="topRight" activeCell="C1" sqref="C1:CN1"/>
    </sheetView>
  </sheetViews>
  <sheetFormatPr defaultRowHeight="12.75" x14ac:dyDescent="0.2"/>
  <cols>
    <col min="1" max="1" width="15" customWidth="1"/>
    <col min="2" max="2" width="9.28515625" customWidth="1"/>
    <col min="3" max="3" width="55.85546875" customWidth="1"/>
    <col min="4" max="4" width="62.85546875" customWidth="1"/>
    <col min="5" max="5" width="63.85546875" customWidth="1"/>
    <col min="6" max="6" width="51.7109375" customWidth="1"/>
    <col min="7" max="7" width="53.7109375" customWidth="1"/>
    <col min="8" max="8" width="53.5703125" customWidth="1"/>
    <col min="9" max="9" width="56" customWidth="1"/>
    <col min="10" max="10" width="63" customWidth="1"/>
    <col min="11" max="11" width="62.42578125" customWidth="1"/>
    <col min="12" max="12" width="51.85546875" customWidth="1"/>
    <col min="13" max="13" width="53.85546875" customWidth="1"/>
    <col min="14" max="14" width="53.7109375" customWidth="1"/>
    <col min="15" max="15" width="59.85546875" customWidth="1"/>
    <col min="16" max="16" width="66.85546875" customWidth="1"/>
    <col min="17" max="17" width="61.140625" customWidth="1"/>
    <col min="18" max="18" width="55.7109375" customWidth="1"/>
    <col min="19" max="19" width="57.7109375" customWidth="1"/>
    <col min="20" max="24" width="73.42578125" customWidth="1"/>
    <col min="33" max="63" width="9.28515625" bestFit="1" customWidth="1"/>
    <col min="64" max="64" width="10" bestFit="1" customWidth="1"/>
    <col min="65" max="71" width="9.28515625" bestFit="1" customWidth="1"/>
    <col min="73" max="76" width="9.28515625" bestFit="1" customWidth="1"/>
    <col min="77" max="77" width="13.42578125" bestFit="1" customWidth="1"/>
    <col min="78" max="78" width="15.42578125" bestFit="1" customWidth="1"/>
    <col min="79" max="81" width="9.28515625" bestFit="1" customWidth="1"/>
    <col min="82" max="83" width="10" bestFit="1" customWidth="1"/>
    <col min="84" max="91" width="9.28515625" bestFit="1" customWidth="1"/>
  </cols>
  <sheetData>
    <row r="1" spans="1:92" x14ac:dyDescent="0.2">
      <c r="A1" t="s">
        <v>36</v>
      </c>
      <c r="B1" t="s">
        <v>37</v>
      </c>
      <c r="C1" s="1" t="s">
        <v>135</v>
      </c>
      <c r="D1" s="1" t="s">
        <v>24</v>
      </c>
      <c r="E1" s="1" t="s">
        <v>89</v>
      </c>
      <c r="F1" s="1" t="s">
        <v>25</v>
      </c>
      <c r="G1" s="1" t="s">
        <v>26</v>
      </c>
      <c r="H1" s="1" t="s">
        <v>136</v>
      </c>
      <c r="I1" s="1" t="s">
        <v>27</v>
      </c>
      <c r="J1" s="1" t="s">
        <v>90</v>
      </c>
      <c r="K1" s="1" t="s">
        <v>28</v>
      </c>
      <c r="L1" s="1" t="s">
        <v>29</v>
      </c>
      <c r="M1" s="1" t="s">
        <v>137</v>
      </c>
      <c r="N1" s="1" t="s">
        <v>30</v>
      </c>
      <c r="O1" s="1" t="s">
        <v>91</v>
      </c>
      <c r="P1" s="1" t="s">
        <v>31</v>
      </c>
      <c r="Q1" s="1" t="s">
        <v>32</v>
      </c>
      <c r="R1" s="1" t="s">
        <v>138</v>
      </c>
      <c r="S1" s="1" t="s">
        <v>33</v>
      </c>
      <c r="T1" s="1" t="s">
        <v>92</v>
      </c>
      <c r="U1" s="1" t="s">
        <v>34</v>
      </c>
      <c r="V1" s="1" t="s">
        <v>35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93</v>
      </c>
      <c r="AD1" s="1" t="s">
        <v>145</v>
      </c>
      <c r="AE1" s="1" t="s">
        <v>180</v>
      </c>
      <c r="AF1" s="1" t="s">
        <v>181</v>
      </c>
      <c r="AG1" s="1" t="s">
        <v>94</v>
      </c>
      <c r="AH1" s="1" t="s">
        <v>146</v>
      </c>
      <c r="AI1" s="1" t="s">
        <v>182</v>
      </c>
      <c r="AJ1" s="1" t="s">
        <v>183</v>
      </c>
      <c r="AK1" s="1" t="s">
        <v>95</v>
      </c>
      <c r="AL1" s="1" t="s">
        <v>147</v>
      </c>
      <c r="AM1" s="1" t="s">
        <v>96</v>
      </c>
      <c r="AN1" s="1" t="s">
        <v>148</v>
      </c>
      <c r="AO1" s="1" t="s">
        <v>97</v>
      </c>
      <c r="AP1" s="1" t="s">
        <v>149</v>
      </c>
      <c r="AQ1" s="1" t="s">
        <v>98</v>
      </c>
      <c r="AR1" s="1" t="s">
        <v>150</v>
      </c>
      <c r="AS1" s="1" t="s">
        <v>99</v>
      </c>
      <c r="AT1" s="1" t="s">
        <v>151</v>
      </c>
      <c r="AU1" s="1" t="s">
        <v>100</v>
      </c>
      <c r="AV1" s="1" t="s">
        <v>152</v>
      </c>
      <c r="AW1" s="1" t="s">
        <v>101</v>
      </c>
      <c r="AX1" s="1" t="s">
        <v>153</v>
      </c>
      <c r="AY1" s="1" t="s">
        <v>102</v>
      </c>
      <c r="AZ1" s="1" t="s">
        <v>154</v>
      </c>
      <c r="BA1" s="1" t="s">
        <v>103</v>
      </c>
      <c r="BB1" s="1" t="s">
        <v>155</v>
      </c>
      <c r="BC1" s="1" t="s">
        <v>104</v>
      </c>
      <c r="BD1" s="1" t="s">
        <v>156</v>
      </c>
      <c r="BE1" s="1" t="s">
        <v>105</v>
      </c>
      <c r="BF1" s="1" t="s">
        <v>157</v>
      </c>
      <c r="BG1" s="1" t="s">
        <v>106</v>
      </c>
      <c r="BH1" s="1" t="s">
        <v>158</v>
      </c>
      <c r="BI1" s="1" t="s">
        <v>107</v>
      </c>
      <c r="BJ1" s="1" t="s">
        <v>159</v>
      </c>
      <c r="BK1" s="1" t="s">
        <v>108</v>
      </c>
      <c r="BL1" s="1" t="s">
        <v>160</v>
      </c>
      <c r="BM1" s="1" t="s">
        <v>109</v>
      </c>
      <c r="BN1" s="1" t="s">
        <v>161</v>
      </c>
      <c r="BO1" s="1" t="s">
        <v>110</v>
      </c>
      <c r="BP1" s="1" t="s">
        <v>162</v>
      </c>
      <c r="BQ1" s="1" t="s">
        <v>111</v>
      </c>
      <c r="BR1" s="1" t="s">
        <v>163</v>
      </c>
      <c r="BS1" s="1" t="s">
        <v>112</v>
      </c>
      <c r="BT1" s="1" t="s">
        <v>164</v>
      </c>
      <c r="BU1" s="1" t="s">
        <v>113</v>
      </c>
      <c r="BV1" s="1" t="s">
        <v>165</v>
      </c>
      <c r="BW1" s="1" t="s">
        <v>114</v>
      </c>
      <c r="BX1" s="1" t="s">
        <v>166</v>
      </c>
      <c r="BY1" s="1" t="s">
        <v>115</v>
      </c>
      <c r="BZ1" s="1" t="s">
        <v>167</v>
      </c>
      <c r="CA1" s="1" t="s">
        <v>116</v>
      </c>
      <c r="CB1" s="1" t="s">
        <v>117</v>
      </c>
      <c r="CC1" s="1" t="s">
        <v>118</v>
      </c>
      <c r="CD1" s="1" t="s">
        <v>119</v>
      </c>
      <c r="CE1" s="1" t="s">
        <v>168</v>
      </c>
      <c r="CF1" s="1" t="s">
        <v>120</v>
      </c>
      <c r="CG1" s="1" t="s">
        <v>121</v>
      </c>
      <c r="CH1" s="1" t="s">
        <v>122</v>
      </c>
      <c r="CI1" s="1" t="s">
        <v>169</v>
      </c>
      <c r="CJ1" s="1" t="s">
        <v>170</v>
      </c>
      <c r="CK1" s="1" t="s">
        <v>171</v>
      </c>
      <c r="CL1" s="1" t="s">
        <v>176</v>
      </c>
      <c r="CM1" s="1" t="s">
        <v>172</v>
      </c>
      <c r="CN1" s="1" t="s">
        <v>178</v>
      </c>
    </row>
    <row r="2" spans="1:92" x14ac:dyDescent="0.2">
      <c r="A2" s="5">
        <v>44197</v>
      </c>
      <c r="B2" s="5" t="s">
        <v>173</v>
      </c>
      <c r="C2" s="2">
        <v>193372534.81007332</v>
      </c>
      <c r="D2" s="2">
        <v>2148449.7845533332</v>
      </c>
      <c r="E2" s="2">
        <v>173915475.81306666</v>
      </c>
      <c r="F2" s="2">
        <v>1979197.5211666669</v>
      </c>
      <c r="G2" s="2">
        <v>14818401.402553335</v>
      </c>
      <c r="H2" s="2">
        <v>4511975.5955799995</v>
      </c>
      <c r="I2" s="2">
        <v>53708.460086666666</v>
      </c>
      <c r="J2" s="2">
        <v>4005561.0466</v>
      </c>
      <c r="K2" s="2">
        <v>42690.752899999999</v>
      </c>
      <c r="L2" s="2">
        <v>393993.69025999994</v>
      </c>
      <c r="M2" s="3">
        <v>42.899900000000002</v>
      </c>
      <c r="N2" s="3">
        <v>39.554400000000001</v>
      </c>
      <c r="O2" s="3">
        <v>43.490299999999998</v>
      </c>
      <c r="P2" s="3">
        <v>46.466999999999999</v>
      </c>
      <c r="Q2" s="3">
        <v>37.465699999999998</v>
      </c>
      <c r="R2" s="4">
        <v>98.89897843</v>
      </c>
      <c r="S2" s="4">
        <v>52.934165720000003</v>
      </c>
      <c r="T2" s="4">
        <v>98.830874010000002</v>
      </c>
      <c r="U2" s="4">
        <v>31.884222470000001</v>
      </c>
      <c r="V2" s="4">
        <v>89.670828599999993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N2">
        <v>0</v>
      </c>
    </row>
    <row r="3" spans="1:92" x14ac:dyDescent="0.2">
      <c r="A3" s="5">
        <v>44228</v>
      </c>
      <c r="B3" s="5" t="s">
        <v>173</v>
      </c>
      <c r="C3" s="2">
        <v>188990540.83947334</v>
      </c>
      <c r="D3" s="2">
        <v>2437575.9080533334</v>
      </c>
      <c r="E3" s="2">
        <v>168754152.94976667</v>
      </c>
      <c r="F3" s="2">
        <v>2202951.2872666665</v>
      </c>
      <c r="G3" s="2">
        <v>15021910.625653334</v>
      </c>
      <c r="H3" s="2">
        <v>4490113.5608799998</v>
      </c>
      <c r="I3" s="2">
        <v>58735.438486666666</v>
      </c>
      <c r="J3" s="2">
        <v>3967701.5555000002</v>
      </c>
      <c r="K3" s="2">
        <v>48175.8577</v>
      </c>
      <c r="L3" s="2">
        <v>398404.23395999998</v>
      </c>
      <c r="M3" s="3">
        <v>42.0702</v>
      </c>
      <c r="N3" s="3">
        <v>41.290100000000002</v>
      </c>
      <c r="O3" s="3">
        <v>42.531700000000001</v>
      </c>
      <c r="P3" s="3">
        <v>45.761200000000002</v>
      </c>
      <c r="Q3" s="3">
        <v>37.568399999999997</v>
      </c>
      <c r="R3" s="4">
        <v>98.901098899999994</v>
      </c>
      <c r="S3" s="4">
        <v>54.14636909</v>
      </c>
      <c r="T3" s="4">
        <v>98.765152369999996</v>
      </c>
      <c r="U3" s="4">
        <v>35.374419400000001</v>
      </c>
      <c r="V3" s="4">
        <v>87.464597260000005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N3">
        <v>0</v>
      </c>
    </row>
    <row r="4" spans="1:92" x14ac:dyDescent="0.2">
      <c r="A4" s="5">
        <v>44256</v>
      </c>
      <c r="B4" s="5" t="s">
        <v>173</v>
      </c>
      <c r="C4" s="2">
        <v>186680469.12285334</v>
      </c>
      <c r="D4" s="2">
        <v>3767217.7419933337</v>
      </c>
      <c r="E4" s="2">
        <v>166626883.87496665</v>
      </c>
      <c r="F4" s="2">
        <v>2407587.5520666665</v>
      </c>
      <c r="G4" s="2">
        <v>13291832.960293334</v>
      </c>
      <c r="H4" s="2">
        <v>4409377.2694399999</v>
      </c>
      <c r="I4" s="2">
        <v>87338.982726666669</v>
      </c>
      <c r="J4" s="2">
        <v>3917362.9638000005</v>
      </c>
      <c r="K4" s="2">
        <v>53075.915099999998</v>
      </c>
      <c r="L4" s="2">
        <v>334941.31527999998</v>
      </c>
      <c r="M4" s="3">
        <v>42.337200000000003</v>
      </c>
      <c r="N4" s="3">
        <v>43.133299999999998</v>
      </c>
      <c r="O4" s="3">
        <v>42.535499999999999</v>
      </c>
      <c r="P4" s="3">
        <v>45.361199999999997</v>
      </c>
      <c r="Q4" s="3">
        <v>39.684100000000001</v>
      </c>
      <c r="R4" s="4">
        <v>99.008511409999997</v>
      </c>
      <c r="S4" s="4">
        <v>54.599782689999998</v>
      </c>
      <c r="T4" s="4">
        <v>98.936073890000003</v>
      </c>
      <c r="U4" s="4">
        <v>38.056863460000002</v>
      </c>
      <c r="V4" s="4">
        <v>82.266388989999996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N4">
        <v>0</v>
      </c>
    </row>
    <row r="5" spans="1:92" x14ac:dyDescent="0.2">
      <c r="A5" s="5">
        <v>44287</v>
      </c>
      <c r="B5" s="5" t="s">
        <v>173</v>
      </c>
      <c r="C5" s="2">
        <v>177840864.55034664</v>
      </c>
      <c r="D5" s="2">
        <v>4026207.6975333332</v>
      </c>
      <c r="E5" s="2">
        <v>157442028.46538666</v>
      </c>
      <c r="F5" s="2">
        <v>2159618.7920399997</v>
      </c>
      <c r="G5" s="2">
        <v>13602321.276053334</v>
      </c>
      <c r="H5" s="2">
        <v>4198444.8942466667</v>
      </c>
      <c r="I5" s="2">
        <v>93592.952626666665</v>
      </c>
      <c r="J5" s="2">
        <v>3690890.3109199996</v>
      </c>
      <c r="K5" s="2">
        <v>48054.67083333333</v>
      </c>
      <c r="L5" s="2">
        <v>348636.14464000001</v>
      </c>
      <c r="M5" s="3">
        <v>42.486800000000002</v>
      </c>
      <c r="N5" s="3">
        <v>43.079500000000003</v>
      </c>
      <c r="O5" s="3">
        <v>42.767899999999997</v>
      </c>
      <c r="P5" s="3">
        <v>44.978200000000001</v>
      </c>
      <c r="Q5" s="3">
        <v>39.288600000000002</v>
      </c>
      <c r="R5" s="4">
        <v>99.045197740000006</v>
      </c>
      <c r="S5" s="4">
        <v>55.146892659999999</v>
      </c>
      <c r="T5" s="4">
        <v>98.994350280000006</v>
      </c>
      <c r="U5" s="4">
        <v>37.587570620000001</v>
      </c>
      <c r="V5" s="4">
        <v>83.26553672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N5">
        <v>0</v>
      </c>
    </row>
    <row r="6" spans="1:92" x14ac:dyDescent="0.2">
      <c r="A6" s="5">
        <v>44317</v>
      </c>
      <c r="B6" s="5" t="s">
        <v>173</v>
      </c>
      <c r="C6" s="2">
        <v>178268288.20064667</v>
      </c>
      <c r="D6" s="2">
        <v>3292876.4497333332</v>
      </c>
      <c r="E6" s="2">
        <v>158041532.52298665</v>
      </c>
      <c r="F6" s="2">
        <v>2191952.91824</v>
      </c>
      <c r="G6" s="2">
        <v>14114053.503353333</v>
      </c>
      <c r="H6" s="2">
        <v>4284832.9908466665</v>
      </c>
      <c r="I6" s="2">
        <v>76899.667526666657</v>
      </c>
      <c r="J6" s="2">
        <v>3772838.1274199998</v>
      </c>
      <c r="K6" s="2">
        <v>49070.765233333332</v>
      </c>
      <c r="L6" s="2">
        <v>368013.98274000001</v>
      </c>
      <c r="M6" s="3">
        <v>41.665300000000002</v>
      </c>
      <c r="N6" s="3">
        <v>42.879800000000003</v>
      </c>
      <c r="O6" s="3">
        <v>41.933199999999999</v>
      </c>
      <c r="P6" s="3">
        <v>44.683500000000002</v>
      </c>
      <c r="Q6" s="3">
        <v>38.540700000000001</v>
      </c>
      <c r="R6" s="4">
        <v>99.081327849999994</v>
      </c>
      <c r="S6" s="4">
        <v>54.928704279999998</v>
      </c>
      <c r="T6" s="4">
        <v>99.024967590000003</v>
      </c>
      <c r="U6" s="4">
        <v>37.964267599999999</v>
      </c>
      <c r="V6" s="4">
        <v>89.984782730000006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N6">
        <v>0</v>
      </c>
    </row>
    <row r="7" spans="1:92" x14ac:dyDescent="0.2">
      <c r="A7" s="5">
        <v>44348</v>
      </c>
      <c r="B7" s="5" t="s">
        <v>173</v>
      </c>
      <c r="C7" s="2">
        <v>179340901.34800667</v>
      </c>
      <c r="D7" s="2">
        <v>3182683.2769333334</v>
      </c>
      <c r="E7" s="2">
        <v>157182857.28322667</v>
      </c>
      <c r="F7" s="2">
        <v>2147356.2258199998</v>
      </c>
      <c r="G7" s="2">
        <v>16273879.830693334</v>
      </c>
      <c r="H7" s="2">
        <v>4385560.3551066676</v>
      </c>
      <c r="I7" s="2">
        <v>75608.052346666664</v>
      </c>
      <c r="J7" s="2">
        <v>3799741.7044600002</v>
      </c>
      <c r="K7" s="2">
        <v>48260.463333333333</v>
      </c>
      <c r="L7" s="2">
        <v>445684.75302</v>
      </c>
      <c r="M7" s="3">
        <v>40.893500000000003</v>
      </c>
      <c r="N7" s="3">
        <v>42.094499999999996</v>
      </c>
      <c r="O7" s="3">
        <v>41.366700000000002</v>
      </c>
      <c r="P7" s="3">
        <v>44.495100000000001</v>
      </c>
      <c r="Q7" s="3">
        <v>36.514299999999999</v>
      </c>
      <c r="R7" s="4">
        <v>99.042653599999994</v>
      </c>
      <c r="S7" s="4">
        <v>54.600206749999998</v>
      </c>
      <c r="T7" s="4">
        <v>98.925794420000003</v>
      </c>
      <c r="U7" s="4">
        <v>37.74102207</v>
      </c>
      <c r="V7" s="4">
        <v>87.442132229999999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N7">
        <v>0</v>
      </c>
    </row>
    <row r="8" spans="1:92" x14ac:dyDescent="0.2">
      <c r="A8" s="5">
        <v>44378</v>
      </c>
      <c r="B8" s="5" t="s">
        <v>173</v>
      </c>
      <c r="C8" s="2">
        <v>176120656.87840667</v>
      </c>
      <c r="D8" s="2">
        <v>4104804.1573466668</v>
      </c>
      <c r="E8" s="2">
        <v>153327328.95962</v>
      </c>
      <c r="F8" s="2">
        <v>2039009.33204</v>
      </c>
      <c r="G8" s="2">
        <v>16113154.960733334</v>
      </c>
      <c r="H8" s="2">
        <v>4355363.466926666</v>
      </c>
      <c r="I8" s="2">
        <v>97317.169586666671</v>
      </c>
      <c r="J8" s="2">
        <v>3746929.0591133335</v>
      </c>
      <c r="K8" s="2">
        <v>46593.945453333334</v>
      </c>
      <c r="L8" s="2">
        <v>449593.19001333334</v>
      </c>
      <c r="M8" s="3">
        <v>40.351399999999998</v>
      </c>
      <c r="N8" s="3">
        <v>42.076999999999998</v>
      </c>
      <c r="O8" s="3">
        <v>40.847700000000003</v>
      </c>
      <c r="P8" s="3">
        <v>43.579099999999997</v>
      </c>
      <c r="Q8" s="3">
        <v>35.686700000000002</v>
      </c>
      <c r="R8" s="4">
        <v>99.014226500000007</v>
      </c>
      <c r="S8" s="4">
        <v>60.720286770000001</v>
      </c>
      <c r="T8" s="4">
        <v>98.975019599999996</v>
      </c>
      <c r="U8" s="4">
        <v>36.692057800000001</v>
      </c>
      <c r="V8" s="4">
        <v>91.559314439999994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N8">
        <v>-6.0762974732296506E-2</v>
      </c>
    </row>
    <row r="9" spans="1:92" x14ac:dyDescent="0.2">
      <c r="A9" s="5">
        <v>44409</v>
      </c>
      <c r="B9" s="5" t="s">
        <v>173</v>
      </c>
      <c r="C9" s="2">
        <v>170088936.36080667</v>
      </c>
      <c r="D9" s="2">
        <v>4348797.8581466665</v>
      </c>
      <c r="E9" s="2">
        <v>146896089.20322001</v>
      </c>
      <c r="F9" s="2">
        <v>2119501.9054399999</v>
      </c>
      <c r="G9" s="2">
        <v>16213779.073233332</v>
      </c>
      <c r="H9" s="2">
        <v>4112503.7909266665</v>
      </c>
      <c r="I9" s="2">
        <v>101349.92278666668</v>
      </c>
      <c r="J9" s="2">
        <v>3503017.6312133335</v>
      </c>
      <c r="K9" s="2">
        <v>46392.983553333339</v>
      </c>
      <c r="L9" s="2">
        <v>448075.4415133333</v>
      </c>
      <c r="M9" s="3">
        <v>41.348199999999999</v>
      </c>
      <c r="N9" s="3">
        <v>42.880800000000001</v>
      </c>
      <c r="O9" s="3">
        <v>41.945500000000003</v>
      </c>
      <c r="P9" s="3">
        <v>45.676099999999998</v>
      </c>
      <c r="Q9" s="3">
        <v>36.059199999999997</v>
      </c>
      <c r="R9" s="4">
        <v>99.039213500000002</v>
      </c>
      <c r="S9" s="4">
        <v>65.121215509999999</v>
      </c>
      <c r="T9" s="4">
        <v>98.994525749999994</v>
      </c>
      <c r="U9" s="4">
        <v>36.789185570000001</v>
      </c>
      <c r="V9" s="4">
        <v>91.984135850000001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N9">
        <v>0</v>
      </c>
    </row>
    <row r="10" spans="1:92" x14ac:dyDescent="0.2">
      <c r="A10" s="5">
        <v>44440</v>
      </c>
      <c r="B10" s="5" t="s">
        <v>173</v>
      </c>
      <c r="C10" s="2">
        <v>179215057.12378669</v>
      </c>
      <c r="D10" s="2">
        <v>5000666.3895066669</v>
      </c>
      <c r="E10" s="2">
        <v>155377869.89036003</v>
      </c>
      <c r="F10" s="2">
        <v>2281901.7395199998</v>
      </c>
      <c r="G10" s="2">
        <v>16006870.231733333</v>
      </c>
      <c r="H10" s="2">
        <v>4320398.0017466666</v>
      </c>
      <c r="I10" s="2">
        <v>115757.88492666667</v>
      </c>
      <c r="J10" s="2">
        <v>3716625.7298733336</v>
      </c>
      <c r="K10" s="2">
        <v>49830.266893333333</v>
      </c>
      <c r="L10" s="2">
        <v>423525.89387333329</v>
      </c>
      <c r="M10" s="3">
        <v>41.481099999999998</v>
      </c>
      <c r="N10" s="3">
        <v>43.199399999999997</v>
      </c>
      <c r="O10" s="3">
        <v>41.806199999999997</v>
      </c>
      <c r="P10" s="3">
        <v>45.793500000000002</v>
      </c>
      <c r="Q10" s="3">
        <v>37.7943</v>
      </c>
      <c r="R10" s="4">
        <v>99.014756360000007</v>
      </c>
      <c r="S10" s="4">
        <v>65.690339260000002</v>
      </c>
      <c r="T10" s="4">
        <v>98.974633319999995</v>
      </c>
      <c r="U10" s="4">
        <v>36.320271050000002</v>
      </c>
      <c r="V10" s="4">
        <v>92.024430480000007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N10">
        <v>0</v>
      </c>
    </row>
    <row r="11" spans="1:92" x14ac:dyDescent="0.2">
      <c r="A11" s="5">
        <v>44470</v>
      </c>
      <c r="B11" s="5" t="s">
        <v>173</v>
      </c>
      <c r="C11" s="2">
        <v>186347474.34267333</v>
      </c>
      <c r="D11" s="2">
        <v>5870101.8043800006</v>
      </c>
      <c r="E11" s="2">
        <v>164765938.22005999</v>
      </c>
      <c r="F11" s="2">
        <v>2242035.4125666665</v>
      </c>
      <c r="G11" s="2">
        <v>12875543.950753333</v>
      </c>
      <c r="H11" s="2">
        <v>4493186.852826667</v>
      </c>
      <c r="I11" s="2">
        <v>139172.18289999999</v>
      </c>
      <c r="J11" s="2">
        <v>3983850.0925666667</v>
      </c>
      <c r="K11" s="2">
        <v>49044.215213333337</v>
      </c>
      <c r="L11" s="2">
        <v>305093.55806000001</v>
      </c>
      <c r="M11" s="3">
        <v>41.485399999999998</v>
      </c>
      <c r="N11" s="3">
        <v>42.283999999999999</v>
      </c>
      <c r="O11" s="3">
        <v>41.357700000000001</v>
      </c>
      <c r="P11" s="3">
        <v>45.708399999999997</v>
      </c>
      <c r="Q11" s="3">
        <v>42.291499999999999</v>
      </c>
      <c r="R11" s="4">
        <v>99.100649529999998</v>
      </c>
      <c r="S11" s="4">
        <v>68.011991339999994</v>
      </c>
      <c r="T11" s="4">
        <v>99.050685619999996</v>
      </c>
      <c r="U11" s="4">
        <v>35.874090930000001</v>
      </c>
      <c r="V11" s="4">
        <v>91.683783930000004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N11">
        <v>0</v>
      </c>
    </row>
    <row r="12" spans="1:92" x14ac:dyDescent="0.2">
      <c r="A12" s="5">
        <v>44501</v>
      </c>
      <c r="B12" s="5" t="s">
        <v>173</v>
      </c>
      <c r="C12" s="2">
        <v>193175185.21927333</v>
      </c>
      <c r="D12" s="2">
        <v>6245303.1255799998</v>
      </c>
      <c r="E12" s="2">
        <v>171505106.93196002</v>
      </c>
      <c r="F12" s="2">
        <v>2213467.3434666665</v>
      </c>
      <c r="G12" s="2">
        <v>12653232.323353333</v>
      </c>
      <c r="H12" s="2">
        <v>4707509.0694266669</v>
      </c>
      <c r="I12" s="2">
        <v>147778.57329999999</v>
      </c>
      <c r="J12" s="2">
        <v>4191410.8971666666</v>
      </c>
      <c r="K12" s="2">
        <v>48549.438913333332</v>
      </c>
      <c r="L12" s="2">
        <v>304556.25186000002</v>
      </c>
      <c r="M12" s="3">
        <v>40.991700000000002</v>
      </c>
      <c r="N12" s="3">
        <v>42.371499999999997</v>
      </c>
      <c r="O12" s="3">
        <v>40.861600000000003</v>
      </c>
      <c r="P12" s="3">
        <v>45.573399999999999</v>
      </c>
      <c r="Q12" s="3">
        <v>41.564700000000002</v>
      </c>
      <c r="R12" s="4">
        <v>99.163295840000004</v>
      </c>
      <c r="S12" s="4">
        <v>71.624092649999994</v>
      </c>
      <c r="T12" s="4">
        <v>99.107884970000001</v>
      </c>
      <c r="U12" s="4">
        <v>35.158198040000002</v>
      </c>
      <c r="V12" s="4">
        <v>91.959882530000002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N12">
        <v>-6.0443363232720745E-2</v>
      </c>
    </row>
    <row r="13" spans="1:92" x14ac:dyDescent="0.2">
      <c r="A13" s="5">
        <v>44531</v>
      </c>
      <c r="B13" s="5" t="s">
        <v>173</v>
      </c>
      <c r="C13" s="2">
        <v>284113792.67015332</v>
      </c>
      <c r="D13" s="2">
        <v>10193380.04984</v>
      </c>
      <c r="E13" s="2">
        <v>254007249.24068001</v>
      </c>
      <c r="F13" s="2">
        <v>2642446.348966667</v>
      </c>
      <c r="G13" s="2">
        <v>16111400.366793333</v>
      </c>
      <c r="H13" s="2">
        <v>6865553.0778466677</v>
      </c>
      <c r="I13" s="2">
        <v>245573.3462</v>
      </c>
      <c r="J13" s="2">
        <v>6140769.6449666666</v>
      </c>
      <c r="K13" s="2">
        <v>57724.780273333337</v>
      </c>
      <c r="L13" s="2">
        <v>389358.11798000004</v>
      </c>
      <c r="M13" s="3">
        <v>41.3825</v>
      </c>
      <c r="N13" s="3">
        <v>41.508499999999998</v>
      </c>
      <c r="O13" s="3">
        <v>41.364100000000001</v>
      </c>
      <c r="P13" s="3">
        <v>45.776600000000002</v>
      </c>
      <c r="Q13" s="3">
        <v>41.379399999999997</v>
      </c>
      <c r="R13" s="4">
        <v>77.244364520000005</v>
      </c>
      <c r="S13" s="4">
        <v>15.634845139999999</v>
      </c>
      <c r="T13" s="4">
        <v>76.949339379999998</v>
      </c>
      <c r="U13" s="4">
        <v>5.9809448300000003</v>
      </c>
      <c r="V13" s="4">
        <v>29.422090440000002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N13">
        <v>0</v>
      </c>
    </row>
    <row r="14" spans="1:92" x14ac:dyDescent="0.2">
      <c r="A14" s="5">
        <v>44562</v>
      </c>
      <c r="B14" s="5" t="s">
        <v>38</v>
      </c>
      <c r="C14" s="2">
        <v>347129430.2727133</v>
      </c>
      <c r="D14" s="2">
        <v>9039324.4394666664</v>
      </c>
      <c r="E14" s="2">
        <v>319652852.05403334</v>
      </c>
      <c r="F14" s="2">
        <v>2367619.0203333329</v>
      </c>
      <c r="G14" s="2">
        <v>14758638.183639999</v>
      </c>
      <c r="H14" s="2">
        <v>7636676.1576000005</v>
      </c>
      <c r="I14" s="2">
        <v>218008.85368666667</v>
      </c>
      <c r="J14" s="2">
        <v>7001298.2124866666</v>
      </c>
      <c r="K14" s="2">
        <v>50644.86694</v>
      </c>
      <c r="L14" s="2">
        <v>332808.12246666668</v>
      </c>
      <c r="M14" s="3">
        <v>45.403399999999998</v>
      </c>
      <c r="N14" s="3">
        <v>41.298699999999997</v>
      </c>
      <c r="O14" s="3">
        <v>45.602200000000003</v>
      </c>
      <c r="P14" s="3">
        <v>46.450400000000002</v>
      </c>
      <c r="Q14" s="3">
        <v>44.3643</v>
      </c>
      <c r="R14" s="4">
        <v>63.785873979999998</v>
      </c>
      <c r="S14" s="4">
        <v>0.56825537000000004</v>
      </c>
      <c r="T14" s="4">
        <v>63.600615849999997</v>
      </c>
      <c r="U14" s="4">
        <v>0.48833627000000002</v>
      </c>
      <c r="V14" s="4">
        <v>2.1617388200000001</v>
      </c>
      <c r="W14">
        <v>5319117</v>
      </c>
      <c r="X14">
        <v>34507</v>
      </c>
      <c r="Y14">
        <v>1041953</v>
      </c>
      <c r="Z14">
        <v>24074</v>
      </c>
      <c r="AA14">
        <v>889400</v>
      </c>
      <c r="AB14">
        <v>361546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s="10">
        <v>4580.96</v>
      </c>
      <c r="AJ14" s="3">
        <v>572620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 s="10">
        <v>40349.24</v>
      </c>
      <c r="BR14" s="3">
        <v>52611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 s="11">
        <v>18903</v>
      </c>
      <c r="CI14">
        <v>0</v>
      </c>
      <c r="CJ14">
        <v>563731.36026202899</v>
      </c>
      <c r="CK14">
        <v>5407916</v>
      </c>
      <c r="CL14">
        <v>755675</v>
      </c>
      <c r="CM14">
        <v>1.294042927</v>
      </c>
      <c r="CN14">
        <v>-0.17889945424655951</v>
      </c>
    </row>
    <row r="15" spans="1:92" x14ac:dyDescent="0.2">
      <c r="A15" s="5">
        <v>44593</v>
      </c>
      <c r="B15" s="5" t="s">
        <v>38</v>
      </c>
      <c r="C15" s="2">
        <v>334412772.28261334</v>
      </c>
      <c r="D15" s="2">
        <v>10241571.276066666</v>
      </c>
      <c r="E15" s="2">
        <v>303877564.46403337</v>
      </c>
      <c r="F15" s="2">
        <v>2350229.5494333333</v>
      </c>
      <c r="G15" s="2">
        <v>16469341.501940001</v>
      </c>
      <c r="H15" s="2">
        <v>7268521.8321000002</v>
      </c>
      <c r="I15" s="2">
        <v>242359.91158666665</v>
      </c>
      <c r="J15" s="2">
        <v>6567427.4396866672</v>
      </c>
      <c r="K15" s="2">
        <v>46150.491040000001</v>
      </c>
      <c r="L15" s="2">
        <v>375626.24516666669</v>
      </c>
      <c r="M15" s="3">
        <v>45.997700000000002</v>
      </c>
      <c r="N15" s="3">
        <v>42.175400000000003</v>
      </c>
      <c r="O15" s="3">
        <v>46.261600000000001</v>
      </c>
      <c r="P15" s="3">
        <v>50.927</v>
      </c>
      <c r="Q15" s="3">
        <v>43.819899999999997</v>
      </c>
      <c r="R15" s="4">
        <v>61.989593429999999</v>
      </c>
      <c r="S15" s="4">
        <v>0.56968247000000005</v>
      </c>
      <c r="T15" s="4">
        <v>61.784415699999997</v>
      </c>
      <c r="U15" s="4">
        <v>0.49747847000000001</v>
      </c>
      <c r="V15" s="4">
        <v>2.2212216800000002</v>
      </c>
      <c r="W15">
        <v>4009533</v>
      </c>
      <c r="X15">
        <v>21244</v>
      </c>
      <c r="Y15">
        <v>1202417</v>
      </c>
      <c r="Z15">
        <v>31421</v>
      </c>
      <c r="AA15">
        <v>295700</v>
      </c>
      <c r="AB15">
        <v>12545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s="10">
        <v>5000.12</v>
      </c>
      <c r="AJ15" s="3">
        <v>596547</v>
      </c>
      <c r="AK15" s="10">
        <v>33333.33</v>
      </c>
      <c r="AL15" s="3">
        <v>245973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0">
        <v>66666.33</v>
      </c>
      <c r="AT15" s="3">
        <v>490862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 s="10">
        <v>39306</v>
      </c>
      <c r="BB15" s="3">
        <v>328974</v>
      </c>
      <c r="BC15">
        <v>0</v>
      </c>
      <c r="BD15">
        <v>0</v>
      </c>
      <c r="BE15" s="10">
        <v>213333</v>
      </c>
      <c r="BF15" s="3">
        <v>12364539</v>
      </c>
      <c r="BG15" s="10">
        <v>340240.16</v>
      </c>
      <c r="BH15" s="3">
        <v>50481957</v>
      </c>
      <c r="BI15" s="10">
        <v>86667</v>
      </c>
      <c r="BJ15" s="3">
        <v>5009409</v>
      </c>
      <c r="BK15" s="10">
        <v>86667</v>
      </c>
      <c r="BL15" s="3">
        <v>3631471</v>
      </c>
      <c r="BM15">
        <v>0</v>
      </c>
      <c r="BN15">
        <v>0</v>
      </c>
      <c r="BO15">
        <v>0</v>
      </c>
      <c r="BP15">
        <v>0</v>
      </c>
      <c r="BQ15" s="10">
        <v>40457.040000000001</v>
      </c>
      <c r="BR15" s="3">
        <v>53788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s="10">
        <v>241252.88</v>
      </c>
      <c r="BZ15" s="3">
        <v>8104449</v>
      </c>
      <c r="CA15" s="10">
        <v>737791.74</v>
      </c>
      <c r="CB15">
        <v>54.08</v>
      </c>
      <c r="CC15" s="10">
        <v>139965.24</v>
      </c>
      <c r="CD15">
        <v>84</v>
      </c>
      <c r="CE15">
        <v>0</v>
      </c>
      <c r="CF15">
        <v>0</v>
      </c>
      <c r="CG15">
        <v>0</v>
      </c>
      <c r="CH15" s="11">
        <v>18903</v>
      </c>
      <c r="CI15">
        <v>0</v>
      </c>
      <c r="CJ15">
        <v>366365.61187319475</v>
      </c>
      <c r="CK15">
        <v>3514572</v>
      </c>
      <c r="CL15" s="9">
        <v>0</v>
      </c>
      <c r="CM15">
        <v>1.0158342890000001</v>
      </c>
      <c r="CN15">
        <v>-0.16702648101566675</v>
      </c>
    </row>
    <row r="16" spans="1:92" x14ac:dyDescent="0.2">
      <c r="A16" s="5">
        <v>44621</v>
      </c>
      <c r="B16" s="5" t="s">
        <v>38</v>
      </c>
      <c r="C16" s="2">
        <v>323868197.71037334</v>
      </c>
      <c r="D16" s="2">
        <v>10196870.389766667</v>
      </c>
      <c r="E16" s="2">
        <v>293230196.76383334</v>
      </c>
      <c r="F16" s="2">
        <v>2250049.3500333331</v>
      </c>
      <c r="G16" s="2">
        <v>16441614.387120001</v>
      </c>
      <c r="H16" s="2">
        <v>7019155.3484000005</v>
      </c>
      <c r="I16" s="2">
        <v>235624.03522666666</v>
      </c>
      <c r="J16" s="2">
        <v>6322254.6580266673</v>
      </c>
      <c r="K16" s="2">
        <v>44201.464319999999</v>
      </c>
      <c r="L16" s="2">
        <v>372405.9438666667</v>
      </c>
      <c r="M16" s="3">
        <v>46.140599999999999</v>
      </c>
      <c r="N16" s="3">
        <v>43.276000000000003</v>
      </c>
      <c r="O16" s="3">
        <v>46.380600000000001</v>
      </c>
      <c r="P16" s="3">
        <v>50.904400000000003</v>
      </c>
      <c r="Q16" s="3">
        <v>44.149700000000003</v>
      </c>
      <c r="R16" s="4">
        <v>61.200094479999997</v>
      </c>
      <c r="S16" s="4">
        <v>0.61007391</v>
      </c>
      <c r="T16" s="4">
        <v>60.932563510000001</v>
      </c>
      <c r="U16" s="4">
        <v>0.49840546000000002</v>
      </c>
      <c r="V16" s="4">
        <v>2.1679245100000002</v>
      </c>
      <c r="W16">
        <v>3422209</v>
      </c>
      <c r="X16">
        <v>18072</v>
      </c>
      <c r="Y16">
        <v>454894</v>
      </c>
      <c r="Z16">
        <v>12237</v>
      </c>
      <c r="AA16">
        <v>782300</v>
      </c>
      <c r="AB16">
        <v>52124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s="10">
        <v>13273.21</v>
      </c>
      <c r="AJ16" s="3">
        <v>1562501</v>
      </c>
      <c r="AK16" s="10">
        <v>80000</v>
      </c>
      <c r="AL16" s="3">
        <v>535693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0">
        <v>160000</v>
      </c>
      <c r="AT16" s="3">
        <v>1173296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s="10">
        <v>110000</v>
      </c>
      <c r="BB16" s="3">
        <v>963491</v>
      </c>
      <c r="BC16">
        <v>0</v>
      </c>
      <c r="BD16">
        <v>0</v>
      </c>
      <c r="BE16" s="10">
        <v>430000</v>
      </c>
      <c r="BF16" s="3">
        <v>31533963</v>
      </c>
      <c r="BG16" s="10">
        <v>684777.12</v>
      </c>
      <c r="BH16" s="3">
        <v>101599953</v>
      </c>
      <c r="BI16" s="10">
        <v>200000</v>
      </c>
      <c r="BJ16" s="3">
        <v>14874675</v>
      </c>
      <c r="BK16" s="10">
        <v>200000</v>
      </c>
      <c r="BL16" s="3">
        <v>10810611</v>
      </c>
      <c r="BM16">
        <v>0</v>
      </c>
      <c r="BN16">
        <v>0</v>
      </c>
      <c r="BO16">
        <v>0</v>
      </c>
      <c r="BP16">
        <v>0</v>
      </c>
      <c r="BQ16" s="10">
        <v>41508.980000000003</v>
      </c>
      <c r="BR16" s="3">
        <v>66841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s="10">
        <v>598274.05000000005</v>
      </c>
      <c r="BZ16" s="3">
        <v>22652112</v>
      </c>
      <c r="CA16" s="10">
        <v>2363734.81</v>
      </c>
      <c r="CB16">
        <v>174.09</v>
      </c>
      <c r="CC16" s="10">
        <v>337010.6</v>
      </c>
      <c r="CD16">
        <v>203</v>
      </c>
      <c r="CE16">
        <v>0</v>
      </c>
      <c r="CF16">
        <v>0</v>
      </c>
      <c r="CG16">
        <v>0</v>
      </c>
      <c r="CH16" s="11">
        <v>18903</v>
      </c>
      <c r="CI16">
        <v>0</v>
      </c>
      <c r="CJ16">
        <v>513220.4334518183</v>
      </c>
      <c r="CK16">
        <v>4923361</v>
      </c>
      <c r="CL16">
        <v>738450</v>
      </c>
      <c r="CM16">
        <v>1.2015501040000001</v>
      </c>
      <c r="CN16">
        <v>-0.16488380007166276</v>
      </c>
    </row>
    <row r="17" spans="1:92" x14ac:dyDescent="0.2">
      <c r="A17" s="5">
        <v>44652</v>
      </c>
      <c r="B17" s="5" t="s">
        <v>38</v>
      </c>
      <c r="C17" s="2">
        <v>317290163.40195328</v>
      </c>
      <c r="D17" s="2">
        <v>10458978.553526666</v>
      </c>
      <c r="E17" s="2">
        <v>285894054.88775331</v>
      </c>
      <c r="F17" s="2">
        <v>2313949.6691399999</v>
      </c>
      <c r="G17" s="2">
        <v>16624539.481006667</v>
      </c>
      <c r="H17" s="2">
        <v>6595207.4984200001</v>
      </c>
      <c r="I17" s="2">
        <v>236582.21686666665</v>
      </c>
      <c r="J17" s="2">
        <v>5885542.9958800003</v>
      </c>
      <c r="K17" s="2">
        <v>46845.229160000003</v>
      </c>
      <c r="L17" s="2">
        <v>375796.04811333329</v>
      </c>
      <c r="M17" s="3">
        <v>47.8932</v>
      </c>
      <c r="N17" s="3">
        <v>44.037500000000001</v>
      </c>
      <c r="O17" s="3">
        <v>48.358899999999998</v>
      </c>
      <c r="P17" s="3">
        <v>49.363</v>
      </c>
      <c r="Q17" s="3">
        <v>43.997799999999998</v>
      </c>
      <c r="R17" s="4">
        <v>59.97307928</v>
      </c>
      <c r="S17" s="4">
        <v>0.72437359000000001</v>
      </c>
      <c r="T17" s="4">
        <v>59.645852650000002</v>
      </c>
      <c r="U17" s="4">
        <v>0.48707673000000001</v>
      </c>
      <c r="V17" s="4">
        <v>1.9651921800000001</v>
      </c>
      <c r="W17">
        <v>3364324</v>
      </c>
      <c r="X17">
        <v>17399</v>
      </c>
      <c r="Y17">
        <v>1333518</v>
      </c>
      <c r="Z17">
        <v>31115</v>
      </c>
      <c r="AA17">
        <v>77500</v>
      </c>
      <c r="AB17">
        <v>53861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s="10">
        <v>9569.0400000000009</v>
      </c>
      <c r="AJ17" s="3">
        <v>1033955</v>
      </c>
      <c r="AK17" s="10">
        <v>80000</v>
      </c>
      <c r="AL17" s="3">
        <v>536517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10">
        <v>160000</v>
      </c>
      <c r="AT17" s="3">
        <v>1368660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 s="10">
        <v>110000</v>
      </c>
      <c r="BB17" s="3">
        <v>819882</v>
      </c>
      <c r="BC17">
        <v>0</v>
      </c>
      <c r="BD17">
        <v>0</v>
      </c>
      <c r="BE17" s="10">
        <v>430000</v>
      </c>
      <c r="BF17" s="3">
        <v>27985350</v>
      </c>
      <c r="BG17" s="10">
        <v>560968.29</v>
      </c>
      <c r="BH17" s="3">
        <v>83278091</v>
      </c>
      <c r="BI17" s="10">
        <v>200000</v>
      </c>
      <c r="BJ17" s="3">
        <v>12144957</v>
      </c>
      <c r="BK17" s="10">
        <v>200000</v>
      </c>
      <c r="BL17" s="3">
        <v>10231383</v>
      </c>
      <c r="BM17">
        <v>0</v>
      </c>
      <c r="BN17">
        <v>0</v>
      </c>
      <c r="BO17">
        <v>0</v>
      </c>
      <c r="BP17">
        <v>0</v>
      </c>
      <c r="BQ17" s="10">
        <v>41509</v>
      </c>
      <c r="BR17" s="3">
        <v>63622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s="10">
        <v>597510.27</v>
      </c>
      <c r="BZ17" s="3">
        <v>19825143</v>
      </c>
      <c r="CA17" s="10">
        <v>2096697.06</v>
      </c>
      <c r="CB17">
        <v>148.16999999999999</v>
      </c>
      <c r="CC17" s="10">
        <v>201738.21</v>
      </c>
      <c r="CD17">
        <v>121</v>
      </c>
      <c r="CE17">
        <v>0</v>
      </c>
      <c r="CF17">
        <v>0</v>
      </c>
      <c r="CG17">
        <v>0</v>
      </c>
      <c r="CH17" s="11">
        <v>18903</v>
      </c>
      <c r="CI17">
        <v>0</v>
      </c>
      <c r="CJ17">
        <v>378285.98420147126</v>
      </c>
      <c r="CK17">
        <v>3628925</v>
      </c>
      <c r="CL17">
        <v>735947</v>
      </c>
      <c r="CM17">
        <v>1.2533161719999999</v>
      </c>
      <c r="CN17">
        <v>-0.12926307980676263</v>
      </c>
    </row>
    <row r="18" spans="1:92" x14ac:dyDescent="0.2">
      <c r="A18" s="5">
        <v>44682</v>
      </c>
      <c r="B18" s="5" t="s">
        <v>38</v>
      </c>
      <c r="C18" s="2">
        <v>315896585.9674533</v>
      </c>
      <c r="D18" s="2">
        <v>11926169.544926666</v>
      </c>
      <c r="E18" s="2">
        <v>283570945.52445334</v>
      </c>
      <c r="F18" s="2">
        <v>2060664.2766400001</v>
      </c>
      <c r="G18" s="2">
        <v>16329139.938506667</v>
      </c>
      <c r="H18" s="2">
        <v>6316298.76492</v>
      </c>
      <c r="I18" s="2">
        <v>264570.60016666667</v>
      </c>
      <c r="J18" s="2">
        <v>5611259.5296800006</v>
      </c>
      <c r="K18" s="2">
        <v>41242.068059999998</v>
      </c>
      <c r="L18" s="2">
        <v>351135.50731333334</v>
      </c>
      <c r="M18" s="3">
        <v>49.952199999999998</v>
      </c>
      <c r="N18" s="3">
        <v>44.997900000000001</v>
      </c>
      <c r="O18" s="3">
        <v>50.479300000000002</v>
      </c>
      <c r="P18" s="3">
        <v>49.988</v>
      </c>
      <c r="Q18" s="3">
        <v>46.4343</v>
      </c>
      <c r="R18" s="4">
        <v>58.659625040000002</v>
      </c>
      <c r="S18" s="4">
        <v>0.57257533999999999</v>
      </c>
      <c r="T18" s="4">
        <v>58.486184639999998</v>
      </c>
      <c r="U18" s="4">
        <v>0.42739181999999998</v>
      </c>
      <c r="V18" s="4">
        <v>1.8378854499999999</v>
      </c>
      <c r="W18">
        <v>2059053</v>
      </c>
      <c r="X18">
        <v>13548</v>
      </c>
      <c r="Y18">
        <v>436663</v>
      </c>
      <c r="Z18">
        <v>9298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s="10">
        <v>11868.94</v>
      </c>
      <c r="AJ18" s="3">
        <v>572620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 s="10">
        <v>350000</v>
      </c>
      <c r="BF18" s="3">
        <v>22593086</v>
      </c>
      <c r="BG18" s="10">
        <v>799413.1</v>
      </c>
      <c r="BH18" s="3">
        <v>83446060</v>
      </c>
      <c r="BI18" s="10">
        <v>120000</v>
      </c>
      <c r="BJ18" s="3">
        <v>5056354</v>
      </c>
      <c r="BK18" s="10">
        <v>119999.92</v>
      </c>
      <c r="BL18" s="3">
        <v>3733557</v>
      </c>
      <c r="BM18">
        <v>0</v>
      </c>
      <c r="BN18">
        <v>0</v>
      </c>
      <c r="BO18">
        <v>0</v>
      </c>
      <c r="BP18">
        <v>0</v>
      </c>
      <c r="BQ18" s="10">
        <v>41653.449999999997</v>
      </c>
      <c r="BR18" s="3">
        <v>59270</v>
      </c>
      <c r="BS18">
        <v>0</v>
      </c>
      <c r="BT18">
        <v>0</v>
      </c>
      <c r="BU18" s="10">
        <v>199455.8</v>
      </c>
      <c r="BV18" s="3">
        <v>808188</v>
      </c>
      <c r="BW18">
        <v>0</v>
      </c>
      <c r="BX18">
        <v>0</v>
      </c>
      <c r="BY18" s="10">
        <v>675671.27</v>
      </c>
      <c r="BZ18" s="3">
        <v>21017212</v>
      </c>
      <c r="CA18" s="10">
        <v>6585572.54</v>
      </c>
      <c r="CB18">
        <v>412.04</v>
      </c>
      <c r="CC18" s="10">
        <v>489085.22</v>
      </c>
      <c r="CD18">
        <v>294</v>
      </c>
      <c r="CE18">
        <v>0</v>
      </c>
      <c r="CF18">
        <v>0</v>
      </c>
      <c r="CG18">
        <v>0</v>
      </c>
      <c r="CH18" s="11">
        <v>18903</v>
      </c>
      <c r="CI18">
        <v>0</v>
      </c>
      <c r="CJ18">
        <v>410160.23400306603</v>
      </c>
      <c r="CK18">
        <v>3934697</v>
      </c>
      <c r="CL18">
        <v>747071</v>
      </c>
      <c r="CM18">
        <v>1.157313185</v>
      </c>
      <c r="CN18">
        <v>-9.1083746414610534E-2</v>
      </c>
    </row>
    <row r="19" spans="1:92" x14ac:dyDescent="0.2">
      <c r="A19" s="5">
        <v>44713</v>
      </c>
      <c r="B19" s="5" t="s">
        <v>38</v>
      </c>
      <c r="C19" s="2">
        <v>333316601.37039334</v>
      </c>
      <c r="D19" s="2">
        <v>12118605.699546667</v>
      </c>
      <c r="E19" s="2">
        <v>300340364.89929336</v>
      </c>
      <c r="F19" s="2">
        <v>2560474.2558199996</v>
      </c>
      <c r="G19" s="2">
        <v>16652932.444286669</v>
      </c>
      <c r="H19" s="2">
        <v>6572895.1563600004</v>
      </c>
      <c r="I19" s="2">
        <v>263236.47696666664</v>
      </c>
      <c r="J19" s="2">
        <v>5867755.8235400002</v>
      </c>
      <c r="K19" s="2">
        <v>51467.186680000006</v>
      </c>
      <c r="L19" s="2">
        <v>351799.28827333334</v>
      </c>
      <c r="M19" s="3">
        <v>50.710799999999999</v>
      </c>
      <c r="N19" s="3">
        <v>46.036999999999999</v>
      </c>
      <c r="O19" s="3">
        <v>51.184899999999999</v>
      </c>
      <c r="P19" s="3">
        <v>49.749600000000001</v>
      </c>
      <c r="Q19" s="3">
        <v>47.336500000000001</v>
      </c>
      <c r="R19" s="4">
        <v>59.480280209999997</v>
      </c>
      <c r="S19" s="4">
        <v>0.58666225999999999</v>
      </c>
      <c r="T19" s="4">
        <v>59.260930389999999</v>
      </c>
      <c r="U19" s="4">
        <v>0.3692376</v>
      </c>
      <c r="V19" s="4">
        <v>1.96989861</v>
      </c>
      <c r="W19">
        <v>2799543</v>
      </c>
      <c r="X19">
        <v>18166</v>
      </c>
      <c r="Y19">
        <v>1261782</v>
      </c>
      <c r="Z19">
        <v>32960</v>
      </c>
      <c r="AA19">
        <v>0</v>
      </c>
      <c r="AB19">
        <v>0</v>
      </c>
      <c r="AC19">
        <v>0</v>
      </c>
      <c r="AD19">
        <v>0</v>
      </c>
      <c r="AE19" s="10">
        <v>13962.19</v>
      </c>
      <c r="AF19" s="3">
        <v>945600</v>
      </c>
      <c r="AG19">
        <v>0</v>
      </c>
      <c r="AH19">
        <v>0</v>
      </c>
      <c r="AI19" s="10">
        <v>10874.7</v>
      </c>
      <c r="AJ19" s="3">
        <v>1395991</v>
      </c>
      <c r="AK19" s="10">
        <v>75000</v>
      </c>
      <c r="AL19" s="3">
        <v>506292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0">
        <v>74999.960000000006</v>
      </c>
      <c r="AT19" s="3">
        <v>579639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 s="10">
        <v>200000</v>
      </c>
      <c r="BF19" s="3">
        <v>10951003</v>
      </c>
      <c r="BG19" s="10">
        <v>309607.96000000002</v>
      </c>
      <c r="BH19" s="3">
        <v>44873313</v>
      </c>
      <c r="BI19" s="10">
        <v>100000</v>
      </c>
      <c r="BJ19" s="3">
        <v>5398061</v>
      </c>
      <c r="BK19" s="10">
        <v>100000</v>
      </c>
      <c r="BL19" s="3">
        <v>3225741</v>
      </c>
      <c r="BM19">
        <v>0</v>
      </c>
      <c r="BN19">
        <v>0</v>
      </c>
      <c r="BO19">
        <v>0</v>
      </c>
      <c r="BP19">
        <v>0</v>
      </c>
      <c r="BQ19" s="10">
        <v>41439.160000000003</v>
      </c>
      <c r="BR19" s="3">
        <v>59490</v>
      </c>
      <c r="BS19">
        <v>0</v>
      </c>
      <c r="BT19">
        <v>0</v>
      </c>
      <c r="BU19" s="10">
        <v>70705.539999999994</v>
      </c>
      <c r="BV19" s="3">
        <v>564179</v>
      </c>
      <c r="BW19">
        <v>0</v>
      </c>
      <c r="BX19">
        <v>0</v>
      </c>
      <c r="BY19" s="10">
        <v>482615.81</v>
      </c>
      <c r="BZ19" s="3">
        <v>25132861</v>
      </c>
      <c r="CA19" s="10">
        <v>1509337.1</v>
      </c>
      <c r="CB19">
        <v>92.13</v>
      </c>
      <c r="CC19" s="10">
        <v>129680.24</v>
      </c>
      <c r="CD19">
        <v>78</v>
      </c>
      <c r="CE19">
        <v>0</v>
      </c>
      <c r="CF19">
        <v>0</v>
      </c>
      <c r="CG19">
        <v>0</v>
      </c>
      <c r="CH19" s="11">
        <v>18903</v>
      </c>
      <c r="CI19">
        <v>0</v>
      </c>
      <c r="CJ19">
        <v>440713.63487396733</v>
      </c>
      <c r="CK19">
        <v>4227798</v>
      </c>
      <c r="CL19">
        <v>745008</v>
      </c>
      <c r="CM19">
        <v>1.277109472</v>
      </c>
      <c r="CN19">
        <v>-7.8378908817222134E-2</v>
      </c>
    </row>
    <row r="20" spans="1:92" x14ac:dyDescent="0.2">
      <c r="A20" s="5">
        <v>44743</v>
      </c>
      <c r="B20" s="5" t="s">
        <v>38</v>
      </c>
      <c r="C20" s="2">
        <v>372567982.03151333</v>
      </c>
      <c r="D20" s="2">
        <v>8196999.8997733332</v>
      </c>
      <c r="E20" s="2">
        <v>343201125.53275329</v>
      </c>
      <c r="F20" s="2">
        <v>2759117.7218533331</v>
      </c>
      <c r="G20" s="2">
        <v>16549103.114253335</v>
      </c>
      <c r="H20" s="2">
        <v>7543346.9329666663</v>
      </c>
      <c r="I20" s="2">
        <v>173704.82749999998</v>
      </c>
      <c r="J20" s="2">
        <v>6919574.86546</v>
      </c>
      <c r="K20" s="2">
        <v>56660.57138666667</v>
      </c>
      <c r="L20" s="2">
        <v>351425.69568</v>
      </c>
      <c r="M20" s="3">
        <v>49.1907</v>
      </c>
      <c r="N20" s="3">
        <v>47.208399999999997</v>
      </c>
      <c r="O20" s="3">
        <v>49.381100000000004</v>
      </c>
      <c r="P20" s="3">
        <v>48.275100000000002</v>
      </c>
      <c r="Q20" s="3">
        <v>47.1098</v>
      </c>
      <c r="R20" s="4">
        <v>58.81972262</v>
      </c>
      <c r="S20" s="4">
        <v>0.53388374000000005</v>
      </c>
      <c r="T20" s="4">
        <v>58.653789320000001</v>
      </c>
      <c r="U20" s="4">
        <v>0.31462351999999999</v>
      </c>
      <c r="V20" s="4">
        <v>1.83892181</v>
      </c>
      <c r="W20">
        <v>2866794</v>
      </c>
      <c r="X20">
        <v>15274</v>
      </c>
      <c r="Y20">
        <v>1251181</v>
      </c>
      <c r="Z20">
        <v>60554</v>
      </c>
      <c r="AA20">
        <v>0</v>
      </c>
      <c r="AB20">
        <v>0</v>
      </c>
      <c r="AC20">
        <v>0</v>
      </c>
      <c r="AD20">
        <v>0</v>
      </c>
      <c r="AE20" s="10">
        <v>19137.919999999998</v>
      </c>
      <c r="AF20" s="3">
        <v>1735733</v>
      </c>
      <c r="AG20">
        <v>0</v>
      </c>
      <c r="AH20">
        <v>0</v>
      </c>
      <c r="AI20" s="10">
        <v>20689.64</v>
      </c>
      <c r="AJ20" s="3">
        <v>2593200</v>
      </c>
      <c r="AK20" s="10">
        <v>100000</v>
      </c>
      <c r="AL20" s="3">
        <v>684840</v>
      </c>
      <c r="AM20">
        <v>0</v>
      </c>
      <c r="AN20">
        <v>0</v>
      </c>
      <c r="AO20" s="10">
        <v>500000</v>
      </c>
      <c r="AP20" s="3">
        <v>200000</v>
      </c>
      <c r="AQ20">
        <v>0</v>
      </c>
      <c r="AR20">
        <v>0</v>
      </c>
      <c r="AS20" s="10">
        <v>100000</v>
      </c>
      <c r="AT20" s="3">
        <v>730290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s="10">
        <v>400000</v>
      </c>
      <c r="BF20" s="3">
        <v>30934645</v>
      </c>
      <c r="BG20" s="10">
        <v>891450.3</v>
      </c>
      <c r="BH20" s="3">
        <v>129197426</v>
      </c>
      <c r="BI20" s="10">
        <v>200000</v>
      </c>
      <c r="BJ20" s="3">
        <v>16491041</v>
      </c>
      <c r="BK20" s="10">
        <v>200000</v>
      </c>
      <c r="BL20" s="3">
        <v>8842397</v>
      </c>
      <c r="BM20">
        <v>0</v>
      </c>
      <c r="BN20">
        <v>0</v>
      </c>
      <c r="BO20">
        <v>0</v>
      </c>
      <c r="BP20">
        <v>0</v>
      </c>
      <c r="BQ20" s="10">
        <v>40717.71</v>
      </c>
      <c r="BR20" s="3">
        <v>58580</v>
      </c>
      <c r="BS20">
        <v>0</v>
      </c>
      <c r="BT20">
        <v>0</v>
      </c>
      <c r="BU20" s="10">
        <v>309294.46000000002</v>
      </c>
      <c r="BV20" s="3">
        <v>8396268</v>
      </c>
      <c r="BW20">
        <v>0</v>
      </c>
      <c r="BX20">
        <v>0</v>
      </c>
      <c r="BY20" s="10">
        <v>865984.1</v>
      </c>
      <c r="BZ20" s="3">
        <v>34952406</v>
      </c>
      <c r="CA20" s="10">
        <v>3018899.53</v>
      </c>
      <c r="CB20">
        <v>199.04</v>
      </c>
      <c r="CC20" s="10">
        <v>278292.47999999998</v>
      </c>
      <c r="CD20">
        <v>167</v>
      </c>
      <c r="CE20">
        <v>0</v>
      </c>
      <c r="CF20">
        <v>0</v>
      </c>
      <c r="CG20">
        <v>0</v>
      </c>
      <c r="CH20" s="11">
        <v>18903</v>
      </c>
      <c r="CI20">
        <v>0</v>
      </c>
      <c r="CJ20">
        <v>469787.94763204327</v>
      </c>
      <c r="CK20">
        <v>4506710</v>
      </c>
      <c r="CL20">
        <v>715629</v>
      </c>
      <c r="CM20">
        <v>1.021128491</v>
      </c>
      <c r="CN20">
        <v>-0.11085763055499032</v>
      </c>
    </row>
    <row r="21" spans="1:92" x14ac:dyDescent="0.2">
      <c r="A21" s="5">
        <v>44774</v>
      </c>
      <c r="B21" s="5" t="s">
        <v>38</v>
      </c>
      <c r="C21" s="2">
        <v>338885562.08371335</v>
      </c>
      <c r="D21" s="2">
        <v>5438874.464573334</v>
      </c>
      <c r="E21" s="2">
        <v>312614767.15265334</v>
      </c>
      <c r="F21" s="2">
        <v>2513318.077153333</v>
      </c>
      <c r="G21" s="2">
        <v>16677745.524753334</v>
      </c>
      <c r="H21" s="2">
        <v>6492356.3090666663</v>
      </c>
      <c r="I21" s="2">
        <v>115106.8495</v>
      </c>
      <c r="J21" s="2">
        <v>5940124.87256</v>
      </c>
      <c r="K21" s="2">
        <v>47899.11488666667</v>
      </c>
      <c r="L21" s="2">
        <v>352304.41047999996</v>
      </c>
      <c r="M21" s="3">
        <v>52.206699999999998</v>
      </c>
      <c r="N21" s="3">
        <v>47.284799999999997</v>
      </c>
      <c r="O21" s="3">
        <v>52.634</v>
      </c>
      <c r="P21" s="3">
        <v>52.242400000000004</v>
      </c>
      <c r="Q21" s="3">
        <v>47.3812</v>
      </c>
      <c r="R21" s="4">
        <v>59.021094720000001</v>
      </c>
      <c r="S21" s="4">
        <v>0.36577494999999999</v>
      </c>
      <c r="T21" s="4">
        <v>58.893841629999997</v>
      </c>
      <c r="U21" s="4">
        <v>0.27718377999999999</v>
      </c>
      <c r="V21" s="4">
        <v>2.1076441199999998</v>
      </c>
      <c r="W21">
        <v>3319663</v>
      </c>
      <c r="X21">
        <v>16538</v>
      </c>
      <c r="Y21">
        <v>667451</v>
      </c>
      <c r="Z21">
        <v>17053</v>
      </c>
      <c r="AA21">
        <v>0</v>
      </c>
      <c r="AB21">
        <v>0</v>
      </c>
      <c r="AC21">
        <v>0</v>
      </c>
      <c r="AD21">
        <v>0</v>
      </c>
      <c r="AE21" s="10">
        <v>12696.61</v>
      </c>
      <c r="AF21" s="3">
        <v>1250909</v>
      </c>
      <c r="AG21">
        <v>0</v>
      </c>
      <c r="AH21">
        <v>0</v>
      </c>
      <c r="AI21" s="10">
        <v>21922.44</v>
      </c>
      <c r="AJ21" s="3">
        <v>2740305</v>
      </c>
      <c r="AK21" s="10">
        <v>75000</v>
      </c>
      <c r="AL21" s="3">
        <v>512282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0">
        <v>75000</v>
      </c>
      <c r="AT21" s="3">
        <v>549278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 s="10">
        <v>200000</v>
      </c>
      <c r="BF21" s="3">
        <v>18645759</v>
      </c>
      <c r="BG21" s="10">
        <v>397953.87</v>
      </c>
      <c r="BH21" s="3">
        <v>57674401</v>
      </c>
      <c r="BI21" s="10">
        <v>100000</v>
      </c>
      <c r="BJ21" s="3">
        <v>9524722</v>
      </c>
      <c r="BK21" s="10">
        <v>100000</v>
      </c>
      <c r="BL21" s="3">
        <v>5214879</v>
      </c>
      <c r="BM21">
        <v>0</v>
      </c>
      <c r="BN21">
        <v>0</v>
      </c>
      <c r="BO21">
        <v>0</v>
      </c>
      <c r="BP21">
        <v>0</v>
      </c>
      <c r="BQ21" s="10">
        <v>41311.760000000002</v>
      </c>
      <c r="BR21" s="3">
        <v>51455</v>
      </c>
      <c r="BS21">
        <v>0</v>
      </c>
      <c r="BT21">
        <v>0</v>
      </c>
      <c r="BU21" s="10">
        <v>129999.71</v>
      </c>
      <c r="BV21" s="3">
        <v>2905237</v>
      </c>
      <c r="BW21">
        <v>0</v>
      </c>
      <c r="BX21">
        <v>0</v>
      </c>
      <c r="BY21" s="10">
        <v>485941.74</v>
      </c>
      <c r="BZ21" s="3">
        <v>12738714</v>
      </c>
      <c r="CA21" s="10">
        <v>1638958.79</v>
      </c>
      <c r="CB21">
        <v>95.09</v>
      </c>
      <c r="CC21" s="10">
        <v>141082.92000000001</v>
      </c>
      <c r="CD21">
        <v>85</v>
      </c>
      <c r="CE21">
        <v>0</v>
      </c>
      <c r="CF21">
        <v>0</v>
      </c>
      <c r="CG21">
        <v>0</v>
      </c>
      <c r="CH21" s="11">
        <v>18903</v>
      </c>
      <c r="CI21">
        <v>0</v>
      </c>
      <c r="CJ21">
        <v>503741.19759729918</v>
      </c>
      <c r="CK21">
        <v>4832426</v>
      </c>
      <c r="CL21">
        <v>7502</v>
      </c>
      <c r="CM21">
        <v>1.4312931</v>
      </c>
      <c r="CN21">
        <v>-5.2286816750363264E-2</v>
      </c>
    </row>
    <row r="22" spans="1:92" x14ac:dyDescent="0.2">
      <c r="A22" s="5">
        <v>44805</v>
      </c>
      <c r="B22" s="5" t="s">
        <v>38</v>
      </c>
      <c r="C22" s="2">
        <v>351389021.28347337</v>
      </c>
      <c r="D22" s="2">
        <v>4774468.4685533335</v>
      </c>
      <c r="E22" s="2">
        <v>323937673.58619332</v>
      </c>
      <c r="F22" s="2">
        <v>2345939.285993333</v>
      </c>
      <c r="G22" s="2">
        <v>18792239.894393332</v>
      </c>
      <c r="H22" s="2">
        <v>6745459.1641666666</v>
      </c>
      <c r="I22" s="2">
        <v>102052.34910000001</v>
      </c>
      <c r="J22" s="2">
        <v>6163844.17038</v>
      </c>
      <c r="K22" s="2">
        <v>42179.222626666669</v>
      </c>
      <c r="L22" s="2">
        <v>400696.69484000001</v>
      </c>
      <c r="M22" s="3">
        <v>52.092700000000001</v>
      </c>
      <c r="N22" s="3">
        <v>46.784500000000001</v>
      </c>
      <c r="O22" s="3">
        <v>52.554499999999997</v>
      </c>
      <c r="P22" s="3">
        <v>55.618400000000001</v>
      </c>
      <c r="Q22" s="3">
        <v>46.898899999999998</v>
      </c>
      <c r="R22" s="4">
        <v>58.59074107</v>
      </c>
      <c r="S22" s="4">
        <v>0.33299202999999999</v>
      </c>
      <c r="T22" s="4">
        <v>58.490993060000001</v>
      </c>
      <c r="U22" s="4">
        <v>0.28734688000000003</v>
      </c>
      <c r="V22" s="4">
        <v>2.39774982</v>
      </c>
      <c r="W22">
        <v>3235169</v>
      </c>
      <c r="X22">
        <v>14255</v>
      </c>
      <c r="Y22">
        <v>838663</v>
      </c>
      <c r="Z22">
        <v>19716</v>
      </c>
      <c r="AA22">
        <v>0</v>
      </c>
      <c r="AB22">
        <v>0</v>
      </c>
      <c r="AC22">
        <v>0</v>
      </c>
      <c r="AD22">
        <v>0</v>
      </c>
      <c r="AE22" s="10">
        <v>10691.61</v>
      </c>
      <c r="AF22" s="3">
        <v>967312</v>
      </c>
      <c r="AG22">
        <v>0</v>
      </c>
      <c r="AH22">
        <v>0</v>
      </c>
      <c r="AI22" s="10">
        <v>20150.95</v>
      </c>
      <c r="AJ22" s="3">
        <v>2518868.75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 s="10">
        <v>41802.99</v>
      </c>
      <c r="BR22" s="3">
        <v>49535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 s="11">
        <v>18903</v>
      </c>
      <c r="CI22">
        <v>0</v>
      </c>
      <c r="CJ22">
        <v>423316.28964161326</v>
      </c>
      <c r="CK22">
        <v>4060904</v>
      </c>
      <c r="CL22" s="9">
        <v>0</v>
      </c>
      <c r="CM22">
        <v>1.077090887</v>
      </c>
      <c r="CN22">
        <v>-5.3718271666735748E-2</v>
      </c>
    </row>
    <row r="23" spans="1:92" x14ac:dyDescent="0.2">
      <c r="A23" s="5">
        <v>44835</v>
      </c>
      <c r="B23" s="5" t="s">
        <v>38</v>
      </c>
      <c r="C23" s="2">
        <v>366558871.77248001</v>
      </c>
      <c r="D23" s="2">
        <v>4993210.2353999997</v>
      </c>
      <c r="E23" s="2">
        <v>337954985.45109332</v>
      </c>
      <c r="F23" s="2">
        <v>2427690.9099400002</v>
      </c>
      <c r="G23" s="2">
        <v>19518972.124979999</v>
      </c>
      <c r="H23" s="2">
        <v>6894159.8284933334</v>
      </c>
      <c r="I23" s="2">
        <v>106647.43499333333</v>
      </c>
      <c r="J23" s="2">
        <v>6301607.0502333334</v>
      </c>
      <c r="K23" s="2">
        <v>43264.588146666669</v>
      </c>
      <c r="L23" s="2">
        <v>406335.21565333335</v>
      </c>
      <c r="M23" s="3">
        <v>52.9709</v>
      </c>
      <c r="N23" s="3">
        <v>46.470399999999998</v>
      </c>
      <c r="O23" s="3">
        <v>53.414099999999998</v>
      </c>
      <c r="P23" s="3">
        <v>56.118099999999998</v>
      </c>
      <c r="Q23" s="3">
        <v>48.022300000000001</v>
      </c>
      <c r="R23" s="4">
        <v>59.0595456</v>
      </c>
      <c r="S23" s="4">
        <v>0.31703905999999998</v>
      </c>
      <c r="T23" s="4">
        <v>58.809290730000001</v>
      </c>
      <c r="U23" s="4">
        <v>0.29203107</v>
      </c>
      <c r="V23" s="4">
        <v>2.3379242200000001</v>
      </c>
      <c r="W23">
        <v>3064028</v>
      </c>
      <c r="X23">
        <v>13172</v>
      </c>
      <c r="Y23">
        <v>1455525</v>
      </c>
      <c r="Z23">
        <v>52856</v>
      </c>
      <c r="AA23">
        <v>0</v>
      </c>
      <c r="AB23">
        <v>0</v>
      </c>
      <c r="AC23">
        <v>0</v>
      </c>
      <c r="AD23">
        <v>0</v>
      </c>
      <c r="AE23" s="10">
        <v>15446.15</v>
      </c>
      <c r="AF23" s="3">
        <v>1427324</v>
      </c>
      <c r="AG23">
        <v>0</v>
      </c>
      <c r="AH23">
        <v>0</v>
      </c>
      <c r="AI23" s="10">
        <v>10751.08</v>
      </c>
      <c r="AJ23" s="3">
        <v>1343885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 s="10">
        <v>171429</v>
      </c>
      <c r="BF23" s="3">
        <v>11730933</v>
      </c>
      <c r="BG23" s="10">
        <v>593549.55000000005</v>
      </c>
      <c r="BH23" s="3">
        <v>70035254</v>
      </c>
      <c r="BI23" s="10">
        <v>41667</v>
      </c>
      <c r="BJ23" s="3">
        <v>2004462</v>
      </c>
      <c r="BK23" s="10">
        <v>70000</v>
      </c>
      <c r="BL23" s="3">
        <v>3615278</v>
      </c>
      <c r="BM23">
        <v>0</v>
      </c>
      <c r="BN23">
        <v>0</v>
      </c>
      <c r="BO23">
        <v>0</v>
      </c>
      <c r="BP23">
        <v>0</v>
      </c>
      <c r="BQ23" s="10">
        <v>41313.800000000003</v>
      </c>
      <c r="BR23" s="3">
        <v>50782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s="10">
        <v>706095.79</v>
      </c>
      <c r="BZ23" s="3">
        <v>35186665</v>
      </c>
      <c r="CA23" s="10">
        <v>2058606.1</v>
      </c>
      <c r="CB23">
        <v>124.61</v>
      </c>
      <c r="CC23" s="10">
        <v>104280.1</v>
      </c>
      <c r="CD23">
        <v>63</v>
      </c>
      <c r="CE23">
        <v>0</v>
      </c>
      <c r="CF23">
        <v>0</v>
      </c>
      <c r="CG23">
        <v>0</v>
      </c>
      <c r="CH23" s="11">
        <v>18903</v>
      </c>
      <c r="CI23">
        <v>0</v>
      </c>
      <c r="CJ23">
        <v>456935.44436396239</v>
      </c>
      <c r="CK23">
        <v>4383415</v>
      </c>
      <c r="CL23">
        <v>692</v>
      </c>
      <c r="CM23">
        <v>1.034504063</v>
      </c>
      <c r="CN23">
        <v>0</v>
      </c>
    </row>
    <row r="24" spans="1:92" x14ac:dyDescent="0.2">
      <c r="A24" s="5">
        <v>44866</v>
      </c>
      <c r="B24" s="5" t="s">
        <v>38</v>
      </c>
      <c r="C24" s="2">
        <v>390427270.79298002</v>
      </c>
      <c r="D24" s="2">
        <v>5983540.3247999996</v>
      </c>
      <c r="E24" s="2">
        <v>358384745.16719329</v>
      </c>
      <c r="F24" s="2">
        <v>2641053.1037399997</v>
      </c>
      <c r="G24" s="2">
        <v>21954895.835779998</v>
      </c>
      <c r="H24" s="2">
        <v>7146912.942793333</v>
      </c>
      <c r="I24" s="2">
        <v>125829.49249333334</v>
      </c>
      <c r="J24" s="2">
        <v>6490440.3158333329</v>
      </c>
      <c r="K24" s="2">
        <v>47103.818646666667</v>
      </c>
      <c r="L24" s="2">
        <v>450862.70305333333</v>
      </c>
      <c r="M24" s="3">
        <v>54.5976</v>
      </c>
      <c r="N24" s="3">
        <v>47.3568</v>
      </c>
      <c r="O24" s="3">
        <v>55.182200000000002</v>
      </c>
      <c r="P24" s="3">
        <v>56.069299999999998</v>
      </c>
      <c r="Q24" s="3">
        <v>48.750300000000003</v>
      </c>
      <c r="R24" s="4">
        <v>60.635161500000002</v>
      </c>
      <c r="S24" s="4">
        <v>0.31301440000000003</v>
      </c>
      <c r="T24" s="4">
        <v>60.482862220000001</v>
      </c>
      <c r="U24" s="4">
        <v>0.26266538</v>
      </c>
      <c r="V24" s="4">
        <v>2.49843766</v>
      </c>
      <c r="W24">
        <v>3042989</v>
      </c>
      <c r="X24">
        <v>15013</v>
      </c>
      <c r="Y24">
        <v>647054</v>
      </c>
      <c r="Z24">
        <v>13923</v>
      </c>
      <c r="AA24">
        <v>0</v>
      </c>
      <c r="AB24">
        <v>0</v>
      </c>
      <c r="AC24">
        <v>0</v>
      </c>
      <c r="AD24">
        <v>0</v>
      </c>
      <c r="AE24" s="10">
        <v>36375.269999999997</v>
      </c>
      <c r="AF24" s="3">
        <v>2688403</v>
      </c>
      <c r="AG24">
        <v>0</v>
      </c>
      <c r="AH24">
        <v>0</v>
      </c>
      <c r="AI24" s="10">
        <v>33126.300000000003</v>
      </c>
      <c r="AJ24" s="3">
        <v>4140787.5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 s="10">
        <v>342857</v>
      </c>
      <c r="BF24" s="3">
        <v>22971132</v>
      </c>
      <c r="BG24" s="10">
        <v>899872.36</v>
      </c>
      <c r="BH24" s="3">
        <v>106119316</v>
      </c>
      <c r="BI24" s="10">
        <v>166667</v>
      </c>
      <c r="BJ24" s="3">
        <v>12964913</v>
      </c>
      <c r="BK24" s="10">
        <v>280000</v>
      </c>
      <c r="BL24" s="3">
        <v>12411764</v>
      </c>
      <c r="BM24">
        <v>0</v>
      </c>
      <c r="BN24">
        <v>0</v>
      </c>
      <c r="BO24">
        <v>0</v>
      </c>
      <c r="BP24">
        <v>0</v>
      </c>
      <c r="BQ24" s="10">
        <v>43168.66</v>
      </c>
      <c r="BR24" s="3">
        <v>51934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 s="10">
        <v>1990591.65</v>
      </c>
      <c r="BZ24" s="3">
        <v>116541852</v>
      </c>
      <c r="CA24" s="10">
        <v>3329873.27</v>
      </c>
      <c r="CB24">
        <v>176.81</v>
      </c>
      <c r="CC24" s="10">
        <v>138792.32000000001</v>
      </c>
      <c r="CD24">
        <v>83</v>
      </c>
      <c r="CE24">
        <v>0</v>
      </c>
      <c r="CF24">
        <v>0</v>
      </c>
      <c r="CG24">
        <v>0</v>
      </c>
      <c r="CH24" s="11">
        <v>18903</v>
      </c>
      <c r="CI24">
        <v>0</v>
      </c>
      <c r="CJ24">
        <v>494291.87916390778</v>
      </c>
      <c r="CK24">
        <v>4741778</v>
      </c>
      <c r="CL24">
        <v>1665</v>
      </c>
      <c r="CM24">
        <v>0.64666496299999998</v>
      </c>
      <c r="CN24">
        <v>0</v>
      </c>
    </row>
    <row r="25" spans="1:92" x14ac:dyDescent="0.2">
      <c r="A25" s="5">
        <v>44896</v>
      </c>
      <c r="B25" s="5" t="s">
        <v>38</v>
      </c>
      <c r="C25" s="2">
        <v>502938824.50474006</v>
      </c>
      <c r="D25" s="2">
        <v>9071863.5396999996</v>
      </c>
      <c r="E25" s="2">
        <v>462365913.53931338</v>
      </c>
      <c r="F25" s="2">
        <v>3134642.45432</v>
      </c>
      <c r="G25" s="2">
        <v>26351230.94734</v>
      </c>
      <c r="H25" s="2">
        <v>9158590.9466133341</v>
      </c>
      <c r="I25" s="2">
        <v>184794.58261333333</v>
      </c>
      <c r="J25" s="2">
        <v>8325232.3288333332</v>
      </c>
      <c r="K25" s="2">
        <v>55912.331106666665</v>
      </c>
      <c r="L25" s="2">
        <v>547151.51859333331</v>
      </c>
      <c r="M25" s="3">
        <v>54.914400000000001</v>
      </c>
      <c r="N25" s="3">
        <v>49.0916</v>
      </c>
      <c r="O25" s="3">
        <v>55.5379</v>
      </c>
      <c r="P25" s="3">
        <v>56.063499999999998</v>
      </c>
      <c r="Q25" s="3">
        <v>48.160800000000002</v>
      </c>
      <c r="R25" s="4">
        <v>62.872832299999999</v>
      </c>
      <c r="S25" s="4">
        <v>0.31624293999999997</v>
      </c>
      <c r="T25" s="4">
        <v>62.752362859999998</v>
      </c>
      <c r="U25" s="4">
        <v>0.25192056000000002</v>
      </c>
      <c r="V25" s="4">
        <v>2.0556878699999999</v>
      </c>
      <c r="W25">
        <v>1615694</v>
      </c>
      <c r="X25">
        <v>9511</v>
      </c>
      <c r="Y25">
        <v>393794</v>
      </c>
      <c r="Z25">
        <v>9607</v>
      </c>
      <c r="AA25">
        <v>0</v>
      </c>
      <c r="AB25">
        <v>0</v>
      </c>
      <c r="AC25">
        <v>0</v>
      </c>
      <c r="AD25">
        <v>0</v>
      </c>
      <c r="AE25" s="10">
        <v>20855.3</v>
      </c>
      <c r="AF25" s="3">
        <v>2371558</v>
      </c>
      <c r="AG25">
        <v>0</v>
      </c>
      <c r="AH25">
        <v>0</v>
      </c>
      <c r="AI25" s="10">
        <v>32830.620000000003</v>
      </c>
      <c r="AJ25" s="3">
        <v>4103827.5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 s="10">
        <v>85714</v>
      </c>
      <c r="BF25" s="3">
        <v>7842200</v>
      </c>
      <c r="BG25" s="10">
        <v>190758.98</v>
      </c>
      <c r="BH25" s="3">
        <v>24182810</v>
      </c>
      <c r="BI25" s="10">
        <v>41666</v>
      </c>
      <c r="BJ25" s="3">
        <v>5453812</v>
      </c>
      <c r="BK25" s="10">
        <v>74980.55</v>
      </c>
      <c r="BL25" s="3">
        <v>3916155</v>
      </c>
      <c r="BM25">
        <v>0</v>
      </c>
      <c r="BN25">
        <v>0</v>
      </c>
      <c r="BO25">
        <v>0</v>
      </c>
      <c r="BP25">
        <v>0</v>
      </c>
      <c r="BQ25" s="10">
        <v>42775.79</v>
      </c>
      <c r="BR25" s="3">
        <v>56793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s="10">
        <v>891968.33</v>
      </c>
      <c r="BZ25" s="3">
        <v>41709632</v>
      </c>
      <c r="CA25" s="10">
        <v>587689.29</v>
      </c>
      <c r="CB25">
        <v>27.16</v>
      </c>
      <c r="CC25" s="10">
        <v>35355.199999999997</v>
      </c>
      <c r="CD25">
        <v>21</v>
      </c>
      <c r="CE25">
        <v>0</v>
      </c>
      <c r="CF25">
        <v>0</v>
      </c>
      <c r="CG25">
        <v>0</v>
      </c>
      <c r="CH25" s="11">
        <v>18903</v>
      </c>
      <c r="CI25">
        <v>0</v>
      </c>
      <c r="CJ25">
        <v>755613.25578234519</v>
      </c>
      <c r="CK25">
        <v>7248653</v>
      </c>
      <c r="CL25">
        <v>1554733</v>
      </c>
      <c r="CM25">
        <v>0.88832065500000001</v>
      </c>
      <c r="CN25">
        <v>0</v>
      </c>
    </row>
    <row r="26" spans="1:92" x14ac:dyDescent="0.2">
      <c r="A26" s="5">
        <v>44927</v>
      </c>
      <c r="B26" s="5" t="s">
        <v>39</v>
      </c>
      <c r="C26" s="2">
        <v>397654390.25901335</v>
      </c>
      <c r="D26" s="2">
        <v>6957619.7152866675</v>
      </c>
      <c r="E26" s="2">
        <v>363945124.07615334</v>
      </c>
      <c r="F26" s="2">
        <v>2545279.2202733331</v>
      </c>
      <c r="G26" s="2">
        <v>22328977.321453333</v>
      </c>
      <c r="H26" s="2">
        <v>7150879.2049000002</v>
      </c>
      <c r="I26" s="2">
        <v>138925.90226666667</v>
      </c>
      <c r="J26" s="2">
        <v>6471310.1542533338</v>
      </c>
      <c r="K26" s="2">
        <v>44285.461686666669</v>
      </c>
      <c r="L26" s="2">
        <v>455285.58899333334</v>
      </c>
      <c r="M26" s="3">
        <v>55.618400000000001</v>
      </c>
      <c r="N26" s="3">
        <v>50.067100000000003</v>
      </c>
      <c r="O26" s="3">
        <v>56.244300000000003</v>
      </c>
      <c r="P26" s="3">
        <v>57.184600000000003</v>
      </c>
      <c r="Q26" s="3">
        <v>49.018999999999998</v>
      </c>
      <c r="R26" s="4">
        <v>62.056773470000003</v>
      </c>
      <c r="S26" s="4">
        <v>0.33906246000000001</v>
      </c>
      <c r="T26" s="4">
        <v>61.905035009999999</v>
      </c>
      <c r="U26" s="4">
        <v>0.25130175999999999</v>
      </c>
      <c r="V26" s="4">
        <v>2.1655336900000002</v>
      </c>
      <c r="W26">
        <v>3944621</v>
      </c>
      <c r="X26">
        <v>19240</v>
      </c>
      <c r="Y26">
        <v>880993</v>
      </c>
      <c r="Z26">
        <v>21044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 s="10">
        <v>48099.82</v>
      </c>
      <c r="BR26" s="3">
        <v>51934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 s="11">
        <v>18903</v>
      </c>
      <c r="CI26">
        <v>0</v>
      </c>
      <c r="CJ26">
        <v>735187.78801919532</v>
      </c>
      <c r="CK26">
        <v>7052710</v>
      </c>
      <c r="CL26">
        <v>1573568</v>
      </c>
      <c r="CM26">
        <v>1.246949313</v>
      </c>
      <c r="CN26">
        <v>-5.2291832707922974E-2</v>
      </c>
    </row>
    <row r="27" spans="1:92" x14ac:dyDescent="0.2">
      <c r="A27" s="5">
        <v>44958</v>
      </c>
      <c r="B27" s="5" t="s">
        <v>39</v>
      </c>
      <c r="C27" s="2">
        <v>401123907.20811337</v>
      </c>
      <c r="D27" s="2">
        <v>9221817.688186666</v>
      </c>
      <c r="E27" s="2">
        <v>363690004.77745336</v>
      </c>
      <c r="F27" s="2">
        <v>2478177.5748733333</v>
      </c>
      <c r="G27" s="2">
        <v>23770489.701553334</v>
      </c>
      <c r="H27" s="2">
        <v>7247461.3733000001</v>
      </c>
      <c r="I27" s="2">
        <v>185806.96166666664</v>
      </c>
      <c r="J27" s="2">
        <v>6487829.8855533339</v>
      </c>
      <c r="K27" s="2">
        <v>40303.318886666668</v>
      </c>
      <c r="L27" s="2">
        <v>488929.82999333332</v>
      </c>
      <c r="M27" s="3">
        <v>55.334699999999998</v>
      </c>
      <c r="N27" s="3">
        <v>49.577399999999997</v>
      </c>
      <c r="O27" s="3">
        <v>56.0471</v>
      </c>
      <c r="P27" s="3">
        <v>61.491900000000001</v>
      </c>
      <c r="Q27" s="3">
        <v>48.560200000000002</v>
      </c>
      <c r="R27" s="4">
        <v>62.157053779999998</v>
      </c>
      <c r="S27" s="4">
        <v>0.38792807000000001</v>
      </c>
      <c r="T27" s="4">
        <v>61.922446440000002</v>
      </c>
      <c r="U27" s="4">
        <v>0.32740935999999998</v>
      </c>
      <c r="V27" s="4">
        <v>2.5408516900000002</v>
      </c>
      <c r="W27">
        <v>3217113</v>
      </c>
      <c r="X27">
        <v>21962</v>
      </c>
      <c r="Y27">
        <v>629190</v>
      </c>
      <c r="Z27">
        <v>15767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 s="10">
        <v>50306.8</v>
      </c>
      <c r="BR27" s="3">
        <v>60230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 s="11">
        <v>18903</v>
      </c>
      <c r="CI27">
        <v>0</v>
      </c>
      <c r="CJ27">
        <v>613309.00947169529</v>
      </c>
      <c r="CK27">
        <v>5883518</v>
      </c>
      <c r="CL27">
        <v>1649084</v>
      </c>
      <c r="CM27">
        <v>0.67930745599999998</v>
      </c>
      <c r="CN27">
        <v>-5.5614623650116227E-2</v>
      </c>
    </row>
    <row r="28" spans="1:92" x14ac:dyDescent="0.2">
      <c r="A28" s="5">
        <v>44986</v>
      </c>
      <c r="B28" s="5" t="s">
        <v>39</v>
      </c>
      <c r="C28" s="2">
        <v>390680344.96547335</v>
      </c>
      <c r="D28" s="2">
        <v>10647090.950426666</v>
      </c>
      <c r="E28" s="2">
        <v>352185905.36029339</v>
      </c>
      <c r="F28" s="2">
        <v>2407740.6804533331</v>
      </c>
      <c r="G28" s="2">
        <v>23248600.227493331</v>
      </c>
      <c r="H28" s="2">
        <v>7039682.0728000002</v>
      </c>
      <c r="I28" s="2">
        <v>212137.25736666666</v>
      </c>
      <c r="J28" s="2">
        <v>6268444.3113933336</v>
      </c>
      <c r="K28" s="2">
        <v>39187.322026666669</v>
      </c>
      <c r="L28" s="2">
        <v>471275.38111333334</v>
      </c>
      <c r="M28" s="3">
        <v>55.496899999999997</v>
      </c>
      <c r="N28" s="3">
        <v>50.189599999999999</v>
      </c>
      <c r="O28" s="3">
        <v>56.183900000000001</v>
      </c>
      <c r="P28" s="3">
        <v>61.441800000000001</v>
      </c>
      <c r="Q28" s="3">
        <v>49.331200000000003</v>
      </c>
      <c r="R28" s="4">
        <v>62.232941519999997</v>
      </c>
      <c r="S28" s="4">
        <v>0.43110549999999997</v>
      </c>
      <c r="T28" s="4">
        <v>61.7722251</v>
      </c>
      <c r="U28" s="4">
        <v>0.37596858999999999</v>
      </c>
      <c r="V28" s="4">
        <v>2.5026930200000002</v>
      </c>
      <c r="W28">
        <v>106430120</v>
      </c>
      <c r="X28">
        <v>1517059</v>
      </c>
      <c r="Y28">
        <v>2229350</v>
      </c>
      <c r="Z28">
        <v>59698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0">
        <v>100000</v>
      </c>
      <c r="AT28" s="3">
        <v>1179346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s="10">
        <v>95523.62</v>
      </c>
      <c r="BD28" s="3">
        <v>27939020</v>
      </c>
      <c r="BE28" s="10">
        <v>165584.57999999999</v>
      </c>
      <c r="BF28" s="3">
        <v>14674035</v>
      </c>
      <c r="BG28" s="10">
        <v>419928.39</v>
      </c>
      <c r="BH28" s="3">
        <v>53223895</v>
      </c>
      <c r="BI28" s="10">
        <v>33059.39</v>
      </c>
      <c r="BJ28" s="3">
        <v>3733396</v>
      </c>
      <c r="BK28" s="10">
        <v>67005.75</v>
      </c>
      <c r="BL28" s="3">
        <v>4256687</v>
      </c>
      <c r="BM28">
        <v>0</v>
      </c>
      <c r="BN28">
        <v>0</v>
      </c>
      <c r="BO28">
        <v>0</v>
      </c>
      <c r="BP28">
        <v>0</v>
      </c>
      <c r="BQ28" s="10">
        <v>51305.72</v>
      </c>
      <c r="BR28" s="3">
        <v>63853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s="10">
        <v>602675.73</v>
      </c>
      <c r="BZ28" s="3">
        <v>28063527</v>
      </c>
      <c r="CA28" s="10">
        <v>2171042.62</v>
      </c>
      <c r="CB28">
        <v>125.94</v>
      </c>
      <c r="CC28" s="10">
        <v>516284.61</v>
      </c>
      <c r="CD28">
        <v>310</v>
      </c>
      <c r="CE28">
        <v>8.42</v>
      </c>
      <c r="CF28">
        <v>47</v>
      </c>
      <c r="CG28">
        <v>30</v>
      </c>
      <c r="CH28" s="11">
        <v>18903</v>
      </c>
      <c r="CI28">
        <v>0</v>
      </c>
      <c r="CJ28">
        <v>504858.91729211796</v>
      </c>
      <c r="CK28">
        <v>4957923.0270137237</v>
      </c>
      <c r="CL28">
        <v>1525232</v>
      </c>
      <c r="CM28">
        <v>0.52699480700000001</v>
      </c>
      <c r="CN28">
        <v>-5.330956380786453E-2</v>
      </c>
    </row>
    <row r="29" spans="1:92" x14ac:dyDescent="0.2">
      <c r="A29" s="5">
        <v>45017</v>
      </c>
      <c r="B29" s="5" t="s">
        <v>39</v>
      </c>
      <c r="C29" s="2">
        <v>380077174.34490001</v>
      </c>
      <c r="D29" s="2">
        <v>10825192.398840001</v>
      </c>
      <c r="E29" s="2">
        <v>340573678.16213334</v>
      </c>
      <c r="F29" s="2">
        <v>2389141.2398533337</v>
      </c>
      <c r="G29" s="2">
        <v>24082476.089873336</v>
      </c>
      <c r="H29" s="2">
        <v>6726709.835293334</v>
      </c>
      <c r="I29" s="2">
        <v>209054.19958666665</v>
      </c>
      <c r="J29" s="2">
        <v>5956267.1183799999</v>
      </c>
      <c r="K29" s="2">
        <v>38673.587826666662</v>
      </c>
      <c r="L29" s="2">
        <v>475100.11624</v>
      </c>
      <c r="M29" s="3">
        <v>56.538200000000003</v>
      </c>
      <c r="N29" s="3">
        <v>51.782699999999998</v>
      </c>
      <c r="O29" s="3">
        <v>57.225999999999999</v>
      </c>
      <c r="P29" s="3">
        <v>61.743899999999996</v>
      </c>
      <c r="Q29" s="3">
        <v>50.693800000000003</v>
      </c>
      <c r="R29" s="4">
        <v>60.59198567</v>
      </c>
      <c r="S29" s="4">
        <v>0.42909895999999997</v>
      </c>
      <c r="T29" s="4">
        <v>60.286677609999998</v>
      </c>
      <c r="U29" s="4">
        <v>0.35822292999999999</v>
      </c>
      <c r="V29" s="4">
        <v>2.3422518299999999</v>
      </c>
      <c r="W29">
        <v>1738648</v>
      </c>
      <c r="X29">
        <v>11253</v>
      </c>
      <c r="Y29">
        <v>1153587</v>
      </c>
      <c r="Z29">
        <v>28621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0">
        <v>100000</v>
      </c>
      <c r="AT29" s="3">
        <v>1144805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s="10">
        <v>83731.92</v>
      </c>
      <c r="BD29" s="3">
        <v>18482526</v>
      </c>
      <c r="BE29" s="10">
        <v>234277.64</v>
      </c>
      <c r="BF29" s="3">
        <v>21974043</v>
      </c>
      <c r="BG29" s="10">
        <v>238098.45</v>
      </c>
      <c r="BH29" s="3">
        <v>30177323</v>
      </c>
      <c r="BI29" s="10">
        <v>86930.33</v>
      </c>
      <c r="BJ29" s="3">
        <v>14545931</v>
      </c>
      <c r="BK29" s="10">
        <v>179731.54</v>
      </c>
      <c r="BL29" s="3">
        <v>11532376</v>
      </c>
      <c r="BM29">
        <v>0</v>
      </c>
      <c r="BN29">
        <v>0</v>
      </c>
      <c r="BO29">
        <v>0</v>
      </c>
      <c r="BP29">
        <v>0</v>
      </c>
      <c r="BQ29" s="10">
        <v>54837.32</v>
      </c>
      <c r="BR29" s="3">
        <v>57863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s="10">
        <v>646467.31999999995</v>
      </c>
      <c r="BZ29" s="3">
        <v>46407261</v>
      </c>
      <c r="CA29" s="10">
        <v>1267923.56</v>
      </c>
      <c r="CB29">
        <v>79.81</v>
      </c>
      <c r="CC29" s="10">
        <v>206715.85</v>
      </c>
      <c r="CD29">
        <v>124</v>
      </c>
      <c r="CE29">
        <v>8.42</v>
      </c>
      <c r="CF29">
        <v>47</v>
      </c>
      <c r="CG29">
        <v>30</v>
      </c>
      <c r="CH29" s="11">
        <v>18903</v>
      </c>
      <c r="CI29">
        <v>0</v>
      </c>
      <c r="CJ29">
        <v>573850.71510952699</v>
      </c>
      <c r="CK29">
        <v>3804607.1703337901</v>
      </c>
      <c r="CL29">
        <v>906958</v>
      </c>
      <c r="CM29">
        <v>0.53383820100000001</v>
      </c>
      <c r="CN29">
        <v>0</v>
      </c>
    </row>
    <row r="30" spans="1:92" x14ac:dyDescent="0.2">
      <c r="A30" s="5">
        <v>45047</v>
      </c>
      <c r="B30" s="5" t="s">
        <v>39</v>
      </c>
      <c r="C30" s="2">
        <v>384380667.06720001</v>
      </c>
      <c r="D30" s="2">
        <v>12171890.018240001</v>
      </c>
      <c r="E30" s="2">
        <v>344415613.59213334</v>
      </c>
      <c r="F30" s="2">
        <v>2558172.7199533335</v>
      </c>
      <c r="G30" s="2">
        <v>22886919.339373335</v>
      </c>
      <c r="H30" s="2">
        <v>6650182.8557933336</v>
      </c>
      <c r="I30" s="2">
        <v>237260.24988666666</v>
      </c>
      <c r="J30" s="2">
        <v>5881300.26688</v>
      </c>
      <c r="K30" s="2">
        <v>41379.781826666665</v>
      </c>
      <c r="L30" s="2">
        <v>440444.91753999999</v>
      </c>
      <c r="M30" s="3">
        <v>57.948799999999999</v>
      </c>
      <c r="N30" s="3">
        <v>51.260399999999997</v>
      </c>
      <c r="O30" s="3">
        <v>58.73</v>
      </c>
      <c r="P30" s="3">
        <v>61.794899999999998</v>
      </c>
      <c r="Q30" s="3">
        <v>52.069899999999997</v>
      </c>
      <c r="R30" s="4">
        <v>60.408544079999999</v>
      </c>
      <c r="S30" s="4">
        <v>0.54508069000000003</v>
      </c>
      <c r="T30" s="4">
        <v>60.199827929999998</v>
      </c>
      <c r="U30" s="4">
        <v>0.38465785000000002</v>
      </c>
      <c r="V30" s="4">
        <v>2.3209506700000002</v>
      </c>
      <c r="W30">
        <v>3043292</v>
      </c>
      <c r="X30">
        <v>2243759</v>
      </c>
      <c r="Y30">
        <v>1197823</v>
      </c>
      <c r="Z30">
        <v>28041</v>
      </c>
      <c r="AA30">
        <v>22145</v>
      </c>
      <c r="AB30">
        <v>1008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s="10">
        <v>200000</v>
      </c>
      <c r="AX30" s="3">
        <v>1333333.33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s="10">
        <v>450000</v>
      </c>
      <c r="BF30" s="3">
        <v>34532556</v>
      </c>
      <c r="BG30" s="10">
        <v>887360.73</v>
      </c>
      <c r="BH30" s="3">
        <v>39039707</v>
      </c>
      <c r="BI30" s="10">
        <v>71991.39</v>
      </c>
      <c r="BJ30" s="12">
        <v>12038693.979933111</v>
      </c>
      <c r="BK30" s="10">
        <v>237000</v>
      </c>
      <c r="BL30" s="12">
        <v>39632107.023411363</v>
      </c>
      <c r="BM30">
        <v>0</v>
      </c>
      <c r="BN30">
        <v>0</v>
      </c>
      <c r="BO30">
        <v>0</v>
      </c>
      <c r="BP30">
        <v>0</v>
      </c>
      <c r="BQ30" s="10">
        <v>51766.04</v>
      </c>
      <c r="BR30">
        <v>54365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s="10">
        <v>1019145.78</v>
      </c>
      <c r="BZ30" s="3">
        <v>101288819</v>
      </c>
      <c r="CA30" s="10">
        <v>2820698.13</v>
      </c>
      <c r="CB30">
        <v>182.77</v>
      </c>
      <c r="CC30" s="10">
        <v>507125.41</v>
      </c>
      <c r="CD30">
        <v>305</v>
      </c>
      <c r="CE30">
        <v>0</v>
      </c>
      <c r="CF30">
        <v>0</v>
      </c>
      <c r="CG30">
        <v>0</v>
      </c>
      <c r="CH30" s="11">
        <v>1370447</v>
      </c>
      <c r="CI30">
        <v>0</v>
      </c>
      <c r="CJ30">
        <v>443420.39360848046</v>
      </c>
      <c r="CK30">
        <v>4134150.9936387162</v>
      </c>
      <c r="CL30">
        <v>1271784</v>
      </c>
      <c r="CM30">
        <v>0.52195040299999995</v>
      </c>
      <c r="CN30">
        <v>0</v>
      </c>
    </row>
    <row r="31" spans="1:92" x14ac:dyDescent="0.2">
      <c r="A31" s="5">
        <v>45078</v>
      </c>
      <c r="B31" s="5" t="s">
        <v>39</v>
      </c>
      <c r="C31" s="2">
        <v>388003967.59280002</v>
      </c>
      <c r="D31" s="2">
        <v>12935173.888520001</v>
      </c>
      <c r="E31" s="2">
        <v>349299847.94423336</v>
      </c>
      <c r="F31" s="2">
        <v>2658877.0227933335</v>
      </c>
      <c r="G31" s="2">
        <v>21457586.309553333</v>
      </c>
      <c r="H31" s="2">
        <v>6917642.1482133335</v>
      </c>
      <c r="I31" s="2">
        <v>249849.40742666667</v>
      </c>
      <c r="J31" s="2">
        <v>6167366.4712399999</v>
      </c>
      <c r="K31" s="2">
        <v>42792.898546666664</v>
      </c>
      <c r="L31" s="2">
        <v>423826.48931999999</v>
      </c>
      <c r="M31" s="3">
        <v>56.088999999999999</v>
      </c>
      <c r="N31" s="3">
        <v>51.771900000000002</v>
      </c>
      <c r="O31" s="3">
        <v>56.636800000000001</v>
      </c>
      <c r="P31" s="3">
        <v>62.133600000000001</v>
      </c>
      <c r="Q31" s="3">
        <v>50.6282</v>
      </c>
      <c r="R31" s="4">
        <v>60.48144963</v>
      </c>
      <c r="S31" s="4">
        <v>0.61060484000000004</v>
      </c>
      <c r="T31" s="4">
        <v>60.323087600000001</v>
      </c>
      <c r="U31" s="4">
        <v>0.40001133</v>
      </c>
      <c r="V31" s="4">
        <v>2.2383215399999998</v>
      </c>
      <c r="W31">
        <v>3499762</v>
      </c>
      <c r="X31">
        <v>26159</v>
      </c>
      <c r="Y31">
        <v>909711</v>
      </c>
      <c r="Z31">
        <v>27147</v>
      </c>
      <c r="AA31">
        <v>244056</v>
      </c>
      <c r="AB31">
        <v>9215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s="10">
        <v>100000</v>
      </c>
      <c r="AX31" s="3">
        <v>666666.67000000004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s="10">
        <v>371971.69</v>
      </c>
      <c r="BF31" s="3">
        <v>30124806</v>
      </c>
      <c r="BG31" s="10">
        <v>460647.39</v>
      </c>
      <c r="BH31" s="3">
        <v>19179029</v>
      </c>
      <c r="BI31" s="10">
        <v>48000</v>
      </c>
      <c r="BJ31" s="3">
        <v>4751008</v>
      </c>
      <c r="BK31" s="10">
        <v>158000</v>
      </c>
      <c r="BL31" s="3">
        <v>7350309</v>
      </c>
      <c r="BM31">
        <v>0</v>
      </c>
      <c r="BN31">
        <v>0</v>
      </c>
      <c r="BO31">
        <v>0</v>
      </c>
      <c r="BP31">
        <v>0</v>
      </c>
      <c r="BQ31" s="10">
        <v>51624.05</v>
      </c>
      <c r="BR31" s="3">
        <v>52252</v>
      </c>
      <c r="BS31">
        <v>0</v>
      </c>
      <c r="BT31">
        <v>0</v>
      </c>
      <c r="BU31" s="10">
        <v>90960.1</v>
      </c>
      <c r="BV31" s="3">
        <v>1968906</v>
      </c>
      <c r="BW31" s="10">
        <v>426697.46</v>
      </c>
      <c r="BX31" s="13">
        <v>31374813.235294122</v>
      </c>
      <c r="BY31" s="10">
        <v>836307.29</v>
      </c>
      <c r="BZ31" s="3">
        <v>61774634</v>
      </c>
      <c r="CA31" s="10">
        <v>2698908.32</v>
      </c>
      <c r="CB31">
        <v>165.55</v>
      </c>
      <c r="CC31" s="10">
        <v>93123.57</v>
      </c>
      <c r="CD31">
        <v>56</v>
      </c>
      <c r="CE31">
        <v>0</v>
      </c>
      <c r="CF31">
        <v>0</v>
      </c>
      <c r="CG31">
        <v>0</v>
      </c>
      <c r="CH31" s="11">
        <v>18903</v>
      </c>
      <c r="CI31">
        <v>0</v>
      </c>
      <c r="CJ31">
        <v>312990.07210743398</v>
      </c>
      <c r="CK31">
        <v>3523061.60196944</v>
      </c>
      <c r="CL31">
        <v>1250134</v>
      </c>
      <c r="CM31">
        <v>0.41770248399999999</v>
      </c>
      <c r="CN31">
        <v>0</v>
      </c>
    </row>
    <row r="32" spans="1:92" x14ac:dyDescent="0.2">
      <c r="A32" s="5">
        <v>45108</v>
      </c>
      <c r="B32" s="5" t="s">
        <v>39</v>
      </c>
      <c r="C32" s="2">
        <v>414372481.42251998</v>
      </c>
      <c r="D32" s="2">
        <v>12403969.084686667</v>
      </c>
      <c r="E32" s="2">
        <v>376511166.05179995</v>
      </c>
      <c r="F32" s="2">
        <v>2530285.8761666669</v>
      </c>
      <c r="G32" s="2">
        <v>21330207.087499999</v>
      </c>
      <c r="H32" s="2">
        <v>7600138.916046666</v>
      </c>
      <c r="I32" s="2">
        <v>240938.67711333334</v>
      </c>
      <c r="J32" s="2">
        <v>6855812.6029533334</v>
      </c>
      <c r="K32" s="2">
        <v>42081.971319999997</v>
      </c>
      <c r="L32" s="2">
        <v>427270.20967999997</v>
      </c>
      <c r="M32" s="3">
        <v>54.375300000000003</v>
      </c>
      <c r="N32" s="3">
        <v>51.43</v>
      </c>
      <c r="O32" s="3">
        <v>54.768099999999997</v>
      </c>
      <c r="P32" s="3">
        <v>60.021799999999999</v>
      </c>
      <c r="Q32" s="3">
        <v>49.762999999999998</v>
      </c>
      <c r="R32" s="4">
        <v>60.219503369999998</v>
      </c>
      <c r="S32" s="4">
        <v>0.60492288999999999</v>
      </c>
      <c r="T32" s="4">
        <v>59.967732419999997</v>
      </c>
      <c r="U32" s="4">
        <v>0.52328288000000001</v>
      </c>
      <c r="V32" s="4">
        <v>2.4178397700000001</v>
      </c>
      <c r="W32">
        <v>2225552</v>
      </c>
      <c r="X32">
        <v>12733</v>
      </c>
      <c r="Y32">
        <v>1310881</v>
      </c>
      <c r="Z32">
        <v>33444</v>
      </c>
      <c r="AA32">
        <v>549043</v>
      </c>
      <c r="AB32">
        <v>25966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s="10">
        <v>88028.31</v>
      </c>
      <c r="BF32" s="3">
        <v>9391691</v>
      </c>
      <c r="BG32" s="10">
        <v>551433.77</v>
      </c>
      <c r="BH32" s="3">
        <v>20162583</v>
      </c>
      <c r="BI32" s="10">
        <v>100000</v>
      </c>
      <c r="BJ32" s="3">
        <v>17381804</v>
      </c>
      <c r="BK32" s="10">
        <v>109732.03</v>
      </c>
      <c r="BL32" s="3">
        <v>22407441</v>
      </c>
      <c r="BM32">
        <v>0</v>
      </c>
      <c r="BN32">
        <v>0</v>
      </c>
      <c r="BO32">
        <v>0</v>
      </c>
      <c r="BP32">
        <v>0</v>
      </c>
      <c r="BQ32" s="10">
        <v>51136.85</v>
      </c>
      <c r="BR32">
        <v>54826</v>
      </c>
      <c r="BS32">
        <v>0</v>
      </c>
      <c r="BT32">
        <v>0</v>
      </c>
      <c r="BU32" s="10">
        <v>191817.18</v>
      </c>
      <c r="BV32" s="3">
        <v>4455746</v>
      </c>
      <c r="BW32">
        <v>0</v>
      </c>
      <c r="BX32" s="13">
        <v>0</v>
      </c>
      <c r="BY32" s="10">
        <v>560229.47</v>
      </c>
      <c r="BZ32" s="3">
        <v>27402529</v>
      </c>
      <c r="CA32" s="10">
        <v>2687449.07</v>
      </c>
      <c r="CB32">
        <v>152.97999999999999</v>
      </c>
      <c r="CC32">
        <v>0</v>
      </c>
      <c r="CD32">
        <v>0</v>
      </c>
      <c r="CE32">
        <v>0</v>
      </c>
      <c r="CF32">
        <v>0</v>
      </c>
      <c r="CG32">
        <v>0</v>
      </c>
      <c r="CH32" s="11">
        <v>18903</v>
      </c>
      <c r="CI32">
        <v>0</v>
      </c>
      <c r="CJ32">
        <v>383636.49402499199</v>
      </c>
      <c r="CK32">
        <v>4214545.1494991733</v>
      </c>
      <c r="CL32">
        <v>1233167</v>
      </c>
      <c r="CM32">
        <v>0.37928603</v>
      </c>
      <c r="CN32">
        <v>-7.7165585186957639E-2</v>
      </c>
    </row>
    <row r="33" spans="1:92" x14ac:dyDescent="0.2">
      <c r="A33" s="5">
        <v>45139</v>
      </c>
      <c r="B33" s="5" t="s">
        <v>39</v>
      </c>
      <c r="C33" s="2">
        <v>371587627.95062</v>
      </c>
      <c r="D33" s="2">
        <v>12646112.573586667</v>
      </c>
      <c r="E33" s="2">
        <v>333666638.43829995</v>
      </c>
      <c r="F33" s="2">
        <v>2587072.8767666668</v>
      </c>
      <c r="G33" s="2">
        <v>21328514.301799998</v>
      </c>
      <c r="H33" s="2">
        <v>6485825.1906466661</v>
      </c>
      <c r="I33" s="2">
        <v>243875.57751333332</v>
      </c>
      <c r="J33" s="2">
        <v>5723849.8766533332</v>
      </c>
      <c r="K33" s="2">
        <v>41995.294819999996</v>
      </c>
      <c r="L33" s="2">
        <v>446751.97587999998</v>
      </c>
      <c r="M33" s="3">
        <v>57.355499999999999</v>
      </c>
      <c r="N33" s="3">
        <v>51.835700000000003</v>
      </c>
      <c r="O33" s="3">
        <v>58.404800000000002</v>
      </c>
      <c r="P33" s="3">
        <v>61.6462</v>
      </c>
      <c r="Q33" s="3">
        <v>47.446399999999997</v>
      </c>
      <c r="R33" s="4">
        <v>59.864925710000001</v>
      </c>
      <c r="S33" s="4">
        <v>0.58551310000000001</v>
      </c>
      <c r="T33" s="4">
        <v>59.669331130000003</v>
      </c>
      <c r="U33" s="4">
        <v>0.62106616000000003</v>
      </c>
      <c r="V33" s="4">
        <v>2.2230372799999998</v>
      </c>
      <c r="W33">
        <v>2817971</v>
      </c>
      <c r="X33">
        <v>18606</v>
      </c>
      <c r="Y33">
        <v>1322049</v>
      </c>
      <c r="Z33">
        <v>32268</v>
      </c>
      <c r="AA33">
        <v>584587</v>
      </c>
      <c r="AB33">
        <v>47429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 s="10">
        <v>49385.04</v>
      </c>
      <c r="BR33" s="3">
        <v>57940</v>
      </c>
      <c r="BS33">
        <v>0</v>
      </c>
      <c r="BT33">
        <v>0</v>
      </c>
      <c r="BU33">
        <v>0</v>
      </c>
      <c r="BV33">
        <v>0</v>
      </c>
      <c r="BW33">
        <v>0</v>
      </c>
      <c r="BX33" s="1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 s="11">
        <v>18903</v>
      </c>
      <c r="CI33">
        <v>0</v>
      </c>
      <c r="CJ33">
        <v>243802.92297041399</v>
      </c>
      <c r="CK33">
        <v>4295356.2207368417</v>
      </c>
      <c r="CL33">
        <v>1940679</v>
      </c>
      <c r="CM33">
        <v>0.178917879</v>
      </c>
      <c r="CN33">
        <v>0</v>
      </c>
    </row>
    <row r="34" spans="1:92" x14ac:dyDescent="0.2">
      <c r="A34" s="5">
        <v>45170</v>
      </c>
      <c r="B34" s="5" t="s">
        <v>39</v>
      </c>
      <c r="C34" s="2">
        <v>375581827.93845999</v>
      </c>
      <c r="D34" s="2">
        <v>13097414.273926668</v>
      </c>
      <c r="E34" s="2">
        <v>339388195.8779</v>
      </c>
      <c r="F34" s="2">
        <v>3049530.1988666668</v>
      </c>
      <c r="G34" s="2">
        <v>18688499.540099997</v>
      </c>
      <c r="H34" s="2">
        <v>6641222.2753066663</v>
      </c>
      <c r="I34" s="2">
        <v>251504.84207333336</v>
      </c>
      <c r="J34" s="2">
        <v>5951988.1414933344</v>
      </c>
      <c r="K34" s="2">
        <v>49842.889459999999</v>
      </c>
      <c r="L34" s="2">
        <v>357793.41364000004</v>
      </c>
      <c r="M34" s="3">
        <v>56.553100000000001</v>
      </c>
      <c r="N34" s="3">
        <v>52.0762</v>
      </c>
      <c r="O34" s="3">
        <v>57.021000000000001</v>
      </c>
      <c r="P34" s="3">
        <v>61.182899999999997</v>
      </c>
      <c r="Q34" s="3">
        <v>52.232700000000001</v>
      </c>
      <c r="R34" s="4">
        <v>58.891483950000001</v>
      </c>
      <c r="S34" s="4">
        <v>0.61204709999999996</v>
      </c>
      <c r="T34" s="4">
        <v>58.579926190000002</v>
      </c>
      <c r="U34" s="4">
        <v>0.72942046999999999</v>
      </c>
      <c r="V34" s="4">
        <v>2.3618851099999998</v>
      </c>
      <c r="W34">
        <v>1845376</v>
      </c>
      <c r="X34">
        <v>18083</v>
      </c>
      <c r="Y34">
        <v>684184</v>
      </c>
      <c r="Z34">
        <v>15028</v>
      </c>
      <c r="AA34">
        <v>235039</v>
      </c>
      <c r="AB34">
        <v>6700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0">
        <v>17826.82</v>
      </c>
      <c r="AT34" s="3">
        <v>58855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s="10">
        <v>233320.89</v>
      </c>
      <c r="BH34" s="3">
        <v>8374499</v>
      </c>
      <c r="BI34">
        <v>0</v>
      </c>
      <c r="BJ34">
        <v>0</v>
      </c>
      <c r="BK34" s="10">
        <v>55777.64</v>
      </c>
      <c r="BL34" s="3">
        <v>1873414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10">
        <v>102021.46</v>
      </c>
      <c r="BV34" s="3">
        <v>825878</v>
      </c>
      <c r="BW34">
        <v>0</v>
      </c>
      <c r="BX34" s="13">
        <v>0</v>
      </c>
      <c r="BY34" s="10">
        <v>199688.75</v>
      </c>
      <c r="BZ34" s="3">
        <v>11011677</v>
      </c>
      <c r="CA34" s="10">
        <v>1585181.94</v>
      </c>
      <c r="CB34">
        <v>72.91</v>
      </c>
      <c r="CC34">
        <v>0</v>
      </c>
      <c r="CD34">
        <v>0</v>
      </c>
      <c r="CE34">
        <v>0</v>
      </c>
      <c r="CF34">
        <v>0</v>
      </c>
      <c r="CG34">
        <v>0</v>
      </c>
      <c r="CH34" s="11">
        <v>2149427</v>
      </c>
      <c r="CI34">
        <v>0</v>
      </c>
      <c r="CJ34">
        <v>625018.19208505703</v>
      </c>
      <c r="CK34">
        <v>4376167.2919745101</v>
      </c>
      <c r="CL34">
        <v>1411972</v>
      </c>
      <c r="CM34">
        <v>0.27239534799999998</v>
      </c>
      <c r="CN34">
        <v>0</v>
      </c>
    </row>
    <row r="35" spans="1:92" x14ac:dyDescent="0.2">
      <c r="A35" s="5">
        <v>45200</v>
      </c>
      <c r="B35" s="5" t="s">
        <v>39</v>
      </c>
      <c r="C35" s="2">
        <v>406123009.66244662</v>
      </c>
      <c r="D35" s="2">
        <v>13418344.519773332</v>
      </c>
      <c r="E35" s="2">
        <v>370186438.91942662</v>
      </c>
      <c r="F35" s="2">
        <v>2957538.2416066662</v>
      </c>
      <c r="G35" s="2">
        <v>18101787.520793334</v>
      </c>
      <c r="H35" s="2">
        <v>7144645.8578066658</v>
      </c>
      <c r="I35" s="2">
        <v>254570.2787133333</v>
      </c>
      <c r="J35" s="2">
        <v>6471326.4506066665</v>
      </c>
      <c r="K35" s="2">
        <v>48017.665860000001</v>
      </c>
      <c r="L35" s="2">
        <v>339442.6173266666</v>
      </c>
      <c r="M35" s="3">
        <v>56.6389</v>
      </c>
      <c r="N35" s="3">
        <v>53.189</v>
      </c>
      <c r="O35" s="3">
        <v>56.9679</v>
      </c>
      <c r="P35" s="3">
        <v>61.58</v>
      </c>
      <c r="Q35" s="3">
        <v>53.114400000000003</v>
      </c>
      <c r="R35" s="4">
        <v>60.149192640000003</v>
      </c>
      <c r="S35" s="4">
        <v>0.60339547000000004</v>
      </c>
      <c r="T35" s="4">
        <v>59.923801310000002</v>
      </c>
      <c r="U35" s="4">
        <v>0.70505644999999995</v>
      </c>
      <c r="V35" s="4">
        <v>2.4327542100000001</v>
      </c>
      <c r="W35">
        <v>1936040</v>
      </c>
      <c r="X35">
        <v>2140887</v>
      </c>
      <c r="Y35">
        <v>1048174</v>
      </c>
      <c r="Z35">
        <v>27582</v>
      </c>
      <c r="AA35">
        <v>4104</v>
      </c>
      <c r="AB35">
        <v>207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0">
        <v>582698.09</v>
      </c>
      <c r="AT35" s="3">
        <v>3490050</v>
      </c>
      <c r="AU35" s="10">
        <v>349568.85</v>
      </c>
      <c r="AV35" s="3">
        <v>41765417</v>
      </c>
      <c r="AW35">
        <v>0</v>
      </c>
      <c r="AX35">
        <v>0</v>
      </c>
      <c r="AY35" s="10">
        <v>140558.89000000001</v>
      </c>
      <c r="AZ35" s="3">
        <v>2555616.19</v>
      </c>
      <c r="BA35">
        <v>0</v>
      </c>
      <c r="BB35">
        <v>0</v>
      </c>
      <c r="BC35">
        <v>0</v>
      </c>
      <c r="BD35">
        <v>0</v>
      </c>
      <c r="BE35" s="10">
        <v>266666.67</v>
      </c>
      <c r="BF35" s="3">
        <v>22522509</v>
      </c>
      <c r="BG35" s="10">
        <v>350992.45</v>
      </c>
      <c r="BH35" s="3">
        <v>10333250</v>
      </c>
      <c r="BI35" s="10">
        <v>133333.32999999999</v>
      </c>
      <c r="BJ35" s="3">
        <v>15022871</v>
      </c>
      <c r="BK35" s="10">
        <v>92080.06</v>
      </c>
      <c r="BL35" s="3">
        <v>2848662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s="10">
        <v>230207.46</v>
      </c>
      <c r="BV35" s="3">
        <v>2968993</v>
      </c>
      <c r="BW35" s="10">
        <v>250000</v>
      </c>
      <c r="BX35" s="13">
        <v>18382352.94117647</v>
      </c>
      <c r="BY35" s="10">
        <v>524070.75</v>
      </c>
      <c r="BZ35" s="3">
        <v>37648823</v>
      </c>
      <c r="CA35" s="10">
        <v>3638280.33</v>
      </c>
      <c r="CB35">
        <v>153.61000000000001</v>
      </c>
      <c r="CC35">
        <v>0</v>
      </c>
      <c r="CD35">
        <v>0</v>
      </c>
      <c r="CE35">
        <v>0</v>
      </c>
      <c r="CF35">
        <v>0</v>
      </c>
      <c r="CG35">
        <v>0</v>
      </c>
      <c r="CH35" s="11">
        <v>4279951</v>
      </c>
      <c r="CI35">
        <v>0</v>
      </c>
      <c r="CJ35">
        <v>363829.71952555206</v>
      </c>
      <c r="CK35">
        <v>3490245</v>
      </c>
      <c r="CL35">
        <v>1458186</v>
      </c>
      <c r="CM35">
        <v>0.454123047</v>
      </c>
      <c r="CN35">
        <v>0</v>
      </c>
    </row>
    <row r="36" spans="1:92" x14ac:dyDescent="0.2">
      <c r="A36" s="5">
        <v>45231</v>
      </c>
      <c r="B36" s="5" t="s">
        <v>39</v>
      </c>
      <c r="C36" s="2">
        <v>429667196.09774661</v>
      </c>
      <c r="D36" s="2">
        <v>17604504.819173332</v>
      </c>
      <c r="E36" s="2">
        <v>391743623.36082667</v>
      </c>
      <c r="F36" s="2">
        <v>3092238.0139066665</v>
      </c>
      <c r="G36" s="2">
        <v>15545060.936093334</v>
      </c>
      <c r="H36" s="2">
        <v>7463698.1753066657</v>
      </c>
      <c r="I36" s="2">
        <v>346946.56271333335</v>
      </c>
      <c r="J36" s="2">
        <v>6756836.0514066666</v>
      </c>
      <c r="K36" s="2">
        <v>49985.688560000002</v>
      </c>
      <c r="L36" s="2">
        <v>274103.70522666664</v>
      </c>
      <c r="M36" s="3">
        <v>57.449800000000003</v>
      </c>
      <c r="N36" s="3">
        <v>50.853299999999997</v>
      </c>
      <c r="O36" s="3">
        <v>57.833399999999997</v>
      </c>
      <c r="P36" s="3">
        <v>61.875399999999999</v>
      </c>
      <c r="Q36" s="3">
        <v>56.808799999999998</v>
      </c>
      <c r="R36" s="4">
        <v>61.014716210000003</v>
      </c>
      <c r="S36" s="4">
        <v>0.65550359999999996</v>
      </c>
      <c r="T36" s="4">
        <v>60.709057909999999</v>
      </c>
      <c r="U36" s="4">
        <v>0.60825459000000004</v>
      </c>
      <c r="V36" s="4">
        <v>2.3662157399999999</v>
      </c>
      <c r="W36">
        <v>3056578</v>
      </c>
      <c r="X36">
        <v>27140</v>
      </c>
      <c r="Y36">
        <v>1058665</v>
      </c>
      <c r="Z36">
        <v>32000</v>
      </c>
      <c r="AA36">
        <v>384365</v>
      </c>
      <c r="AB36">
        <v>19562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0">
        <v>119426.95</v>
      </c>
      <c r="AT36" s="3">
        <v>633314</v>
      </c>
      <c r="AU36" s="10">
        <v>176199.4</v>
      </c>
      <c r="AV36" s="3">
        <v>15121790</v>
      </c>
      <c r="AW36">
        <v>0</v>
      </c>
      <c r="AX36">
        <v>0</v>
      </c>
      <c r="AY36" s="10">
        <v>141669.47</v>
      </c>
      <c r="AZ36" s="3">
        <v>2575808.52</v>
      </c>
      <c r="BA36">
        <v>0</v>
      </c>
      <c r="BB36">
        <v>0</v>
      </c>
      <c r="BC36">
        <v>0</v>
      </c>
      <c r="BD36">
        <v>0</v>
      </c>
      <c r="BE36" s="10">
        <v>133333.32999999999</v>
      </c>
      <c r="BF36" s="3">
        <v>14896038</v>
      </c>
      <c r="BG36" s="10">
        <v>114568.44</v>
      </c>
      <c r="BH36" s="3">
        <v>3372895</v>
      </c>
      <c r="BI36" s="10">
        <v>66666.67</v>
      </c>
      <c r="BJ36" s="3">
        <v>8468103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 s="10">
        <v>51266.38</v>
      </c>
      <c r="BR36" s="3">
        <v>42346</v>
      </c>
      <c r="BS36">
        <v>0</v>
      </c>
      <c r="BT36">
        <v>0</v>
      </c>
      <c r="BU36" s="10">
        <v>115090.91</v>
      </c>
      <c r="BV36" s="3">
        <v>1510028</v>
      </c>
      <c r="BW36" s="10">
        <v>249925.01</v>
      </c>
      <c r="BX36" s="13">
        <v>18376838.970588237</v>
      </c>
      <c r="BY36" s="10">
        <v>254804.08</v>
      </c>
      <c r="BZ36" s="3">
        <v>19350740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 s="11">
        <v>18903</v>
      </c>
      <c r="CI36">
        <v>0</v>
      </c>
      <c r="CJ36">
        <v>358605.42895183532</v>
      </c>
      <c r="CK36">
        <v>3440128</v>
      </c>
      <c r="CL36">
        <v>2016342</v>
      </c>
      <c r="CM36">
        <v>0.481130801</v>
      </c>
      <c r="CN36">
        <v>0</v>
      </c>
    </row>
    <row r="37" spans="1:92" x14ac:dyDescent="0.2">
      <c r="A37" s="5">
        <v>45261</v>
      </c>
      <c r="B37" s="5" t="s">
        <v>39</v>
      </c>
      <c r="C37" s="2">
        <v>544153142.81960678</v>
      </c>
      <c r="D37" s="2">
        <v>23019608.222953334</v>
      </c>
      <c r="E37" s="2">
        <v>495604910.33074671</v>
      </c>
      <c r="F37" s="2">
        <v>3413191.8366866666</v>
      </c>
      <c r="G37" s="2">
        <v>19434825.555513334</v>
      </c>
      <c r="H37" s="2">
        <v>9272797.7628866676</v>
      </c>
      <c r="I37" s="2">
        <v>462603.5506733334</v>
      </c>
      <c r="J37" s="2">
        <v>8350864.3868866675</v>
      </c>
      <c r="K37" s="2">
        <v>55298.462180000002</v>
      </c>
      <c r="L37" s="2">
        <v>348158.34074666665</v>
      </c>
      <c r="M37" s="3">
        <v>58.682699999999997</v>
      </c>
      <c r="N37" s="3">
        <v>49.761000000000003</v>
      </c>
      <c r="O37" s="3">
        <v>59.347700000000003</v>
      </c>
      <c r="P37" s="3">
        <v>61.723100000000002</v>
      </c>
      <c r="Q37" s="3">
        <v>55.821800000000003</v>
      </c>
      <c r="R37" s="4">
        <v>62.91767256</v>
      </c>
      <c r="S37" s="4">
        <v>0.65740529000000003</v>
      </c>
      <c r="T37" s="4">
        <v>62.618370519999999</v>
      </c>
      <c r="U37" s="4">
        <v>0.61244761000000003</v>
      </c>
      <c r="V37" s="4">
        <v>2.3643927100000002</v>
      </c>
      <c r="W37">
        <v>2991036</v>
      </c>
      <c r="X37">
        <v>22933</v>
      </c>
      <c r="Y37">
        <v>986340</v>
      </c>
      <c r="Z37">
        <v>24881</v>
      </c>
      <c r="AA37">
        <v>110899</v>
      </c>
      <c r="AB37">
        <v>2451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s="10">
        <v>152901.92000000001</v>
      </c>
      <c r="BL37" s="3">
        <v>9744487</v>
      </c>
      <c r="BM37">
        <v>0</v>
      </c>
      <c r="BN37">
        <v>0</v>
      </c>
      <c r="BO37">
        <v>0</v>
      </c>
      <c r="BP37">
        <v>0</v>
      </c>
      <c r="BQ37" s="10">
        <v>54536.73</v>
      </c>
      <c r="BR37" s="3">
        <v>30055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 s="11">
        <v>18903</v>
      </c>
      <c r="CI37">
        <v>0</v>
      </c>
      <c r="CJ37">
        <v>396470.14718529512</v>
      </c>
      <c r="CK37">
        <v>3803367</v>
      </c>
      <c r="CL37">
        <v>1450946</v>
      </c>
      <c r="CM37">
        <v>0.38936578300000002</v>
      </c>
      <c r="CN37">
        <v>0</v>
      </c>
    </row>
    <row r="38" spans="1:92" x14ac:dyDescent="0.2">
      <c r="A38" s="5">
        <v>45292</v>
      </c>
      <c r="B38" s="5" t="s">
        <v>40</v>
      </c>
      <c r="C38" s="2">
        <v>425736168.12954664</v>
      </c>
      <c r="D38" s="2">
        <v>15898129.93214</v>
      </c>
      <c r="E38" s="2">
        <v>388583805.39396</v>
      </c>
      <c r="F38" s="2">
        <v>2930054.3686333331</v>
      </c>
      <c r="G38" s="2">
        <v>16173514.982413333</v>
      </c>
      <c r="H38" s="2">
        <v>7221603.1034733327</v>
      </c>
      <c r="I38" s="2">
        <v>315861.48433333333</v>
      </c>
      <c r="J38" s="2">
        <v>6517783.5160600003</v>
      </c>
      <c r="K38" s="2">
        <v>47754.10190666667</v>
      </c>
      <c r="L38" s="2">
        <v>294877.58163999999</v>
      </c>
      <c r="M38" s="3">
        <v>59.085599999999999</v>
      </c>
      <c r="N38" s="3">
        <v>50.3142</v>
      </c>
      <c r="O38" s="3">
        <v>59.752299999999998</v>
      </c>
      <c r="P38" s="3">
        <v>61.476700000000001</v>
      </c>
      <c r="Q38" s="3">
        <v>54.9285</v>
      </c>
      <c r="R38" s="4">
        <v>63.043466410000001</v>
      </c>
      <c r="S38" s="4">
        <v>0.60038013999999995</v>
      </c>
      <c r="T38" s="4">
        <v>62.760551280000001</v>
      </c>
      <c r="U38" s="4">
        <v>0.57616590000000001</v>
      </c>
      <c r="V38" s="4">
        <v>2.0758029100000002</v>
      </c>
      <c r="W38">
        <v>21073964</v>
      </c>
      <c r="X38">
        <v>50560</v>
      </c>
      <c r="Y38">
        <v>1088481</v>
      </c>
      <c r="Z38">
        <v>46629</v>
      </c>
      <c r="AA38">
        <v>278690</v>
      </c>
      <c r="AB38">
        <v>10861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s="10">
        <v>2166390.44</v>
      </c>
      <c r="CB38">
        <v>67.37</v>
      </c>
      <c r="CC38">
        <v>0</v>
      </c>
      <c r="CD38">
        <v>0</v>
      </c>
      <c r="CE38">
        <v>8.0399999999999991</v>
      </c>
      <c r="CF38">
        <v>41</v>
      </c>
      <c r="CG38">
        <v>23</v>
      </c>
      <c r="CH38" s="11">
        <v>18903</v>
      </c>
      <c r="CI38">
        <v>13</v>
      </c>
      <c r="CJ38">
        <v>483701.02099577902</v>
      </c>
      <c r="CK38">
        <v>4593269</v>
      </c>
      <c r="CL38">
        <v>1492578</v>
      </c>
      <c r="CM38">
        <v>0.570121553</v>
      </c>
      <c r="CN38">
        <v>0</v>
      </c>
    </row>
    <row r="39" spans="1:92" x14ac:dyDescent="0.2">
      <c r="A39" s="5">
        <v>45323</v>
      </c>
      <c r="B39" s="5" t="s">
        <v>40</v>
      </c>
      <c r="C39" s="2">
        <v>424800160.69554663</v>
      </c>
      <c r="D39" s="2">
        <v>18481047.954539999</v>
      </c>
      <c r="E39" s="2">
        <v>382781256.27165997</v>
      </c>
      <c r="F39" s="2">
        <v>3425278.0723333331</v>
      </c>
      <c r="G39" s="2">
        <v>17900502.317613333</v>
      </c>
      <c r="H39" s="2">
        <v>7347151.7712733326</v>
      </c>
      <c r="I39" s="2">
        <v>369263.32773333334</v>
      </c>
      <c r="J39" s="2">
        <v>6530531.7164599998</v>
      </c>
      <c r="K39" s="2">
        <v>56718.749506666667</v>
      </c>
      <c r="L39" s="2">
        <v>343525.85724000004</v>
      </c>
      <c r="M39" s="3">
        <v>57.856200000000001</v>
      </c>
      <c r="N39" s="3">
        <v>50.008499999999998</v>
      </c>
      <c r="O39" s="3">
        <v>58.665399999999998</v>
      </c>
      <c r="P39" s="3">
        <v>60.414700000000003</v>
      </c>
      <c r="Q39" s="3">
        <v>51.974499999999999</v>
      </c>
      <c r="R39" s="4">
        <v>62.653353490000001</v>
      </c>
      <c r="S39" s="4">
        <v>0.61544255000000003</v>
      </c>
      <c r="T39" s="4">
        <v>62.33094019</v>
      </c>
      <c r="U39" s="4">
        <v>0.65141642</v>
      </c>
      <c r="V39" s="4">
        <v>2.0882362200000002</v>
      </c>
      <c r="W39">
        <v>1257521</v>
      </c>
      <c r="X39">
        <v>67126</v>
      </c>
      <c r="Y39">
        <v>1529388</v>
      </c>
      <c r="Z39">
        <v>86834</v>
      </c>
      <c r="AA39">
        <v>292017</v>
      </c>
      <c r="AB39">
        <v>13139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s="10">
        <v>2703962.18</v>
      </c>
      <c r="CB39">
        <v>121.33</v>
      </c>
      <c r="CC39">
        <v>0</v>
      </c>
      <c r="CD39">
        <v>0</v>
      </c>
      <c r="CE39">
        <v>8.0399999999999991</v>
      </c>
      <c r="CF39">
        <v>41</v>
      </c>
      <c r="CG39">
        <v>23</v>
      </c>
      <c r="CH39" s="11">
        <v>18903</v>
      </c>
      <c r="CI39">
        <v>13</v>
      </c>
      <c r="CJ39">
        <v>532158.70712671604</v>
      </c>
      <c r="CK39">
        <v>5058837</v>
      </c>
      <c r="CL39">
        <v>1559065</v>
      </c>
      <c r="CM39">
        <v>0.40273455499999999</v>
      </c>
      <c r="CN39">
        <v>0</v>
      </c>
    </row>
    <row r="40" spans="1:92" x14ac:dyDescent="0.2">
      <c r="A40" s="5">
        <v>45352</v>
      </c>
      <c r="B40" s="5" t="s">
        <v>40</v>
      </c>
      <c r="C40" s="2">
        <v>411581984.7717067</v>
      </c>
      <c r="D40" s="2">
        <v>19163029.077919997</v>
      </c>
      <c r="E40" s="2">
        <v>370315738.18928003</v>
      </c>
      <c r="F40" s="2">
        <v>3195601.6135333334</v>
      </c>
      <c r="G40" s="2">
        <v>16513206.357873334</v>
      </c>
      <c r="H40" s="2">
        <v>7176393.8177533336</v>
      </c>
      <c r="I40" s="2">
        <v>379364.3338333334</v>
      </c>
      <c r="J40" s="2">
        <v>6386516.6749800006</v>
      </c>
      <c r="K40" s="2">
        <v>53188.647286666674</v>
      </c>
      <c r="L40" s="2">
        <v>306234.75662</v>
      </c>
      <c r="M40" s="3">
        <v>57.352200000000003</v>
      </c>
      <c r="N40" s="3">
        <v>50.513500000000001</v>
      </c>
      <c r="O40" s="3">
        <v>57.984000000000002</v>
      </c>
      <c r="P40" s="3">
        <v>60.080500000000001</v>
      </c>
      <c r="Q40" s="3">
        <v>53.923400000000001</v>
      </c>
      <c r="R40" s="4">
        <v>60.972626929999997</v>
      </c>
      <c r="S40" s="4">
        <v>0.65569717999999999</v>
      </c>
      <c r="T40" s="4">
        <v>60.602862299999998</v>
      </c>
      <c r="U40" s="4">
        <v>0.61757134999999996</v>
      </c>
      <c r="V40" s="4">
        <v>2.09525344</v>
      </c>
      <c r="W40">
        <v>53643339</v>
      </c>
      <c r="X40">
        <v>103088</v>
      </c>
      <c r="Y40">
        <v>402256</v>
      </c>
      <c r="Z40">
        <v>18334</v>
      </c>
      <c r="AA40">
        <v>14935</v>
      </c>
      <c r="AB40">
        <v>627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 s="11">
        <v>18903</v>
      </c>
      <c r="CI40">
        <v>0</v>
      </c>
      <c r="CJ40">
        <v>617239.974627416</v>
      </c>
      <c r="CK40">
        <v>5871699</v>
      </c>
      <c r="CL40">
        <v>1548707</v>
      </c>
      <c r="CM40">
        <v>0.29800081099999998</v>
      </c>
      <c r="CN40">
        <v>0</v>
      </c>
    </row>
    <row r="41" spans="1:92" x14ac:dyDescent="0.2">
      <c r="A41" s="5">
        <v>45383</v>
      </c>
      <c r="B41" s="5" t="s">
        <v>40</v>
      </c>
      <c r="C41" s="2">
        <v>384093523.30263996</v>
      </c>
      <c r="D41" s="2">
        <v>19422810.659593333</v>
      </c>
      <c r="E41" s="2">
        <v>341924949.71560669</v>
      </c>
      <c r="F41" s="2">
        <v>2693041.5694933333</v>
      </c>
      <c r="G41" s="2">
        <v>17681240.431126665</v>
      </c>
      <c r="H41" s="2">
        <v>6735839.8098333329</v>
      </c>
      <c r="I41" s="2">
        <v>382208.16756666667</v>
      </c>
      <c r="J41" s="2">
        <v>5919635.4966933327</v>
      </c>
      <c r="K41" s="2">
        <v>44716.333559999999</v>
      </c>
      <c r="L41" s="2">
        <v>339330.26630000002</v>
      </c>
      <c r="M41" s="3">
        <v>57.140799999999999</v>
      </c>
      <c r="N41" s="3">
        <v>50.899799999999999</v>
      </c>
      <c r="O41" s="3">
        <v>57.910400000000003</v>
      </c>
      <c r="P41" s="3">
        <v>60.183199999999999</v>
      </c>
      <c r="Q41" s="3">
        <v>51.968600000000002</v>
      </c>
      <c r="R41" s="4">
        <v>60.062593839999998</v>
      </c>
      <c r="S41" s="4">
        <v>0.67952603</v>
      </c>
      <c r="T41" s="4">
        <v>59.780066859999998</v>
      </c>
      <c r="U41" s="4">
        <v>0.60454463999999997</v>
      </c>
      <c r="V41" s="4">
        <v>2.0572710399999998</v>
      </c>
      <c r="W41">
        <v>867662</v>
      </c>
      <c r="X41">
        <v>6252</v>
      </c>
      <c r="Y41">
        <v>283575</v>
      </c>
      <c r="Z41">
        <v>8679</v>
      </c>
      <c r="AA41">
        <v>12776</v>
      </c>
      <c r="AB41">
        <v>548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 s="11">
        <v>18903</v>
      </c>
      <c r="CI41">
        <v>0</v>
      </c>
      <c r="CJ41">
        <v>625022.65305837803</v>
      </c>
      <c r="CK41">
        <v>5948853</v>
      </c>
      <c r="CL41">
        <v>1533920</v>
      </c>
      <c r="CM41">
        <v>0.318540555</v>
      </c>
      <c r="CN41">
        <v>0</v>
      </c>
    </row>
    <row r="42" spans="1:92" x14ac:dyDescent="0.2">
      <c r="A42" s="5">
        <v>45413</v>
      </c>
      <c r="B42" s="5" t="s">
        <v>40</v>
      </c>
      <c r="C42" s="2">
        <v>390270139.26773995</v>
      </c>
      <c r="D42" s="2">
        <v>18815259.335893333</v>
      </c>
      <c r="E42" s="2">
        <v>349988197.93390667</v>
      </c>
      <c r="F42" s="2">
        <v>2625070.2882933333</v>
      </c>
      <c r="G42" s="2">
        <v>16132086.303226665</v>
      </c>
      <c r="H42" s="2">
        <v>6942126.7713333331</v>
      </c>
      <c r="I42" s="2">
        <v>370545.14456666668</v>
      </c>
      <c r="J42" s="2">
        <v>6162203.5253933333</v>
      </c>
      <c r="K42" s="2">
        <v>43900.259759999994</v>
      </c>
      <c r="L42" s="2">
        <v>309444.23560000001</v>
      </c>
      <c r="M42" s="3">
        <v>56.261400000000002</v>
      </c>
      <c r="N42" s="3">
        <v>50.858800000000002</v>
      </c>
      <c r="O42" s="3">
        <v>56.852800000000002</v>
      </c>
      <c r="P42" s="3">
        <v>59.7181</v>
      </c>
      <c r="Q42" s="3">
        <v>51.982399999999998</v>
      </c>
      <c r="R42" s="4">
        <v>60.089842830000002</v>
      </c>
      <c r="S42" s="4">
        <v>0.67684628999999996</v>
      </c>
      <c r="T42" s="4">
        <v>59.766228529999999</v>
      </c>
      <c r="U42" s="4">
        <v>0.63746902000000005</v>
      </c>
      <c r="V42" s="4">
        <v>2.00842082</v>
      </c>
      <c r="W42">
        <v>143307325</v>
      </c>
      <c r="X42">
        <v>145427</v>
      </c>
      <c r="Y42">
        <v>1807589</v>
      </c>
      <c r="Z42">
        <v>122280</v>
      </c>
      <c r="AA42">
        <v>774494</v>
      </c>
      <c r="AB42">
        <v>40411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0">
        <v>399999.73</v>
      </c>
      <c r="AT42" s="3">
        <v>2409692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 s="10">
        <v>200738.56</v>
      </c>
      <c r="BF42" s="3">
        <v>20980015</v>
      </c>
      <c r="BG42" s="10">
        <v>963337.68</v>
      </c>
      <c r="BH42" s="3">
        <v>30631755</v>
      </c>
      <c r="BI42" s="10">
        <v>145965.29</v>
      </c>
      <c r="BJ42" s="3">
        <v>17675362</v>
      </c>
      <c r="BK42">
        <v>0</v>
      </c>
      <c r="BL42">
        <v>0</v>
      </c>
      <c r="BM42" s="10">
        <v>167751.13</v>
      </c>
      <c r="BN42" s="3">
        <v>13634997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s="10">
        <v>199996.91</v>
      </c>
      <c r="BZ42" s="3">
        <v>8548376</v>
      </c>
      <c r="CA42">
        <v>0</v>
      </c>
      <c r="CB42">
        <v>0</v>
      </c>
      <c r="CC42">
        <v>0</v>
      </c>
      <c r="CD42">
        <v>0</v>
      </c>
      <c r="CE42">
        <v>4.2</v>
      </c>
      <c r="CF42">
        <v>40</v>
      </c>
      <c r="CG42">
        <v>24</v>
      </c>
      <c r="CH42" s="11">
        <v>18903</v>
      </c>
      <c r="CI42">
        <v>0</v>
      </c>
      <c r="CJ42">
        <v>665852.55502294598</v>
      </c>
      <c r="CK42">
        <v>5055430</v>
      </c>
      <c r="CL42">
        <v>1527071</v>
      </c>
      <c r="CM42">
        <v>0.24310418</v>
      </c>
      <c r="CN42">
        <v>0</v>
      </c>
    </row>
    <row r="43" spans="1:92" x14ac:dyDescent="0.2">
      <c r="A43" s="5">
        <v>45444</v>
      </c>
      <c r="B43" s="5" t="s">
        <v>40</v>
      </c>
      <c r="C43" s="2">
        <v>407341999.90042001</v>
      </c>
      <c r="D43" s="2">
        <v>20188965.327613335</v>
      </c>
      <c r="E43" s="2">
        <v>367929757.33678669</v>
      </c>
      <c r="F43" s="2">
        <v>2654525.0705133332</v>
      </c>
      <c r="G43" s="2">
        <v>14469922.103346666</v>
      </c>
      <c r="H43" s="2">
        <v>7310291.5227333335</v>
      </c>
      <c r="I43" s="2">
        <v>404685.3286666667</v>
      </c>
      <c r="J43" s="2">
        <v>6551772.0475133341</v>
      </c>
      <c r="K43" s="2">
        <v>43703.803780000002</v>
      </c>
      <c r="L43" s="2">
        <v>266749.10730000003</v>
      </c>
      <c r="M43" s="3">
        <v>55.721699999999998</v>
      </c>
      <c r="N43" s="3">
        <v>49.888100000000001</v>
      </c>
      <c r="O43" s="3">
        <v>56.157299999999999</v>
      </c>
      <c r="P43" s="3">
        <v>60.738999999999997</v>
      </c>
      <c r="Q43" s="3">
        <v>54.245399999999997</v>
      </c>
      <c r="R43" s="4">
        <v>60.14357339</v>
      </c>
      <c r="S43" s="4">
        <v>0.71708843</v>
      </c>
      <c r="T43" s="4">
        <v>59.783925660000001</v>
      </c>
      <c r="U43" s="4">
        <v>0.58977323000000004</v>
      </c>
      <c r="V43" s="4">
        <v>2.0902848600000001</v>
      </c>
      <c r="W43">
        <v>9529247</v>
      </c>
      <c r="X43">
        <v>105710</v>
      </c>
      <c r="Y43">
        <v>328097</v>
      </c>
      <c r="Z43">
        <v>18002</v>
      </c>
      <c r="AA43">
        <v>4046</v>
      </c>
      <c r="AB43">
        <v>245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10">
        <v>399987.48</v>
      </c>
      <c r="AT43" s="3">
        <v>2397407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s="10">
        <v>325835.92</v>
      </c>
      <c r="BF43" s="3">
        <v>48432087</v>
      </c>
      <c r="BG43" s="10">
        <v>1431781.33</v>
      </c>
      <c r="BH43" s="3">
        <v>47178208</v>
      </c>
      <c r="BI43" s="10">
        <v>154025.9</v>
      </c>
      <c r="BJ43" s="3">
        <v>18614158</v>
      </c>
      <c r="BK43">
        <v>0</v>
      </c>
      <c r="BL43">
        <v>0</v>
      </c>
      <c r="BM43" s="10">
        <v>171413.94</v>
      </c>
      <c r="BN43" s="3">
        <v>15152699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 s="10">
        <v>249900.3</v>
      </c>
      <c r="BX43" s="3">
        <v>19144757</v>
      </c>
      <c r="BY43" s="10">
        <v>194494.56</v>
      </c>
      <c r="BZ43" s="3">
        <v>9681221</v>
      </c>
      <c r="CA43">
        <v>0</v>
      </c>
      <c r="CB43">
        <v>0</v>
      </c>
      <c r="CC43">
        <v>0</v>
      </c>
      <c r="CD43">
        <v>0</v>
      </c>
      <c r="CE43">
        <v>4.2</v>
      </c>
      <c r="CF43">
        <v>40</v>
      </c>
      <c r="CG43">
        <v>24</v>
      </c>
      <c r="CH43" s="11">
        <v>18903</v>
      </c>
      <c r="CI43">
        <v>0</v>
      </c>
      <c r="CJ43">
        <v>782378.11595406802</v>
      </c>
      <c r="CK43">
        <v>5386665</v>
      </c>
      <c r="CL43">
        <v>1523698</v>
      </c>
      <c r="CM43">
        <v>0.15066141399999999</v>
      </c>
      <c r="CN43">
        <v>-6.0165048039991752E-2</v>
      </c>
    </row>
    <row r="44" spans="1:92" x14ac:dyDescent="0.2">
      <c r="A44" s="5">
        <v>45474</v>
      </c>
      <c r="B44" s="5" t="s">
        <v>40</v>
      </c>
      <c r="C44" s="2">
        <v>405526991.71410668</v>
      </c>
      <c r="D44" s="2">
        <v>20106662.626113337</v>
      </c>
      <c r="E44" s="2">
        <v>367413395.71572</v>
      </c>
      <c r="F44" s="2">
        <v>2682051.1879666667</v>
      </c>
      <c r="G44" s="2">
        <v>13067870.511219999</v>
      </c>
      <c r="H44" s="2">
        <v>7167991.426</v>
      </c>
      <c r="I44" s="2">
        <v>403092.96301333333</v>
      </c>
      <c r="J44" s="2">
        <v>6444436.1507599996</v>
      </c>
      <c r="K44" s="2">
        <v>43601.575973333333</v>
      </c>
      <c r="L44" s="2">
        <v>229675.31950666668</v>
      </c>
      <c r="M44" s="3">
        <v>56.470500000000001</v>
      </c>
      <c r="N44" s="3">
        <v>49.958500000000001</v>
      </c>
      <c r="O44" s="3">
        <v>56.887500000000003</v>
      </c>
      <c r="P44" s="3">
        <v>61.6</v>
      </c>
      <c r="Q44" s="3">
        <v>56.856000000000002</v>
      </c>
      <c r="R44" s="4">
        <v>61.470092700000002</v>
      </c>
      <c r="S44" s="4">
        <v>0.69839490000000004</v>
      </c>
      <c r="T44" s="4">
        <v>61.198663109999998</v>
      </c>
      <c r="U44" s="4">
        <v>0.60784618000000001</v>
      </c>
      <c r="V44" s="4">
        <v>2.13918863</v>
      </c>
      <c r="W44">
        <v>1928821</v>
      </c>
      <c r="X44">
        <v>27650</v>
      </c>
      <c r="Y44">
        <v>726418</v>
      </c>
      <c r="Z44">
        <v>28137</v>
      </c>
      <c r="AA44">
        <v>16273</v>
      </c>
      <c r="AB44">
        <v>786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0">
        <v>249520.3</v>
      </c>
      <c r="BX44" s="3">
        <v>25077638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 s="11">
        <v>18903</v>
      </c>
      <c r="CI44">
        <v>0</v>
      </c>
      <c r="CJ44">
        <v>557958.10361529898</v>
      </c>
      <c r="CK44">
        <v>5312827</v>
      </c>
      <c r="CL44">
        <v>191907</v>
      </c>
      <c r="CM44">
        <v>0.20247916199999999</v>
      </c>
      <c r="CN44">
        <v>0</v>
      </c>
    </row>
    <row r="45" spans="1:92" x14ac:dyDescent="0.2">
      <c r="A45" s="5">
        <v>45505</v>
      </c>
      <c r="B45" s="5" t="s">
        <v>40</v>
      </c>
      <c r="C45" s="2">
        <v>385338549.31030667</v>
      </c>
      <c r="D45" s="2">
        <v>21395609.175913334</v>
      </c>
      <c r="E45" s="2">
        <v>347900004.28601998</v>
      </c>
      <c r="F45" s="2">
        <v>2848386.2808666667</v>
      </c>
      <c r="G45" s="2">
        <v>10380288.29682</v>
      </c>
      <c r="H45" s="2">
        <v>6613478.3716000002</v>
      </c>
      <c r="I45" s="2">
        <v>429103.34561333334</v>
      </c>
      <c r="J45" s="2">
        <v>5899649.84846</v>
      </c>
      <c r="K45" s="2">
        <v>46157.514673333331</v>
      </c>
      <c r="L45" s="2">
        <v>180533.08160666667</v>
      </c>
      <c r="M45" s="3">
        <v>58.298299999999998</v>
      </c>
      <c r="N45" s="3">
        <v>49.932000000000002</v>
      </c>
      <c r="O45" s="3">
        <v>59.000599999999999</v>
      </c>
      <c r="P45" s="3">
        <v>61.808500000000002</v>
      </c>
      <c r="Q45" s="3">
        <v>57.5105</v>
      </c>
      <c r="R45" s="4">
        <v>60.118928779999997</v>
      </c>
      <c r="S45" s="4">
        <v>0.72412100999999995</v>
      </c>
      <c r="T45" s="4">
        <v>59.733119909999999</v>
      </c>
      <c r="U45" s="4">
        <v>0.68857860000000004</v>
      </c>
      <c r="V45" s="4">
        <v>2.0233544800000001</v>
      </c>
      <c r="W45">
        <v>1070478</v>
      </c>
      <c r="X45">
        <v>88653</v>
      </c>
      <c r="Y45">
        <v>515002</v>
      </c>
      <c r="Z45">
        <v>32713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 s="11">
        <v>18903</v>
      </c>
      <c r="CI45">
        <v>0</v>
      </c>
      <c r="CJ45">
        <v>585855.97075821494</v>
      </c>
      <c r="CK45">
        <v>5620336</v>
      </c>
      <c r="CL45">
        <v>1901249</v>
      </c>
      <c r="CM45">
        <v>0.27437871800000002</v>
      </c>
      <c r="CN45">
        <v>0</v>
      </c>
    </row>
    <row r="46" spans="1:92" x14ac:dyDescent="0.2">
      <c r="A46" s="5">
        <v>45536</v>
      </c>
      <c r="B46" s="5" t="s">
        <v>40</v>
      </c>
      <c r="C46" s="2">
        <v>396599233.81788665</v>
      </c>
      <c r="D46" s="2">
        <v>21297586.702773333</v>
      </c>
      <c r="E46" s="2">
        <v>356449508.85336</v>
      </c>
      <c r="F46" s="2">
        <v>2758671.1095666671</v>
      </c>
      <c r="G46" s="2">
        <v>13349288.749160001</v>
      </c>
      <c r="H46" s="2">
        <v>6851148.0596000012</v>
      </c>
      <c r="I46" s="2">
        <v>434440.12837333337</v>
      </c>
      <c r="J46" s="2">
        <v>6081766.3303800002</v>
      </c>
      <c r="K46" s="2">
        <v>45587.112653333337</v>
      </c>
      <c r="L46" s="2">
        <v>232631.6239866667</v>
      </c>
      <c r="M46" s="3">
        <v>57.887999999999998</v>
      </c>
      <c r="N46" s="3">
        <v>49.023099999999999</v>
      </c>
      <c r="O46" s="3">
        <v>58.609499999999997</v>
      </c>
      <c r="P46" s="3">
        <v>60.514299999999999</v>
      </c>
      <c r="Q46" s="3">
        <v>57.383800000000001</v>
      </c>
      <c r="R46" s="4">
        <v>60.877354099999998</v>
      </c>
      <c r="S46" s="4">
        <v>0.72887482999999997</v>
      </c>
      <c r="T46" s="4">
        <v>60.494393510000002</v>
      </c>
      <c r="U46" s="4">
        <v>0.67103553000000005</v>
      </c>
      <c r="V46" s="4">
        <v>1.89956934</v>
      </c>
      <c r="W46">
        <v>12176259</v>
      </c>
      <c r="X46">
        <v>24603</v>
      </c>
      <c r="Y46">
        <v>29784</v>
      </c>
      <c r="Z46">
        <v>1432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s="10">
        <v>132769.62</v>
      </c>
      <c r="CB46">
        <v>6.85</v>
      </c>
      <c r="CC46">
        <v>0</v>
      </c>
      <c r="CD46">
        <v>0</v>
      </c>
      <c r="CE46">
        <v>0</v>
      </c>
      <c r="CF46">
        <v>0</v>
      </c>
      <c r="CG46">
        <v>0</v>
      </c>
      <c r="CH46" s="11">
        <v>18903</v>
      </c>
      <c r="CI46">
        <v>0</v>
      </c>
      <c r="CJ46">
        <v>957066.19989283395</v>
      </c>
      <c r="CK46">
        <v>5827055</v>
      </c>
      <c r="CL46">
        <v>1831133</v>
      </c>
      <c r="CM46">
        <v>6.3433112999999999E-2</v>
      </c>
      <c r="CN46">
        <v>0</v>
      </c>
    </row>
    <row r="47" spans="1:92" x14ac:dyDescent="0.2">
      <c r="A47" s="5">
        <v>45566</v>
      </c>
      <c r="B47" s="5" t="s">
        <v>40</v>
      </c>
      <c r="C47" s="2">
        <v>433145532.36987329</v>
      </c>
      <c r="D47" s="2">
        <v>22057029.333126668</v>
      </c>
      <c r="E47" s="2">
        <v>392421925.43994004</v>
      </c>
      <c r="F47" s="2">
        <v>2970359.2963199997</v>
      </c>
      <c r="G47" s="2">
        <v>13139973.985479999</v>
      </c>
      <c r="H47" s="2">
        <v>7511832.1265199995</v>
      </c>
      <c r="I47" s="2">
        <v>449193.06807333336</v>
      </c>
      <c r="J47" s="2">
        <v>6744258.5904733324</v>
      </c>
      <c r="K47" s="2">
        <v>50437.947913333337</v>
      </c>
      <c r="L47" s="2">
        <v>217471.24975999998</v>
      </c>
      <c r="M47" s="3">
        <v>57.600299999999997</v>
      </c>
      <c r="N47" s="3">
        <v>49.1905</v>
      </c>
      <c r="O47" s="3">
        <v>58.112200000000001</v>
      </c>
      <c r="P47" s="3">
        <v>58.462800000000001</v>
      </c>
      <c r="Q47" s="3">
        <v>60.400199999999998</v>
      </c>
      <c r="R47" s="4">
        <v>60.482763329999997</v>
      </c>
      <c r="S47" s="4">
        <v>0.74911103000000001</v>
      </c>
      <c r="T47" s="4">
        <v>60.147903669999998</v>
      </c>
      <c r="U47" s="4">
        <v>0.64901218999999999</v>
      </c>
      <c r="V47" s="4">
        <v>1.9489765299999999</v>
      </c>
      <c r="W47">
        <v>176750777</v>
      </c>
      <c r="X47">
        <v>145006</v>
      </c>
      <c r="Y47">
        <v>676455</v>
      </c>
      <c r="Z47">
        <v>62377</v>
      </c>
      <c r="AA47">
        <v>11237</v>
      </c>
      <c r="AB47">
        <v>448</v>
      </c>
      <c r="AC47">
        <v>0</v>
      </c>
      <c r="AD47">
        <v>0</v>
      </c>
      <c r="AE47">
        <v>0</v>
      </c>
      <c r="AF47">
        <v>0</v>
      </c>
      <c r="AG47" s="10">
        <v>565790.25</v>
      </c>
      <c r="AH47" s="3">
        <v>3368520</v>
      </c>
      <c r="AI47">
        <v>0</v>
      </c>
      <c r="AJ47">
        <v>0</v>
      </c>
      <c r="AK47">
        <v>0</v>
      </c>
      <c r="AL47">
        <v>0</v>
      </c>
      <c r="AM47" s="10">
        <v>1275000</v>
      </c>
      <c r="AN47" s="3">
        <v>3642857.14</v>
      </c>
      <c r="AO47">
        <v>0</v>
      </c>
      <c r="AP47">
        <v>0</v>
      </c>
      <c r="AQ47">
        <v>0</v>
      </c>
      <c r="AR47">
        <v>0</v>
      </c>
      <c r="AS47" s="10">
        <v>784998.87</v>
      </c>
      <c r="AT47" s="3">
        <v>2317954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s="10">
        <v>572803.23</v>
      </c>
      <c r="BF47" s="3">
        <v>23957336</v>
      </c>
      <c r="BG47" s="10">
        <v>1978444.69</v>
      </c>
      <c r="BH47" s="3">
        <v>57766216</v>
      </c>
      <c r="BI47" s="10">
        <v>95587.82</v>
      </c>
      <c r="BJ47" s="3">
        <v>5558591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s="10">
        <v>429579.49</v>
      </c>
      <c r="BZ47" s="3">
        <v>16579123</v>
      </c>
      <c r="CA47" s="10">
        <v>5543863.6299999999</v>
      </c>
      <c r="CB47">
        <v>189.8</v>
      </c>
      <c r="CC47">
        <v>0</v>
      </c>
      <c r="CD47">
        <v>0</v>
      </c>
      <c r="CE47">
        <v>8.24</v>
      </c>
      <c r="CF47">
        <v>48</v>
      </c>
      <c r="CG47">
        <v>31</v>
      </c>
      <c r="CH47" s="11">
        <v>4591113</v>
      </c>
      <c r="CI47">
        <v>163</v>
      </c>
      <c r="CJ47">
        <v>937788.43528862495</v>
      </c>
      <c r="CK47">
        <v>5642122</v>
      </c>
      <c r="CL47">
        <v>1821400</v>
      </c>
      <c r="CM47">
        <v>0.350377039</v>
      </c>
      <c r="CN47">
        <v>0</v>
      </c>
    </row>
    <row r="48" spans="1:92" x14ac:dyDescent="0.2">
      <c r="A48" s="5">
        <v>45597</v>
      </c>
      <c r="B48" s="5" t="s">
        <v>40</v>
      </c>
      <c r="C48" s="2">
        <v>454103339.90377331</v>
      </c>
      <c r="D48" s="2">
        <v>22752240.710626666</v>
      </c>
      <c r="E48" s="2">
        <v>413725629.63573998</v>
      </c>
      <c r="F48" s="2">
        <v>2927258.4675199999</v>
      </c>
      <c r="G48" s="2">
        <v>12348489.21518</v>
      </c>
      <c r="H48" s="2">
        <v>8023866.6396199996</v>
      </c>
      <c r="I48" s="2">
        <v>468594.68007333332</v>
      </c>
      <c r="J48" s="2">
        <v>7263556.4224733328</v>
      </c>
      <c r="K48" s="2">
        <v>46506.506913333338</v>
      </c>
      <c r="L48" s="2">
        <v>198623.47136</v>
      </c>
      <c r="M48" s="3">
        <v>56.428699999999999</v>
      </c>
      <c r="N48" s="3">
        <v>48.576599999999999</v>
      </c>
      <c r="O48" s="3">
        <v>56.767299999999999</v>
      </c>
      <c r="P48" s="3">
        <v>62.857999999999997</v>
      </c>
      <c r="Q48" s="3">
        <v>62.328099999999999</v>
      </c>
      <c r="R48" s="4">
        <v>60.454574020000003</v>
      </c>
      <c r="S48" s="4">
        <v>0.74455808000000001</v>
      </c>
      <c r="T48" s="4">
        <v>60.122110810000002</v>
      </c>
      <c r="U48" s="4">
        <v>0.77396136999999998</v>
      </c>
      <c r="V48" s="4">
        <v>1.8568683399999999</v>
      </c>
      <c r="W48">
        <v>5009440</v>
      </c>
      <c r="X48">
        <v>139881</v>
      </c>
      <c r="Y48">
        <v>135924</v>
      </c>
      <c r="Z48">
        <v>6410</v>
      </c>
      <c r="AA48">
        <v>8108</v>
      </c>
      <c r="AB48">
        <v>430</v>
      </c>
      <c r="AC48" s="10">
        <v>1555741.5</v>
      </c>
      <c r="AD48" s="3">
        <v>16560734</v>
      </c>
      <c r="AE48">
        <v>0</v>
      </c>
      <c r="AF48">
        <v>0</v>
      </c>
      <c r="AG48" s="10">
        <v>235537.98</v>
      </c>
      <c r="AH48" s="3">
        <v>1402713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s="10">
        <v>260685.84</v>
      </c>
      <c r="AR48" s="3">
        <v>11210006</v>
      </c>
      <c r="AS48" s="10">
        <v>3739569.62</v>
      </c>
      <c r="AT48" s="3">
        <v>25506359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 s="10">
        <v>723710.86</v>
      </c>
      <c r="BF48" s="3">
        <v>27732085</v>
      </c>
      <c r="BG48" s="10">
        <v>2602409.2999999998</v>
      </c>
      <c r="BH48" s="3">
        <v>71942078</v>
      </c>
      <c r="BI48" s="10">
        <v>336897.19</v>
      </c>
      <c r="BJ48" s="3">
        <v>16950385</v>
      </c>
      <c r="BK48">
        <v>0</v>
      </c>
      <c r="BL48">
        <v>0</v>
      </c>
      <c r="BM48" s="10">
        <v>898936.23</v>
      </c>
      <c r="BN48" s="3">
        <v>29253962</v>
      </c>
      <c r="BO48">
        <v>0</v>
      </c>
      <c r="BP48">
        <v>0</v>
      </c>
      <c r="BQ48">
        <v>0</v>
      </c>
      <c r="BR48">
        <v>0</v>
      </c>
      <c r="BS48" s="10">
        <v>935999.66</v>
      </c>
      <c r="BT48" s="3">
        <v>4442776</v>
      </c>
      <c r="BU48">
        <v>0</v>
      </c>
      <c r="BV48">
        <v>0</v>
      </c>
      <c r="BW48" s="10">
        <v>2293429.21</v>
      </c>
      <c r="BX48" s="14">
        <v>180696821.46957383</v>
      </c>
      <c r="BY48" s="10">
        <v>856030.13</v>
      </c>
      <c r="BZ48" s="3">
        <v>9628048</v>
      </c>
      <c r="CA48" s="10">
        <v>4433301.72</v>
      </c>
      <c r="CB48">
        <v>105.31</v>
      </c>
      <c r="CC48" s="10">
        <v>175256.25</v>
      </c>
      <c r="CD48">
        <v>105</v>
      </c>
      <c r="CE48">
        <v>8.24</v>
      </c>
      <c r="CF48">
        <v>48</v>
      </c>
      <c r="CG48">
        <v>31</v>
      </c>
      <c r="CH48" s="11">
        <v>7670809</v>
      </c>
      <c r="CI48">
        <v>302</v>
      </c>
      <c r="CJ48">
        <v>2498689.7007689439</v>
      </c>
      <c r="CK48">
        <v>6593719</v>
      </c>
      <c r="CL48">
        <v>180677</v>
      </c>
      <c r="CM48">
        <v>0.238898153</v>
      </c>
      <c r="CN48">
        <v>0</v>
      </c>
    </row>
    <row r="49" spans="1:92" x14ac:dyDescent="0.2">
      <c r="A49" s="5">
        <v>45627</v>
      </c>
      <c r="B49" s="5" t="s">
        <v>40</v>
      </c>
      <c r="C49" s="2">
        <v>559120462.22205341</v>
      </c>
      <c r="D49" s="2">
        <v>29150035.342046671</v>
      </c>
      <c r="E49" s="2">
        <v>509069825.46082002</v>
      </c>
      <c r="F49" s="2">
        <v>3336039.0663600001</v>
      </c>
      <c r="G49" s="2">
        <v>14725580.993239999</v>
      </c>
      <c r="H49" s="2">
        <v>9602731.8129600007</v>
      </c>
      <c r="I49" s="2">
        <v>602897.02165333333</v>
      </c>
      <c r="J49" s="2">
        <v>8648649.055453334</v>
      </c>
      <c r="K49" s="2">
        <v>52255.586673333339</v>
      </c>
      <c r="L49" s="2">
        <v>242795.86058000001</v>
      </c>
      <c r="M49" s="3">
        <v>58.225099999999998</v>
      </c>
      <c r="N49" s="3">
        <v>48.349899999999998</v>
      </c>
      <c r="O49" s="3">
        <v>58.861199999999997</v>
      </c>
      <c r="P49" s="3">
        <v>63.840800000000002</v>
      </c>
      <c r="Q49" s="3">
        <v>60.65</v>
      </c>
      <c r="R49" s="4">
        <v>63.441816619999997</v>
      </c>
      <c r="S49" s="4">
        <v>0.75679865000000002</v>
      </c>
      <c r="T49" s="4">
        <v>63.217602130000003</v>
      </c>
      <c r="U49" s="4">
        <v>0.82428780000000001</v>
      </c>
      <c r="V49" s="4">
        <v>1.8783435799999999</v>
      </c>
      <c r="W49">
        <v>50065541</v>
      </c>
      <c r="X49">
        <v>42755</v>
      </c>
      <c r="Y49">
        <v>119341</v>
      </c>
      <c r="Z49">
        <v>5479</v>
      </c>
      <c r="AA49">
        <v>7229</v>
      </c>
      <c r="AB49">
        <v>242</v>
      </c>
      <c r="AC49" s="10">
        <v>30217.93</v>
      </c>
      <c r="AD49" s="3">
        <v>625461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10">
        <v>1284000</v>
      </c>
      <c r="AL49" s="3">
        <v>192600</v>
      </c>
      <c r="AM49">
        <v>0</v>
      </c>
      <c r="AN49">
        <v>0</v>
      </c>
      <c r="AO49" s="10">
        <v>287000</v>
      </c>
      <c r="AP49" s="3">
        <v>100000</v>
      </c>
      <c r="AQ49" s="10">
        <v>63403.03</v>
      </c>
      <c r="AR49" s="3">
        <v>3146319</v>
      </c>
      <c r="AS49" s="10">
        <v>1707435.75</v>
      </c>
      <c r="AT49" s="3">
        <v>3004476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s="10">
        <v>445000</v>
      </c>
      <c r="BD49" s="12">
        <v>74166666.666666701</v>
      </c>
      <c r="BE49" s="10">
        <v>196151.66</v>
      </c>
      <c r="BF49" s="3">
        <v>7758502</v>
      </c>
      <c r="BG49" s="10">
        <v>424380.12</v>
      </c>
      <c r="BH49" s="3">
        <v>10850216</v>
      </c>
      <c r="BI49" s="10">
        <v>375775.41</v>
      </c>
      <c r="BJ49" s="3">
        <v>22465228</v>
      </c>
      <c r="BK49">
        <v>0</v>
      </c>
      <c r="BL49">
        <v>0</v>
      </c>
      <c r="BM49" s="10">
        <v>112616</v>
      </c>
      <c r="BN49" s="3">
        <v>2864289</v>
      </c>
      <c r="BO49" s="10">
        <v>900000.11</v>
      </c>
      <c r="BP49">
        <v>47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s="10">
        <v>421523.31</v>
      </c>
      <c r="BZ49" s="3">
        <v>20243682</v>
      </c>
      <c r="CA49" s="10">
        <v>6544038.1399999997</v>
      </c>
      <c r="CB49">
        <v>77.540000000000006</v>
      </c>
      <c r="CC49" s="10">
        <v>820706.61</v>
      </c>
      <c r="CD49">
        <v>493</v>
      </c>
      <c r="CE49">
        <v>0</v>
      </c>
      <c r="CF49">
        <v>0</v>
      </c>
      <c r="CG49">
        <v>0</v>
      </c>
      <c r="CH49" s="11">
        <v>804503</v>
      </c>
      <c r="CI49">
        <v>0</v>
      </c>
      <c r="CJ49">
        <v>1040168.370259596</v>
      </c>
      <c r="CK49">
        <v>6901193</v>
      </c>
      <c r="CL49">
        <v>1785791</v>
      </c>
      <c r="CM49">
        <v>0.430717193</v>
      </c>
      <c r="CN49">
        <v>0</v>
      </c>
    </row>
    <row r="50" spans="1:92" x14ac:dyDescent="0.2">
      <c r="A50" s="5">
        <v>45658</v>
      </c>
      <c r="B50" s="5" t="s">
        <v>173</v>
      </c>
      <c r="C50" s="2">
        <v>507009079.9951933</v>
      </c>
      <c r="D50" s="2">
        <v>26653881.398953333</v>
      </c>
      <c r="E50" s="2">
        <v>460006236.99226665</v>
      </c>
      <c r="F50" s="2">
        <v>2723921.0802066666</v>
      </c>
      <c r="G50" s="2">
        <v>15018201.101253333</v>
      </c>
      <c r="H50" s="2">
        <v>8487652.9487533327</v>
      </c>
      <c r="I50" s="2">
        <v>550964.45371999999</v>
      </c>
      <c r="J50" s="2">
        <v>7590403.9216200002</v>
      </c>
      <c r="K50" s="2">
        <v>42309.313999999998</v>
      </c>
      <c r="L50" s="2">
        <v>252188.94024</v>
      </c>
      <c r="M50" s="3">
        <v>59.952500000000001</v>
      </c>
      <c r="N50" s="3">
        <v>48.316200000000002</v>
      </c>
      <c r="O50" s="3">
        <v>60.849800000000002</v>
      </c>
      <c r="P50" s="3">
        <v>64.143500000000003</v>
      </c>
      <c r="Q50" s="3">
        <v>59.404600000000002</v>
      </c>
      <c r="R50" s="4">
        <v>65.919887160000002</v>
      </c>
      <c r="S50" s="4">
        <v>0.75076359000000004</v>
      </c>
      <c r="T50" s="4">
        <v>65.614100109999995</v>
      </c>
      <c r="U50" s="4">
        <v>0.67842736000000003</v>
      </c>
      <c r="V50" s="4">
        <v>1.98021172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N50">
        <v>0</v>
      </c>
    </row>
    <row r="51" spans="1:92" x14ac:dyDescent="0.2">
      <c r="A51" s="5">
        <v>45689</v>
      </c>
      <c r="B51" s="5" t="s">
        <v>173</v>
      </c>
      <c r="C51" s="2">
        <v>454941569.87669331</v>
      </c>
      <c r="D51" s="2">
        <v>26016396.276853334</v>
      </c>
      <c r="E51" s="2">
        <v>410669492.16666663</v>
      </c>
      <c r="F51" s="2">
        <v>2301288.8761066669</v>
      </c>
      <c r="G51" s="2">
        <v>13367471.276053332</v>
      </c>
      <c r="H51" s="2">
        <v>7983461.6051533334</v>
      </c>
      <c r="I51" s="2">
        <v>536435.18662000005</v>
      </c>
      <c r="J51" s="2">
        <v>7138592.24352</v>
      </c>
      <c r="K51" s="2">
        <v>35464.753500000006</v>
      </c>
      <c r="L51" s="2">
        <v>221336.55643999999</v>
      </c>
      <c r="M51" s="3">
        <v>56.991999999999997</v>
      </c>
      <c r="N51" s="3">
        <v>48.447000000000003</v>
      </c>
      <c r="O51" s="3">
        <v>57.539299999999997</v>
      </c>
      <c r="P51" s="3">
        <v>64.641900000000007</v>
      </c>
      <c r="Q51" s="3">
        <v>60.291499999999999</v>
      </c>
      <c r="R51" s="4">
        <v>62.533726719999997</v>
      </c>
      <c r="S51" s="4">
        <v>0.76445251000000003</v>
      </c>
      <c r="T51" s="4">
        <v>62.023347690000001</v>
      </c>
      <c r="U51" s="4">
        <v>0.61509811000000003</v>
      </c>
      <c r="V51" s="4">
        <v>1.9726415100000001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N51">
        <v>-5.4404451616932262E-2</v>
      </c>
    </row>
    <row r="52" spans="1:92" x14ac:dyDescent="0.2">
      <c r="A52" s="5">
        <v>45717</v>
      </c>
      <c r="B52" s="5" t="s">
        <v>173</v>
      </c>
      <c r="C52" s="2">
        <v>448591885.23621333</v>
      </c>
      <c r="D52" s="2">
        <v>27791912.500993334</v>
      </c>
      <c r="E52" s="2">
        <v>402951615.69086665</v>
      </c>
      <c r="F52" s="2">
        <v>2259160.9365866669</v>
      </c>
      <c r="G52" s="2">
        <v>12892521.279993333</v>
      </c>
      <c r="H52" s="2">
        <v>7882913.865493333</v>
      </c>
      <c r="I52" s="2">
        <v>566223.44506000006</v>
      </c>
      <c r="J52" s="2">
        <v>7021215.5249600001</v>
      </c>
      <c r="K52" s="2">
        <v>33183.175999999999</v>
      </c>
      <c r="L52" s="2">
        <v>208927.73381999999</v>
      </c>
      <c r="M52" s="3">
        <v>56.9069</v>
      </c>
      <c r="N52" s="3">
        <v>49.082900000000002</v>
      </c>
      <c r="O52" s="3">
        <v>57.390599999999999</v>
      </c>
      <c r="P52" s="3">
        <v>68.081500000000005</v>
      </c>
      <c r="Q52" s="3">
        <v>61.707999999999998</v>
      </c>
      <c r="R52" s="4">
        <v>60.960705160000003</v>
      </c>
      <c r="S52" s="4">
        <v>0.74079236000000004</v>
      </c>
      <c r="T52" s="4">
        <v>60.583099879999999</v>
      </c>
      <c r="U52" s="4">
        <v>0.69372193000000004</v>
      </c>
      <c r="V52" s="4">
        <v>1.8307702299999999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N52">
        <v>-5.6848173699831431E-2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F6" sqref="F6"/>
    </sheetView>
  </sheetViews>
  <sheetFormatPr defaultColWidth="8.85546875" defaultRowHeight="12.75" x14ac:dyDescent="0.2"/>
  <cols>
    <col min="1" max="1" width="87.85546875" style="1" bestFit="1" customWidth="1"/>
    <col min="2" max="2" width="12.140625" style="1" bestFit="1" customWidth="1"/>
    <col min="3" max="3" width="16" style="1" bestFit="1" customWidth="1"/>
    <col min="4" max="4" width="14.7109375" style="1" bestFit="1" customWidth="1"/>
    <col min="5" max="5" width="21.42578125" style="1" customWidth="1"/>
    <col min="6" max="6" width="19.85546875" style="1" bestFit="1" customWidth="1"/>
    <col min="7" max="7" width="15.140625" style="1" customWidth="1"/>
    <col min="8" max="8" width="9.5703125" style="1" customWidth="1"/>
    <col min="9" max="9" width="15.42578125" style="1" customWidth="1"/>
    <col min="10" max="16384" width="8.85546875" style="1"/>
  </cols>
  <sheetData>
    <row r="1" spans="1:9" ht="15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 x14ac:dyDescent="0.2">
      <c r="A2" t="str">
        <f>_xlfn.TEXTJOIN("::",TRUE,B2:I2)</f>
        <v>Sales::Categoría::Sales::Sales::Sales::Independent::$::Sum</v>
      </c>
      <c r="B2" t="s">
        <v>9</v>
      </c>
      <c r="C2" t="s">
        <v>134</v>
      </c>
      <c r="D2" t="s">
        <v>9</v>
      </c>
      <c r="E2" t="s">
        <v>9</v>
      </c>
      <c r="F2" t="s">
        <v>9</v>
      </c>
      <c r="G2" t="s">
        <v>17</v>
      </c>
      <c r="H2" t="s">
        <v>18</v>
      </c>
      <c r="I2" t="s">
        <v>22</v>
      </c>
    </row>
    <row r="3" spans="1:9" x14ac:dyDescent="0.2">
      <c r="A3" t="str">
        <f t="shared" ref="A3:A61" si="0">_xlfn.TEXTJOIN("::",TRUE,B3:I3)</f>
        <v>Sales::Controlled Label::Sales::Sales::Sales::Independent::$::Sum</v>
      </c>
      <c r="B3" t="s">
        <v>9</v>
      </c>
      <c r="C3" t="s">
        <v>11</v>
      </c>
      <c r="D3" t="s">
        <v>9</v>
      </c>
      <c r="E3" t="s">
        <v>9</v>
      </c>
      <c r="F3" t="s">
        <v>9</v>
      </c>
      <c r="G3" t="s">
        <v>17</v>
      </c>
      <c r="H3" t="s">
        <v>18</v>
      </c>
      <c r="I3" t="s">
        <v>22</v>
      </c>
    </row>
    <row r="4" spans="1:9" x14ac:dyDescent="0.2">
      <c r="A4" t="str">
        <f t="shared" si="0"/>
        <v>Sales:: Carnation::Sales::Sales::Sales::Independent::$::Sum</v>
      </c>
      <c r="B4" t="s">
        <v>9</v>
      </c>
      <c r="C4" t="s">
        <v>80</v>
      </c>
      <c r="D4" t="s">
        <v>9</v>
      </c>
      <c r="E4" t="s">
        <v>9</v>
      </c>
      <c r="F4" t="s">
        <v>9</v>
      </c>
      <c r="G4" t="s">
        <v>17</v>
      </c>
      <c r="H4" t="s">
        <v>18</v>
      </c>
      <c r="I4" t="s">
        <v>22</v>
      </c>
    </row>
    <row r="5" spans="1:9" x14ac:dyDescent="0.2">
      <c r="A5" t="str">
        <f t="shared" si="0"/>
        <v>Sales::Lala::Sales::Sales::Sales::Independent::$::Sum</v>
      </c>
      <c r="B5" t="s">
        <v>9</v>
      </c>
      <c r="C5" t="s">
        <v>12</v>
      </c>
      <c r="D5" t="s">
        <v>9</v>
      </c>
      <c r="E5" t="s">
        <v>9</v>
      </c>
      <c r="F5" t="s">
        <v>9</v>
      </c>
      <c r="G5" t="s">
        <v>17</v>
      </c>
      <c r="H5" t="s">
        <v>18</v>
      </c>
      <c r="I5" t="s">
        <v>22</v>
      </c>
    </row>
    <row r="6" spans="1:9" x14ac:dyDescent="0.2">
      <c r="A6" t="str">
        <f t="shared" si="0"/>
        <v>Sales::Alpura::Sales::Sales::Sales::Independent::$::Sum</v>
      </c>
      <c r="B6" t="s">
        <v>9</v>
      </c>
      <c r="C6" t="s">
        <v>13</v>
      </c>
      <c r="D6" t="s">
        <v>9</v>
      </c>
      <c r="E6" t="s">
        <v>9</v>
      </c>
      <c r="F6" t="s">
        <v>9</v>
      </c>
      <c r="G6" t="s">
        <v>17</v>
      </c>
      <c r="H6" t="s">
        <v>18</v>
      </c>
      <c r="I6" t="s">
        <v>22</v>
      </c>
    </row>
    <row r="7" spans="1:9" x14ac:dyDescent="0.2">
      <c r="A7" t="str">
        <f t="shared" si="0"/>
        <v>Sales::Categoría::Sales::Sales::Sales::Independent::L::Sum</v>
      </c>
      <c r="B7" t="s">
        <v>9</v>
      </c>
      <c r="C7" t="s">
        <v>134</v>
      </c>
      <c r="D7" t="s">
        <v>9</v>
      </c>
      <c r="E7" t="s">
        <v>9</v>
      </c>
      <c r="F7" t="s">
        <v>9</v>
      </c>
      <c r="G7" t="s">
        <v>17</v>
      </c>
      <c r="H7" t="s">
        <v>19</v>
      </c>
      <c r="I7" t="s">
        <v>22</v>
      </c>
    </row>
    <row r="8" spans="1:9" x14ac:dyDescent="0.2">
      <c r="A8" t="str">
        <f t="shared" si="0"/>
        <v>Sales::Controlled Label::Sales::Sales::Sales::Independent::L::Sum</v>
      </c>
      <c r="B8" t="s">
        <v>9</v>
      </c>
      <c r="C8" t="s">
        <v>11</v>
      </c>
      <c r="D8" t="s">
        <v>9</v>
      </c>
      <c r="E8" t="s">
        <v>9</v>
      </c>
      <c r="F8" t="s">
        <v>9</v>
      </c>
      <c r="G8" t="s">
        <v>17</v>
      </c>
      <c r="H8" t="s">
        <v>19</v>
      </c>
      <c r="I8" t="s">
        <v>22</v>
      </c>
    </row>
    <row r="9" spans="1:9" x14ac:dyDescent="0.2">
      <c r="A9" t="str">
        <f t="shared" si="0"/>
        <v>Sales:: Carnation::Sales::Sales::Sales::Dependent::L::Sum</v>
      </c>
      <c r="B9" t="s">
        <v>9</v>
      </c>
      <c r="C9" t="s">
        <v>80</v>
      </c>
      <c r="D9" t="s">
        <v>9</v>
      </c>
      <c r="E9" t="s">
        <v>9</v>
      </c>
      <c r="F9" t="s">
        <v>9</v>
      </c>
      <c r="G9" t="s">
        <v>15</v>
      </c>
      <c r="H9" t="s">
        <v>19</v>
      </c>
      <c r="I9" t="s">
        <v>22</v>
      </c>
    </row>
    <row r="10" spans="1:9" x14ac:dyDescent="0.2">
      <c r="A10" t="str">
        <f t="shared" si="0"/>
        <v>Sales::Lala::Sales::Sales::Sales::Independent::L::Sum</v>
      </c>
      <c r="B10" t="s">
        <v>9</v>
      </c>
      <c r="C10" t="s">
        <v>12</v>
      </c>
      <c r="D10" t="s">
        <v>9</v>
      </c>
      <c r="E10" t="s">
        <v>9</v>
      </c>
      <c r="F10" t="s">
        <v>9</v>
      </c>
      <c r="G10" t="s">
        <v>17</v>
      </c>
      <c r="H10" t="s">
        <v>19</v>
      </c>
      <c r="I10" t="s">
        <v>22</v>
      </c>
    </row>
    <row r="11" spans="1:9" x14ac:dyDescent="0.2">
      <c r="A11" t="str">
        <f t="shared" si="0"/>
        <v>Sales::Alpura::Sales::Sales::Sales::Independent::L::Sum</v>
      </c>
      <c r="B11" t="s">
        <v>9</v>
      </c>
      <c r="C11" t="s">
        <v>13</v>
      </c>
      <c r="D11" t="s">
        <v>9</v>
      </c>
      <c r="E11" t="s">
        <v>9</v>
      </c>
      <c r="F11" t="s">
        <v>9</v>
      </c>
      <c r="G11" t="s">
        <v>17</v>
      </c>
      <c r="H11" t="s">
        <v>19</v>
      </c>
      <c r="I11" t="s">
        <v>22</v>
      </c>
    </row>
    <row r="12" spans="1:9" x14ac:dyDescent="0.2">
      <c r="A12" t="str">
        <f t="shared" si="0"/>
        <v>Price::Categoría::Price::Price::Price::Independent::$/L::Average</v>
      </c>
      <c r="B12" t="s">
        <v>10</v>
      </c>
      <c r="C12" t="s">
        <v>134</v>
      </c>
      <c r="D12" t="s">
        <v>10</v>
      </c>
      <c r="E12" t="s">
        <v>10</v>
      </c>
      <c r="F12" t="s">
        <v>10</v>
      </c>
      <c r="G12" t="s">
        <v>17</v>
      </c>
      <c r="H12" t="s">
        <v>20</v>
      </c>
      <c r="I12" t="s">
        <v>23</v>
      </c>
    </row>
    <row r="13" spans="1:9" x14ac:dyDescent="0.2">
      <c r="A13" t="str">
        <f t="shared" si="0"/>
        <v>Price::Controlled Label::Price::Price::Price::Independent::$/L::Average</v>
      </c>
      <c r="B13" t="s">
        <v>10</v>
      </c>
      <c r="C13" t="s">
        <v>11</v>
      </c>
      <c r="D13" t="s">
        <v>10</v>
      </c>
      <c r="E13" t="s">
        <v>10</v>
      </c>
      <c r="F13" t="s">
        <v>10</v>
      </c>
      <c r="G13" t="s">
        <v>17</v>
      </c>
      <c r="H13" t="s">
        <v>20</v>
      </c>
      <c r="I13" t="s">
        <v>23</v>
      </c>
    </row>
    <row r="14" spans="1:9" x14ac:dyDescent="0.2">
      <c r="A14" t="str">
        <f t="shared" si="0"/>
        <v>Price:: Carnation::Price::Price::Price::Effort::$/L::Average</v>
      </c>
      <c r="B14" t="s">
        <v>10</v>
      </c>
      <c r="C14" t="s">
        <v>80</v>
      </c>
      <c r="D14" t="s">
        <v>10</v>
      </c>
      <c r="E14" t="s">
        <v>10</v>
      </c>
      <c r="F14" t="s">
        <v>10</v>
      </c>
      <c r="G14" t="s">
        <v>16</v>
      </c>
      <c r="H14" t="s">
        <v>20</v>
      </c>
      <c r="I14" t="s">
        <v>23</v>
      </c>
    </row>
    <row r="15" spans="1:9" x14ac:dyDescent="0.2">
      <c r="A15" t="str">
        <f t="shared" si="0"/>
        <v>Price::Lala::Price::Price::Price::Independent::$/L::Average</v>
      </c>
      <c r="B15" t="s">
        <v>10</v>
      </c>
      <c r="C15" t="s">
        <v>12</v>
      </c>
      <c r="D15" t="s">
        <v>10</v>
      </c>
      <c r="E15" t="s">
        <v>10</v>
      </c>
      <c r="F15" t="s">
        <v>10</v>
      </c>
      <c r="G15" t="s">
        <v>17</v>
      </c>
      <c r="H15" t="s">
        <v>20</v>
      </c>
      <c r="I15" t="s">
        <v>23</v>
      </c>
    </row>
    <row r="16" spans="1:9" x14ac:dyDescent="0.2">
      <c r="A16" t="str">
        <f t="shared" si="0"/>
        <v>Price::Alpura::Price::Price::Price::Independent::$/L::Average</v>
      </c>
      <c r="B16" t="s">
        <v>10</v>
      </c>
      <c r="C16" t="s">
        <v>13</v>
      </c>
      <c r="D16" t="s">
        <v>10</v>
      </c>
      <c r="E16" t="s">
        <v>10</v>
      </c>
      <c r="F16" t="s">
        <v>10</v>
      </c>
      <c r="G16" t="s">
        <v>17</v>
      </c>
      <c r="H16" t="s">
        <v>20</v>
      </c>
      <c r="I16" t="s">
        <v>23</v>
      </c>
    </row>
    <row r="17" spans="1:9" x14ac:dyDescent="0.2">
      <c r="A17" t="str">
        <f t="shared" si="0"/>
        <v>Nominal Dist.::Categoría::Nominal Dist.::Nominal Dist.::Nominal Dist.::Independent::%::Average</v>
      </c>
      <c r="B17" t="s">
        <v>14</v>
      </c>
      <c r="C17" t="s">
        <v>134</v>
      </c>
      <c r="D17" t="s">
        <v>14</v>
      </c>
      <c r="E17" t="s">
        <v>14</v>
      </c>
      <c r="F17" t="s">
        <v>14</v>
      </c>
      <c r="G17" t="s">
        <v>17</v>
      </c>
      <c r="H17" t="s">
        <v>21</v>
      </c>
      <c r="I17" t="s">
        <v>23</v>
      </c>
    </row>
    <row r="18" spans="1:9" x14ac:dyDescent="0.2">
      <c r="A18" t="str">
        <f t="shared" si="0"/>
        <v>Nominal Dist.::Controlled Label::Nominal Dist.::Nominal Dist.::Nominal Dist.::Independent::%::Average</v>
      </c>
      <c r="B18" t="s">
        <v>14</v>
      </c>
      <c r="C18" t="s">
        <v>11</v>
      </c>
      <c r="D18" t="s">
        <v>14</v>
      </c>
      <c r="E18" t="s">
        <v>14</v>
      </c>
      <c r="F18" t="s">
        <v>14</v>
      </c>
      <c r="G18" t="s">
        <v>17</v>
      </c>
      <c r="H18" t="s">
        <v>21</v>
      </c>
      <c r="I18" t="s">
        <v>23</v>
      </c>
    </row>
    <row r="19" spans="1:9" x14ac:dyDescent="0.2">
      <c r="A19" t="str">
        <f t="shared" si="0"/>
        <v>Nominal Dist.:: Carnation::Nominal Dist.::Nominal Dist.::Nominal Dist.::Effort::%::Average</v>
      </c>
      <c r="B19" t="s">
        <v>14</v>
      </c>
      <c r="C19" t="s">
        <v>80</v>
      </c>
      <c r="D19" t="s">
        <v>14</v>
      </c>
      <c r="E19" t="s">
        <v>14</v>
      </c>
      <c r="F19" t="s">
        <v>14</v>
      </c>
      <c r="G19" t="s">
        <v>16</v>
      </c>
      <c r="H19" t="s">
        <v>21</v>
      </c>
      <c r="I19" t="s">
        <v>23</v>
      </c>
    </row>
    <row r="20" spans="1:9" x14ac:dyDescent="0.2">
      <c r="A20" t="str">
        <f t="shared" si="0"/>
        <v>Nominal Dist.::Lala::Nominal Dist.::Nominal Dist.::Nominal Dist.::Independent::%::Average</v>
      </c>
      <c r="B20" t="s">
        <v>14</v>
      </c>
      <c r="C20" t="s">
        <v>12</v>
      </c>
      <c r="D20" t="s">
        <v>14</v>
      </c>
      <c r="E20" t="s">
        <v>14</v>
      </c>
      <c r="F20" t="s">
        <v>14</v>
      </c>
      <c r="G20" t="s">
        <v>17</v>
      </c>
      <c r="H20" t="s">
        <v>21</v>
      </c>
      <c r="I20" t="s">
        <v>23</v>
      </c>
    </row>
    <row r="21" spans="1:9" x14ac:dyDescent="0.2">
      <c r="A21" t="str">
        <f t="shared" si="0"/>
        <v>Nominal Dist.::Alpura::Nominal Dist.::Nominal Dist.::Nominal Dist.::Independent::%::Average</v>
      </c>
      <c r="B21" t="s">
        <v>14</v>
      </c>
      <c r="C21" t="s">
        <v>13</v>
      </c>
      <c r="D21" t="s">
        <v>14</v>
      </c>
      <c r="E21" t="s">
        <v>14</v>
      </c>
      <c r="F21" t="s">
        <v>14</v>
      </c>
      <c r="G21" t="s">
        <v>17</v>
      </c>
      <c r="H21" t="s">
        <v>21</v>
      </c>
      <c r="I21" t="s">
        <v>23</v>
      </c>
    </row>
    <row r="22" spans="1:9" x14ac:dyDescent="0.2">
      <c r="A22" t="str">
        <f t="shared" si="0"/>
        <v>Organic Media::Recetas Nestlé::Recetas Nestlé::Medios orgánicos::Facebook::Effort::Impresiones::Sum</v>
      </c>
      <c r="B22" t="s">
        <v>58</v>
      </c>
      <c r="C22" t="s">
        <v>61</v>
      </c>
      <c r="D22" t="s">
        <v>61</v>
      </c>
      <c r="E22" t="s">
        <v>88</v>
      </c>
      <c r="F22" t="s">
        <v>42</v>
      </c>
      <c r="G22" t="s">
        <v>16</v>
      </c>
      <c r="H22" t="s">
        <v>128</v>
      </c>
      <c r="I22" t="s">
        <v>22</v>
      </c>
    </row>
    <row r="23" spans="1:9" x14ac:dyDescent="0.2">
      <c r="A23" t="str">
        <f t="shared" si="0"/>
        <v>Organic Media::Recetas Nestlé::Recetas Nestlé::Medios orgánicos::Facebook::Effort::Engagement::Sum</v>
      </c>
      <c r="B23" t="s">
        <v>58</v>
      </c>
      <c r="C23" t="s">
        <v>61</v>
      </c>
      <c r="D23" t="s">
        <v>61</v>
      </c>
      <c r="E23" t="s">
        <v>88</v>
      </c>
      <c r="F23" t="s">
        <v>42</v>
      </c>
      <c r="G23" t="s">
        <v>16</v>
      </c>
      <c r="H23" t="s">
        <v>59</v>
      </c>
      <c r="I23" t="s">
        <v>22</v>
      </c>
    </row>
    <row r="24" spans="1:9" x14ac:dyDescent="0.2">
      <c r="A24" t="str">
        <f t="shared" si="0"/>
        <v>Organic Media::Recetas Nestlé::Recetas Nestlé::Medios orgánicos::Instagram::Effort::Impresiones::Sum</v>
      </c>
      <c r="B24" t="s">
        <v>58</v>
      </c>
      <c r="C24" t="s">
        <v>61</v>
      </c>
      <c r="D24" t="s">
        <v>61</v>
      </c>
      <c r="E24" t="s">
        <v>88</v>
      </c>
      <c r="F24" t="s">
        <v>60</v>
      </c>
      <c r="G24" t="s">
        <v>16</v>
      </c>
      <c r="H24" t="s">
        <v>128</v>
      </c>
      <c r="I24" t="s">
        <v>22</v>
      </c>
    </row>
    <row r="25" spans="1:9" x14ac:dyDescent="0.2">
      <c r="A25" t="str">
        <f t="shared" si="0"/>
        <v>Organic Media::Recetas Nestlé::Recetas Nestlé::Medios orgánicos::Instagram::Effort::Engagement::Sum</v>
      </c>
      <c r="B25" t="s">
        <v>58</v>
      </c>
      <c r="C25" t="s">
        <v>61</v>
      </c>
      <c r="D25" t="s">
        <v>61</v>
      </c>
      <c r="E25" t="s">
        <v>88</v>
      </c>
      <c r="F25" t="s">
        <v>60</v>
      </c>
      <c r="G25" t="s">
        <v>16</v>
      </c>
      <c r="H25" t="s">
        <v>59</v>
      </c>
      <c r="I25" t="s">
        <v>22</v>
      </c>
    </row>
    <row r="26" spans="1:9" x14ac:dyDescent="0.2">
      <c r="A26" t="str">
        <f t="shared" si="0"/>
        <v>Organic Media::Recetas Nestlé::Recetas Nestlé::Medios orgánicos::TikTok::Effort::Impresiones::Sum</v>
      </c>
      <c r="B26" t="s">
        <v>58</v>
      </c>
      <c r="C26" t="s">
        <v>61</v>
      </c>
      <c r="D26" t="s">
        <v>61</v>
      </c>
      <c r="E26" t="s">
        <v>88</v>
      </c>
      <c r="F26" t="s">
        <v>45</v>
      </c>
      <c r="G26" t="s">
        <v>16</v>
      </c>
      <c r="H26" t="s">
        <v>128</v>
      </c>
      <c r="I26" t="s">
        <v>22</v>
      </c>
    </row>
    <row r="27" spans="1:9" x14ac:dyDescent="0.2">
      <c r="A27" t="str">
        <f t="shared" si="0"/>
        <v>Organic Media::Recetas Nestlé::Recetas Nestlé::Medios orgánicos::TikTok::Effort::Engagement::Sum</v>
      </c>
      <c r="B27" t="s">
        <v>58</v>
      </c>
      <c r="C27" t="s">
        <v>61</v>
      </c>
      <c r="D27" t="s">
        <v>61</v>
      </c>
      <c r="E27" t="s">
        <v>88</v>
      </c>
      <c r="F27" t="s">
        <v>45</v>
      </c>
      <c r="G27" t="s">
        <v>16</v>
      </c>
      <c r="H27" t="s">
        <v>59</v>
      </c>
      <c r="I27" t="s">
        <v>22</v>
      </c>
    </row>
    <row r="28" spans="1:9" x14ac:dyDescent="0.2">
      <c r="A28" t="str">
        <f t="shared" si="0"/>
        <v>Media:: Carnation::Medios pagados::Web::Adsmovil::Spend::$::Sum</v>
      </c>
      <c r="B28" t="s">
        <v>41</v>
      </c>
      <c r="C28" t="s">
        <v>80</v>
      </c>
      <c r="D28" t="s">
        <v>87</v>
      </c>
      <c r="E28" t="s">
        <v>81</v>
      </c>
      <c r="F28" t="s">
        <v>49</v>
      </c>
      <c r="G28" t="s">
        <v>57</v>
      </c>
      <c r="H28" t="s">
        <v>18</v>
      </c>
      <c r="I28" t="s">
        <v>22</v>
      </c>
    </row>
    <row r="29" spans="1:9" x14ac:dyDescent="0.2">
      <c r="A29" t="str">
        <f t="shared" si="0"/>
        <v>Media:: Carnation::Medios pagados::Web::Adsmovil::Effort::Impresiones::Sum</v>
      </c>
      <c r="B29" t="s">
        <v>41</v>
      </c>
      <c r="C29" t="s">
        <v>80</v>
      </c>
      <c r="D29" t="s">
        <v>87</v>
      </c>
      <c r="E29" t="s">
        <v>81</v>
      </c>
      <c r="F29" t="s">
        <v>49</v>
      </c>
      <c r="G29" t="s">
        <v>16</v>
      </c>
      <c r="H29" t="s">
        <v>128</v>
      </c>
      <c r="I29" t="s">
        <v>22</v>
      </c>
    </row>
    <row r="30" spans="1:9" x14ac:dyDescent="0.2">
      <c r="A30" t="str">
        <f t="shared" si="0"/>
        <v>Media:: Carnation::Medios pagados::E-commerce::Amazon Display::Spend::$::Sum</v>
      </c>
      <c r="B30" t="s">
        <v>41</v>
      </c>
      <c r="C30" t="s">
        <v>80</v>
      </c>
      <c r="D30" t="s">
        <v>87</v>
      </c>
      <c r="E30" t="s">
        <v>179</v>
      </c>
      <c r="F30" t="s">
        <v>62</v>
      </c>
      <c r="G30" t="s">
        <v>57</v>
      </c>
      <c r="H30" t="s">
        <v>18</v>
      </c>
      <c r="I30" t="s">
        <v>22</v>
      </c>
    </row>
    <row r="31" spans="1:9" x14ac:dyDescent="0.2">
      <c r="A31" t="str">
        <f t="shared" si="0"/>
        <v>Media:: Carnation::Medios pagados::E-commerce::Amazon Display::Effort::Impresiones::Sum</v>
      </c>
      <c r="B31" t="s">
        <v>41</v>
      </c>
      <c r="C31" t="s">
        <v>80</v>
      </c>
      <c r="D31" t="s">
        <v>87</v>
      </c>
      <c r="E31" t="s">
        <v>179</v>
      </c>
      <c r="F31" t="s">
        <v>62</v>
      </c>
      <c r="G31" t="s">
        <v>16</v>
      </c>
      <c r="H31" t="s">
        <v>128</v>
      </c>
      <c r="I31" t="s">
        <v>22</v>
      </c>
    </row>
    <row r="32" spans="1:9" x14ac:dyDescent="0.2">
      <c r="A32" t="str">
        <f t="shared" si="0"/>
        <v>Media:: Carnation::Medios pagados::Streaming::Amazon Prime Video::Spend::$::Sum</v>
      </c>
      <c r="B32" t="s">
        <v>41</v>
      </c>
      <c r="C32" t="s">
        <v>80</v>
      </c>
      <c r="D32" t="s">
        <v>87</v>
      </c>
      <c r="E32" t="s">
        <v>82</v>
      </c>
      <c r="F32" t="s">
        <v>63</v>
      </c>
      <c r="G32" t="s">
        <v>57</v>
      </c>
      <c r="H32" t="s">
        <v>18</v>
      </c>
      <c r="I32" t="s">
        <v>22</v>
      </c>
    </row>
    <row r="33" spans="1:9" x14ac:dyDescent="0.2">
      <c r="A33" t="str">
        <f t="shared" si="0"/>
        <v>Media:: Carnation::Medios pagados::Streaming::Amazon Prime Video::Effort::Impresiones::Sum</v>
      </c>
      <c r="B33" t="s">
        <v>41</v>
      </c>
      <c r="C33" t="s">
        <v>80</v>
      </c>
      <c r="D33" t="s">
        <v>87</v>
      </c>
      <c r="E33" t="s">
        <v>82</v>
      </c>
      <c r="F33" t="s">
        <v>63</v>
      </c>
      <c r="G33" t="s">
        <v>16</v>
      </c>
      <c r="H33" t="s">
        <v>128</v>
      </c>
      <c r="I33" t="s">
        <v>22</v>
      </c>
    </row>
    <row r="34" spans="1:9" x14ac:dyDescent="0.2">
      <c r="A34" t="str">
        <f t="shared" si="0"/>
        <v>Media:: Carnation::Medios pagados::E-commerce::Amazon Search::Spend::$::Sum</v>
      </c>
      <c r="B34" t="s">
        <v>41</v>
      </c>
      <c r="C34" t="s">
        <v>80</v>
      </c>
      <c r="D34" t="s">
        <v>87</v>
      </c>
      <c r="E34" t="s">
        <v>179</v>
      </c>
      <c r="F34" t="s">
        <v>64</v>
      </c>
      <c r="G34" t="s">
        <v>57</v>
      </c>
      <c r="H34" t="s">
        <v>18</v>
      </c>
      <c r="I34" t="s">
        <v>22</v>
      </c>
    </row>
    <row r="35" spans="1:9" x14ac:dyDescent="0.2">
      <c r="A35" t="str">
        <f t="shared" si="0"/>
        <v>Media:: Carnation::Medios pagados::E-commerce::Amazon Search::Effort::Impresiones::Sum</v>
      </c>
      <c r="B35" t="s">
        <v>41</v>
      </c>
      <c r="C35" t="s">
        <v>80</v>
      </c>
      <c r="D35" t="s">
        <v>87</v>
      </c>
      <c r="E35" t="s">
        <v>179</v>
      </c>
      <c r="F35" t="s">
        <v>64</v>
      </c>
      <c r="G35" t="s">
        <v>16</v>
      </c>
      <c r="H35" t="s">
        <v>128</v>
      </c>
      <c r="I35" t="s">
        <v>22</v>
      </c>
    </row>
    <row r="36" spans="1:9" x14ac:dyDescent="0.2">
      <c r="A36" t="str">
        <f t="shared" si="0"/>
        <v>Media:: Carnation::Medios pagados::TV::Azteca::Spend::$::Sum</v>
      </c>
      <c r="B36" t="s">
        <v>41</v>
      </c>
      <c r="C36" t="s">
        <v>80</v>
      </c>
      <c r="D36" t="s">
        <v>87</v>
      </c>
      <c r="E36" t="s">
        <v>83</v>
      </c>
      <c r="F36" t="s">
        <v>65</v>
      </c>
      <c r="G36" t="s">
        <v>57</v>
      </c>
      <c r="H36" t="s">
        <v>18</v>
      </c>
      <c r="I36" t="s">
        <v>22</v>
      </c>
    </row>
    <row r="37" spans="1:9" x14ac:dyDescent="0.2">
      <c r="A37" t="str">
        <f t="shared" si="0"/>
        <v>Media:: Carnation::Medios pagados::TV::Azteca::Effort::Impresiones::Sum</v>
      </c>
      <c r="B37" t="s">
        <v>41</v>
      </c>
      <c r="C37" t="s">
        <v>80</v>
      </c>
      <c r="D37" t="s">
        <v>87</v>
      </c>
      <c r="E37" t="s">
        <v>83</v>
      </c>
      <c r="F37" t="s">
        <v>65</v>
      </c>
      <c r="G37" t="s">
        <v>16</v>
      </c>
      <c r="H37" t="s">
        <v>128</v>
      </c>
      <c r="I37" t="s">
        <v>22</v>
      </c>
    </row>
    <row r="38" spans="1:9" x14ac:dyDescent="0.2">
      <c r="A38" t="str">
        <f t="shared" si="0"/>
        <v>Media:: Carnation::Medios pagados::Medios tradicionales::Cine::Spend::$::Sum</v>
      </c>
      <c r="B38" t="s">
        <v>41</v>
      </c>
      <c r="C38" t="s">
        <v>80</v>
      </c>
      <c r="D38" t="s">
        <v>87</v>
      </c>
      <c r="E38" t="s">
        <v>84</v>
      </c>
      <c r="F38" t="s">
        <v>66</v>
      </c>
      <c r="G38" t="s">
        <v>57</v>
      </c>
      <c r="H38" t="s">
        <v>18</v>
      </c>
      <c r="I38" t="s">
        <v>22</v>
      </c>
    </row>
    <row r="39" spans="1:9" x14ac:dyDescent="0.2">
      <c r="A39" t="str">
        <f t="shared" si="0"/>
        <v>Media:: Carnation::Medios pagados::Medios tradicionales::Cine::Effort::Impresiones::Sum</v>
      </c>
      <c r="B39" t="s">
        <v>41</v>
      </c>
      <c r="C39" t="s">
        <v>80</v>
      </c>
      <c r="D39" t="s">
        <v>87</v>
      </c>
      <c r="E39" t="s">
        <v>84</v>
      </c>
      <c r="F39" t="s">
        <v>66</v>
      </c>
      <c r="G39" t="s">
        <v>16</v>
      </c>
      <c r="H39" t="s">
        <v>128</v>
      </c>
      <c r="I39" t="s">
        <v>22</v>
      </c>
    </row>
    <row r="40" spans="1:9" x14ac:dyDescent="0.2">
      <c r="A40" t="str">
        <f t="shared" si="0"/>
        <v>Media:: Carnation::Medios pagados::Web::Contenido::Spend::$::Sum</v>
      </c>
      <c r="B40" t="s">
        <v>41</v>
      </c>
      <c r="C40" t="s">
        <v>80</v>
      </c>
      <c r="D40" t="s">
        <v>87</v>
      </c>
      <c r="E40" t="s">
        <v>81</v>
      </c>
      <c r="F40" t="s">
        <v>67</v>
      </c>
      <c r="G40" t="s">
        <v>57</v>
      </c>
      <c r="H40" t="s">
        <v>18</v>
      </c>
      <c r="I40" t="s">
        <v>22</v>
      </c>
    </row>
    <row r="41" spans="1:9" x14ac:dyDescent="0.2">
      <c r="A41" t="str">
        <f t="shared" si="0"/>
        <v>Media:: Carnation::Medios pagados::Web::Contenido::Effort::Impresiones::Sum</v>
      </c>
      <c r="B41" t="s">
        <v>41</v>
      </c>
      <c r="C41" t="s">
        <v>80</v>
      </c>
      <c r="D41" t="s">
        <v>87</v>
      </c>
      <c r="E41" t="s">
        <v>81</v>
      </c>
      <c r="F41" t="s">
        <v>67</v>
      </c>
      <c r="G41" t="s">
        <v>16</v>
      </c>
      <c r="H41" t="s">
        <v>128</v>
      </c>
      <c r="I41" t="s">
        <v>22</v>
      </c>
    </row>
    <row r="42" spans="1:9" x14ac:dyDescent="0.2">
      <c r="A42" t="str">
        <f t="shared" si="0"/>
        <v>Media:: Carnation::Medios pagados::Web::Criteo::Spend::$::Sum</v>
      </c>
      <c r="B42" t="s">
        <v>41</v>
      </c>
      <c r="C42" t="s">
        <v>80</v>
      </c>
      <c r="D42" t="s">
        <v>87</v>
      </c>
      <c r="E42" t="s">
        <v>81</v>
      </c>
      <c r="F42" t="s">
        <v>51</v>
      </c>
      <c r="G42" t="s">
        <v>57</v>
      </c>
      <c r="H42" t="s">
        <v>18</v>
      </c>
      <c r="I42" t="s">
        <v>22</v>
      </c>
    </row>
    <row r="43" spans="1:9" x14ac:dyDescent="0.2">
      <c r="A43" t="str">
        <f t="shared" si="0"/>
        <v>Media:: Carnation::Medios pagados::Web::Criteo::Effort::Impresiones::Sum</v>
      </c>
      <c r="B43" t="s">
        <v>41</v>
      </c>
      <c r="C43" t="s">
        <v>80</v>
      </c>
      <c r="D43" t="s">
        <v>87</v>
      </c>
      <c r="E43" t="s">
        <v>81</v>
      </c>
      <c r="F43" t="s">
        <v>51</v>
      </c>
      <c r="G43" t="s">
        <v>16</v>
      </c>
      <c r="H43" t="s">
        <v>128</v>
      </c>
      <c r="I43" t="s">
        <v>22</v>
      </c>
    </row>
    <row r="44" spans="1:9" x14ac:dyDescent="0.2">
      <c r="A44" t="str">
        <f t="shared" si="0"/>
        <v>Media:: Carnation::Medios pagados::TV::CTV::Spend::$::Sum</v>
      </c>
      <c r="B44" t="s">
        <v>41</v>
      </c>
      <c r="C44" t="s">
        <v>80</v>
      </c>
      <c r="D44" t="s">
        <v>87</v>
      </c>
      <c r="E44" t="s">
        <v>83</v>
      </c>
      <c r="F44" t="s">
        <v>47</v>
      </c>
      <c r="G44" t="s">
        <v>57</v>
      </c>
      <c r="H44" t="s">
        <v>18</v>
      </c>
      <c r="I44" t="s">
        <v>22</v>
      </c>
    </row>
    <row r="45" spans="1:9" x14ac:dyDescent="0.2">
      <c r="A45" t="str">
        <f t="shared" si="0"/>
        <v>Media:: Carnation::Medios pagados::TV::CTV::Effort::Impresiones::Sum</v>
      </c>
      <c r="B45" t="s">
        <v>41</v>
      </c>
      <c r="C45" t="s">
        <v>80</v>
      </c>
      <c r="D45" t="s">
        <v>87</v>
      </c>
      <c r="E45" t="s">
        <v>83</v>
      </c>
      <c r="F45" t="s">
        <v>47</v>
      </c>
      <c r="G45" t="s">
        <v>16</v>
      </c>
      <c r="H45" t="s">
        <v>128</v>
      </c>
      <c r="I45" t="s">
        <v>22</v>
      </c>
    </row>
    <row r="46" spans="1:9" x14ac:dyDescent="0.2">
      <c r="A46" t="str">
        <f t="shared" si="0"/>
        <v>Media:: Carnation::Medios pagados::Web::Demand G::Spend::$::Sum</v>
      </c>
      <c r="B46" t="s">
        <v>41</v>
      </c>
      <c r="C46" t="s">
        <v>80</v>
      </c>
      <c r="D46" t="s">
        <v>87</v>
      </c>
      <c r="E46" t="s">
        <v>81</v>
      </c>
      <c r="F46" t="s">
        <v>44</v>
      </c>
      <c r="G46" t="s">
        <v>57</v>
      </c>
      <c r="H46" t="s">
        <v>18</v>
      </c>
      <c r="I46" t="s">
        <v>22</v>
      </c>
    </row>
    <row r="47" spans="1:9" x14ac:dyDescent="0.2">
      <c r="A47" t="str">
        <f t="shared" si="0"/>
        <v>Media:: Carnation::Medios pagados::Web::Demand G::Effort::Impresiones::Sum</v>
      </c>
      <c r="B47" t="s">
        <v>41</v>
      </c>
      <c r="C47" t="s">
        <v>80</v>
      </c>
      <c r="D47" t="s">
        <v>87</v>
      </c>
      <c r="E47" t="s">
        <v>81</v>
      </c>
      <c r="F47" t="s">
        <v>44</v>
      </c>
      <c r="G47" t="s">
        <v>16</v>
      </c>
      <c r="H47" t="s">
        <v>128</v>
      </c>
      <c r="I47" t="s">
        <v>22</v>
      </c>
    </row>
    <row r="48" spans="1:9" x14ac:dyDescent="0.2">
      <c r="A48" t="str">
        <f t="shared" si="0"/>
        <v>Media:: Carnation::Medios pagados::Web::Digital Wifi Metro::Spend::$::Sum</v>
      </c>
      <c r="B48" t="s">
        <v>41</v>
      </c>
      <c r="C48" t="s">
        <v>80</v>
      </c>
      <c r="D48" t="s">
        <v>87</v>
      </c>
      <c r="E48" t="s">
        <v>81</v>
      </c>
      <c r="F48" t="s">
        <v>68</v>
      </c>
      <c r="G48" t="s">
        <v>57</v>
      </c>
      <c r="H48" t="s">
        <v>18</v>
      </c>
      <c r="I48" t="s">
        <v>22</v>
      </c>
    </row>
    <row r="49" spans="1:9" x14ac:dyDescent="0.2">
      <c r="A49" t="str">
        <f t="shared" si="0"/>
        <v>Media:: Carnation::Medios pagados::Web::Digital Wifi Metro::Effort::Impresiones::Sum</v>
      </c>
      <c r="B49" t="s">
        <v>41</v>
      </c>
      <c r="C49" t="s">
        <v>80</v>
      </c>
      <c r="D49" t="s">
        <v>87</v>
      </c>
      <c r="E49" t="s">
        <v>81</v>
      </c>
      <c r="F49" t="s">
        <v>68</v>
      </c>
      <c r="G49" t="s">
        <v>16</v>
      </c>
      <c r="H49" t="s">
        <v>128</v>
      </c>
      <c r="I49" t="s">
        <v>22</v>
      </c>
    </row>
    <row r="50" spans="1:9" x14ac:dyDescent="0.2">
      <c r="A50" t="str">
        <f t="shared" si="0"/>
        <v>Media:: Carnation::Medios pagados::Medios tradicionales::DOOH::Spend::$::Sum</v>
      </c>
      <c r="B50" t="s">
        <v>41</v>
      </c>
      <c r="C50" t="s">
        <v>80</v>
      </c>
      <c r="D50" t="s">
        <v>87</v>
      </c>
      <c r="E50" t="s">
        <v>84</v>
      </c>
      <c r="F50" t="s">
        <v>79</v>
      </c>
      <c r="G50" t="s">
        <v>57</v>
      </c>
      <c r="H50" t="s">
        <v>18</v>
      </c>
      <c r="I50" t="s">
        <v>22</v>
      </c>
    </row>
    <row r="51" spans="1:9" x14ac:dyDescent="0.2">
      <c r="A51" t="str">
        <f t="shared" si="0"/>
        <v>Media:: Carnation::Medios pagados::Medios tradicionales::DOOH::Effort::Impresiones::Sum</v>
      </c>
      <c r="B51" t="s">
        <v>41</v>
      </c>
      <c r="C51" t="s">
        <v>80</v>
      </c>
      <c r="D51" t="s">
        <v>87</v>
      </c>
      <c r="E51" t="s">
        <v>84</v>
      </c>
      <c r="F51" t="s">
        <v>79</v>
      </c>
      <c r="G51" t="s">
        <v>16</v>
      </c>
      <c r="H51" t="s">
        <v>128</v>
      </c>
      <c r="I51" t="s">
        <v>22</v>
      </c>
    </row>
    <row r="52" spans="1:9" x14ac:dyDescent="0.2">
      <c r="A52" t="str">
        <f t="shared" si="0"/>
        <v>Media:: Carnation::Medios pagados::Web::Dynamic::Spend::$::Sum</v>
      </c>
      <c r="B52" t="s">
        <v>41</v>
      </c>
      <c r="C52" t="s">
        <v>80</v>
      </c>
      <c r="D52" t="s">
        <v>87</v>
      </c>
      <c r="E52" t="s">
        <v>81</v>
      </c>
      <c r="F52" t="s">
        <v>69</v>
      </c>
      <c r="G52" t="s">
        <v>57</v>
      </c>
      <c r="H52" t="s">
        <v>18</v>
      </c>
      <c r="I52" t="s">
        <v>22</v>
      </c>
    </row>
    <row r="53" spans="1:9" x14ac:dyDescent="0.2">
      <c r="A53" t="str">
        <f t="shared" si="0"/>
        <v>Media:: Carnation::Medios pagados::Web::Dynamic::Effort::Impresiones::Sum</v>
      </c>
      <c r="B53" t="s">
        <v>41</v>
      </c>
      <c r="C53" t="s">
        <v>80</v>
      </c>
      <c r="D53" t="s">
        <v>87</v>
      </c>
      <c r="E53" t="s">
        <v>81</v>
      </c>
      <c r="F53" t="s">
        <v>69</v>
      </c>
      <c r="G53" t="s">
        <v>16</v>
      </c>
      <c r="H53" t="s">
        <v>128</v>
      </c>
      <c r="I53" t="s">
        <v>22</v>
      </c>
    </row>
    <row r="54" spans="1:9" x14ac:dyDescent="0.2">
      <c r="A54" t="str">
        <f t="shared" si="0"/>
        <v>Media:: Carnation::Medios pagados::Web::Estandar Banner::Spend::$::Sum</v>
      </c>
      <c r="B54" t="s">
        <v>41</v>
      </c>
      <c r="C54" t="s">
        <v>80</v>
      </c>
      <c r="D54" t="s">
        <v>87</v>
      </c>
      <c r="E54" t="s">
        <v>81</v>
      </c>
      <c r="F54" t="s">
        <v>70</v>
      </c>
      <c r="G54" t="s">
        <v>57</v>
      </c>
      <c r="H54" t="s">
        <v>18</v>
      </c>
      <c r="I54" t="s">
        <v>22</v>
      </c>
    </row>
    <row r="55" spans="1:9" x14ac:dyDescent="0.2">
      <c r="A55" t="str">
        <f t="shared" si="0"/>
        <v>Media:: Carnation::Medios pagados::Web::Estandar Banner::Effort::Impresiones::Sum</v>
      </c>
      <c r="B55" t="s">
        <v>41</v>
      </c>
      <c r="C55" t="s">
        <v>80</v>
      </c>
      <c r="D55" t="s">
        <v>87</v>
      </c>
      <c r="E55" t="s">
        <v>81</v>
      </c>
      <c r="F55" t="s">
        <v>70</v>
      </c>
      <c r="G55" t="s">
        <v>16</v>
      </c>
      <c r="H55" t="s">
        <v>128</v>
      </c>
      <c r="I55" t="s">
        <v>22</v>
      </c>
    </row>
    <row r="56" spans="1:9" x14ac:dyDescent="0.2">
      <c r="A56" t="str">
        <f t="shared" si="0"/>
        <v>Media:: Carnation::Medios pagados::Redes sociales::Facebook Consider::Spend::$::Sum</v>
      </c>
      <c r="B56" t="s">
        <v>41</v>
      </c>
      <c r="C56" t="s">
        <v>80</v>
      </c>
      <c r="D56" t="s">
        <v>87</v>
      </c>
      <c r="E56" t="s">
        <v>85</v>
      </c>
      <c r="F56" t="s">
        <v>71</v>
      </c>
      <c r="G56" t="s">
        <v>57</v>
      </c>
      <c r="H56" t="s">
        <v>18</v>
      </c>
      <c r="I56" t="s">
        <v>22</v>
      </c>
    </row>
    <row r="57" spans="1:9" x14ac:dyDescent="0.2">
      <c r="A57" t="str">
        <f t="shared" si="0"/>
        <v>Media:: Carnation::Medios pagados::Redes sociales::Facebook Consider::Effort::Impresiones::Sum</v>
      </c>
      <c r="B57" t="s">
        <v>41</v>
      </c>
      <c r="C57" t="s">
        <v>80</v>
      </c>
      <c r="D57" t="s">
        <v>87</v>
      </c>
      <c r="E57" t="s">
        <v>85</v>
      </c>
      <c r="F57" t="s">
        <v>71</v>
      </c>
      <c r="G57" t="s">
        <v>16</v>
      </c>
      <c r="H57" t="s">
        <v>128</v>
      </c>
      <c r="I57" t="s">
        <v>22</v>
      </c>
    </row>
    <row r="58" spans="1:9" x14ac:dyDescent="0.2">
      <c r="A58" t="str">
        <f t="shared" si="0"/>
        <v>Media:: Carnation::Medios pagados::Redes sociales::Facebook Encounter::Spend::$::Sum</v>
      </c>
      <c r="B58" t="s">
        <v>41</v>
      </c>
      <c r="C58" t="s">
        <v>80</v>
      </c>
      <c r="D58" t="s">
        <v>87</v>
      </c>
      <c r="E58" t="s">
        <v>85</v>
      </c>
      <c r="F58" t="s">
        <v>72</v>
      </c>
      <c r="G58" t="s">
        <v>57</v>
      </c>
      <c r="H58" t="s">
        <v>18</v>
      </c>
      <c r="I58" t="s">
        <v>22</v>
      </c>
    </row>
    <row r="59" spans="1:9" x14ac:dyDescent="0.2">
      <c r="A59" t="str">
        <f t="shared" si="0"/>
        <v>Media:: Carnation::Medios pagados::Redes sociales::Facebook Encounter::Effort::Impresiones::Sum</v>
      </c>
      <c r="B59" t="s">
        <v>41</v>
      </c>
      <c r="C59" t="s">
        <v>80</v>
      </c>
      <c r="D59" t="s">
        <v>87</v>
      </c>
      <c r="E59" t="s">
        <v>85</v>
      </c>
      <c r="F59" t="s">
        <v>72</v>
      </c>
      <c r="G59" t="s">
        <v>16</v>
      </c>
      <c r="H59" t="s">
        <v>128</v>
      </c>
      <c r="I59" t="s">
        <v>22</v>
      </c>
    </row>
    <row r="60" spans="1:9" x14ac:dyDescent="0.2">
      <c r="A60" t="str">
        <f t="shared" si="0"/>
        <v>Media:: Carnation::Medios pagados::Redes sociales::Facebook Purchase::Spend::$::Sum</v>
      </c>
      <c r="B60" t="s">
        <v>41</v>
      </c>
      <c r="C60" t="s">
        <v>80</v>
      </c>
      <c r="D60" t="s">
        <v>87</v>
      </c>
      <c r="E60" t="s">
        <v>85</v>
      </c>
      <c r="F60" t="s">
        <v>73</v>
      </c>
      <c r="G60" t="s">
        <v>57</v>
      </c>
      <c r="H60" t="s">
        <v>18</v>
      </c>
      <c r="I60" t="s">
        <v>22</v>
      </c>
    </row>
    <row r="61" spans="1:9" x14ac:dyDescent="0.2">
      <c r="A61" t="str">
        <f t="shared" si="0"/>
        <v>Media:: Carnation::Medios pagados::Redes sociales::Facebook Purchase::Effort::Impresiones::Sum</v>
      </c>
      <c r="B61" t="s">
        <v>41</v>
      </c>
      <c r="C61" t="s">
        <v>80</v>
      </c>
      <c r="D61" t="s">
        <v>87</v>
      </c>
      <c r="E61" t="s">
        <v>85</v>
      </c>
      <c r="F61" t="s">
        <v>73</v>
      </c>
      <c r="G61" t="s">
        <v>16</v>
      </c>
      <c r="H61" t="s">
        <v>128</v>
      </c>
      <c r="I61" t="s">
        <v>22</v>
      </c>
    </row>
    <row r="62" spans="1:9" x14ac:dyDescent="0.2">
      <c r="A62" t="str">
        <f t="shared" ref="A62:A86" si="1">_xlfn.TEXTJOIN("::",TRUE,B62:I62)</f>
        <v>Media:: Carnation::Medios pagados::Redes sociales::Facebook Repurchase::Spend::$::Sum</v>
      </c>
      <c r="B62" t="s">
        <v>41</v>
      </c>
      <c r="C62" t="s">
        <v>80</v>
      </c>
      <c r="D62" t="s">
        <v>87</v>
      </c>
      <c r="E62" t="s">
        <v>85</v>
      </c>
      <c r="F62" t="s">
        <v>74</v>
      </c>
      <c r="G62" t="s">
        <v>57</v>
      </c>
      <c r="H62" t="s">
        <v>18</v>
      </c>
      <c r="I62" t="s">
        <v>22</v>
      </c>
    </row>
    <row r="63" spans="1:9" x14ac:dyDescent="0.2">
      <c r="A63" t="str">
        <f t="shared" si="1"/>
        <v>Media:: Carnation::Medios pagados::Redes sociales::Facebook Repurchase::Effort::Impresiones::Sum</v>
      </c>
      <c r="B63" t="s">
        <v>41</v>
      </c>
      <c r="C63" t="s">
        <v>80</v>
      </c>
      <c r="D63" t="s">
        <v>87</v>
      </c>
      <c r="E63" t="s">
        <v>85</v>
      </c>
      <c r="F63" t="s">
        <v>74</v>
      </c>
      <c r="G63" t="s">
        <v>16</v>
      </c>
      <c r="H63" t="s">
        <v>128</v>
      </c>
      <c r="I63" t="s">
        <v>22</v>
      </c>
    </row>
    <row r="64" spans="1:9" x14ac:dyDescent="0.2">
      <c r="A64" t="str">
        <f t="shared" si="1"/>
        <v>Media:: Carnation::Medios pagados::Web::PMAX::Spend::$::Sum</v>
      </c>
      <c r="B64" t="s">
        <v>41</v>
      </c>
      <c r="C64" t="s">
        <v>80</v>
      </c>
      <c r="D64" t="s">
        <v>87</v>
      </c>
      <c r="E64" t="s">
        <v>81</v>
      </c>
      <c r="F64" t="s">
        <v>43</v>
      </c>
      <c r="G64" t="s">
        <v>57</v>
      </c>
      <c r="H64" t="s">
        <v>18</v>
      </c>
      <c r="I64" t="s">
        <v>22</v>
      </c>
    </row>
    <row r="65" spans="1:9" x14ac:dyDescent="0.2">
      <c r="A65" t="str">
        <f t="shared" si="1"/>
        <v>Media:: Carnation::Medios pagados::Web::PMAX::Effort::Impresiones::Sum</v>
      </c>
      <c r="B65" t="s">
        <v>41</v>
      </c>
      <c r="C65" t="s">
        <v>80</v>
      </c>
      <c r="D65" t="s">
        <v>87</v>
      </c>
      <c r="E65" t="s">
        <v>81</v>
      </c>
      <c r="F65" t="s">
        <v>43</v>
      </c>
      <c r="G65" t="s">
        <v>16</v>
      </c>
      <c r="H65" t="s">
        <v>128</v>
      </c>
      <c r="I65" t="s">
        <v>22</v>
      </c>
    </row>
    <row r="66" spans="1:9" x14ac:dyDescent="0.2">
      <c r="A66" t="str">
        <f t="shared" si="1"/>
        <v>Media:: Carnation::Medios pagados::Medios tradicionales::Radio::Spend::$::Sum</v>
      </c>
      <c r="B66" t="s">
        <v>41</v>
      </c>
      <c r="C66" t="s">
        <v>80</v>
      </c>
      <c r="D66" t="s">
        <v>87</v>
      </c>
      <c r="E66" t="s">
        <v>84</v>
      </c>
      <c r="F66" t="s">
        <v>75</v>
      </c>
      <c r="G66" t="s">
        <v>57</v>
      </c>
      <c r="H66" t="s">
        <v>18</v>
      </c>
      <c r="I66" t="s">
        <v>22</v>
      </c>
    </row>
    <row r="67" spans="1:9" x14ac:dyDescent="0.2">
      <c r="A67" t="str">
        <f t="shared" si="1"/>
        <v>Media:: Carnation::Medios pagados::Medios tradicionales::Radio::Effort::Impresiones::Sum</v>
      </c>
      <c r="B67" t="s">
        <v>41</v>
      </c>
      <c r="C67" t="s">
        <v>80</v>
      </c>
      <c r="D67" t="s">
        <v>87</v>
      </c>
      <c r="E67" t="s">
        <v>84</v>
      </c>
      <c r="F67" t="s">
        <v>75</v>
      </c>
      <c r="G67" t="s">
        <v>16</v>
      </c>
      <c r="H67" t="s">
        <v>128</v>
      </c>
      <c r="I67" t="s">
        <v>22</v>
      </c>
    </row>
    <row r="68" spans="1:9" x14ac:dyDescent="0.2">
      <c r="A68" t="str">
        <f t="shared" si="1"/>
        <v>Media:: Carnation::Medios pagados::Search::Google::Spend::$::Sum</v>
      </c>
      <c r="B68" t="s">
        <v>41</v>
      </c>
      <c r="C68" t="s">
        <v>80</v>
      </c>
      <c r="D68" t="s">
        <v>87</v>
      </c>
      <c r="E68" t="s">
        <v>50</v>
      </c>
      <c r="F68" t="s">
        <v>86</v>
      </c>
      <c r="G68" t="s">
        <v>57</v>
      </c>
      <c r="H68" t="s">
        <v>18</v>
      </c>
      <c r="I68" t="s">
        <v>22</v>
      </c>
    </row>
    <row r="69" spans="1:9" x14ac:dyDescent="0.2">
      <c r="A69" t="str">
        <f t="shared" si="1"/>
        <v>Media:: Carnation::Medios pagados::Search::Google::Effort::Impresiones::Sum</v>
      </c>
      <c r="B69" t="s">
        <v>41</v>
      </c>
      <c r="C69" t="s">
        <v>80</v>
      </c>
      <c r="D69" t="s">
        <v>87</v>
      </c>
      <c r="E69" t="s">
        <v>50</v>
      </c>
      <c r="F69" t="s">
        <v>86</v>
      </c>
      <c r="G69" t="s">
        <v>16</v>
      </c>
      <c r="H69" t="s">
        <v>128</v>
      </c>
      <c r="I69" t="s">
        <v>22</v>
      </c>
    </row>
    <row r="70" spans="1:9" x14ac:dyDescent="0.2">
      <c r="A70" t="str">
        <f t="shared" si="1"/>
        <v>Media:: Carnation::Medios pagados::Streaming::Spotify::Spend::$::Sum</v>
      </c>
      <c r="B70" t="s">
        <v>41</v>
      </c>
      <c r="C70" t="s">
        <v>80</v>
      </c>
      <c r="D70" t="s">
        <v>87</v>
      </c>
      <c r="E70" t="s">
        <v>82</v>
      </c>
      <c r="F70" t="s">
        <v>48</v>
      </c>
      <c r="G70" t="s">
        <v>57</v>
      </c>
      <c r="H70" t="s">
        <v>18</v>
      </c>
      <c r="I70" t="s">
        <v>22</v>
      </c>
    </row>
    <row r="71" spans="1:9" x14ac:dyDescent="0.2">
      <c r="A71" t="str">
        <f t="shared" si="1"/>
        <v>Media:: Carnation::Medios pagados::Streaming::Spotify::Effort::Impresiones::Sum</v>
      </c>
      <c r="B71" t="s">
        <v>41</v>
      </c>
      <c r="C71" t="s">
        <v>80</v>
      </c>
      <c r="D71" t="s">
        <v>87</v>
      </c>
      <c r="E71" t="s">
        <v>82</v>
      </c>
      <c r="F71" t="s">
        <v>48</v>
      </c>
      <c r="G71" t="s">
        <v>16</v>
      </c>
      <c r="H71" t="s">
        <v>128</v>
      </c>
      <c r="I71" t="s">
        <v>22</v>
      </c>
    </row>
    <row r="72" spans="1:9" x14ac:dyDescent="0.2">
      <c r="A72" t="str">
        <f t="shared" si="1"/>
        <v>Media:: Carnation::Medios pagados::Web::Teads::Spend::$::Sum</v>
      </c>
      <c r="B72" t="s">
        <v>41</v>
      </c>
      <c r="C72" t="s">
        <v>80</v>
      </c>
      <c r="D72" t="s">
        <v>87</v>
      </c>
      <c r="E72" t="s">
        <v>81</v>
      </c>
      <c r="F72" t="s">
        <v>46</v>
      </c>
      <c r="G72" t="s">
        <v>57</v>
      </c>
      <c r="H72" t="s">
        <v>18</v>
      </c>
      <c r="I72" t="s">
        <v>22</v>
      </c>
    </row>
    <row r="73" spans="1:9" x14ac:dyDescent="0.2">
      <c r="A73" t="str">
        <f t="shared" si="1"/>
        <v>Media:: Carnation::Medios pagados::Web::Teads::Effort::Impresiones::Sum</v>
      </c>
      <c r="B73" t="s">
        <v>41</v>
      </c>
      <c r="C73" t="s">
        <v>80</v>
      </c>
      <c r="D73" t="s">
        <v>87</v>
      </c>
      <c r="E73" t="s">
        <v>81</v>
      </c>
      <c r="F73" t="s">
        <v>46</v>
      </c>
      <c r="G73" t="s">
        <v>16</v>
      </c>
      <c r="H73" t="s">
        <v>128</v>
      </c>
      <c r="I73" t="s">
        <v>22</v>
      </c>
    </row>
    <row r="74" spans="1:9" x14ac:dyDescent="0.2">
      <c r="A74" t="str">
        <f t="shared" si="1"/>
        <v>Media:: Carnation::Medios pagados::Redes sociales::Tik Tok::Spend::$::Sum</v>
      </c>
      <c r="B74" t="s">
        <v>41</v>
      </c>
      <c r="C74" t="s">
        <v>80</v>
      </c>
      <c r="D74" t="s">
        <v>87</v>
      </c>
      <c r="E74" t="s">
        <v>85</v>
      </c>
      <c r="F74" t="s">
        <v>76</v>
      </c>
      <c r="G74" t="s">
        <v>57</v>
      </c>
      <c r="H74" t="s">
        <v>18</v>
      </c>
      <c r="I74" t="s">
        <v>22</v>
      </c>
    </row>
    <row r="75" spans="1:9" x14ac:dyDescent="0.2">
      <c r="A75" s="15" t="str">
        <f t="shared" si="1"/>
        <v>Media:: Carnation::Medios pagados::Redes sociales::Tik Tok::Effort::Impresiones::Sum</v>
      </c>
      <c r="B75" t="s">
        <v>41</v>
      </c>
      <c r="C75" t="s">
        <v>80</v>
      </c>
      <c r="D75" t="s">
        <v>87</v>
      </c>
      <c r="E75" t="s">
        <v>85</v>
      </c>
      <c r="F75" t="s">
        <v>76</v>
      </c>
      <c r="G75" t="s">
        <v>16</v>
      </c>
      <c r="H75" t="s">
        <v>128</v>
      </c>
      <c r="I75" t="s">
        <v>22</v>
      </c>
    </row>
    <row r="76" spans="1:9" x14ac:dyDescent="0.2">
      <c r="A76" t="str">
        <f t="shared" si="1"/>
        <v>Media:: Carnation::Medios pagados::Streaming::Youtube::Spend::$::Sum</v>
      </c>
      <c r="B76" t="s">
        <v>41</v>
      </c>
      <c r="C76" t="s">
        <v>80</v>
      </c>
      <c r="D76" t="s">
        <v>87</v>
      </c>
      <c r="E76" t="s">
        <v>82</v>
      </c>
      <c r="F76" t="s">
        <v>77</v>
      </c>
      <c r="G76" t="s">
        <v>57</v>
      </c>
      <c r="H76" t="s">
        <v>18</v>
      </c>
      <c r="I76" t="s">
        <v>22</v>
      </c>
    </row>
    <row r="77" spans="1:9" x14ac:dyDescent="0.2">
      <c r="A77" t="str">
        <f t="shared" si="1"/>
        <v>Media:: Carnation::Medios pagados::Streaming::Youtube::Effort::Impresiones::Sum</v>
      </c>
      <c r="B77" t="s">
        <v>41</v>
      </c>
      <c r="C77" t="s">
        <v>80</v>
      </c>
      <c r="D77" t="s">
        <v>87</v>
      </c>
      <c r="E77" t="s">
        <v>82</v>
      </c>
      <c r="F77" t="s">
        <v>77</v>
      </c>
      <c r="G77" t="s">
        <v>16</v>
      </c>
      <c r="H77" t="s">
        <v>128</v>
      </c>
      <c r="I77" t="s">
        <v>22</v>
      </c>
    </row>
    <row r="78" spans="1:9" x14ac:dyDescent="0.2">
      <c r="A78" t="str">
        <f t="shared" si="1"/>
        <v>Media:: Carnation::Medios pagados::TV::Open TV::Spend::$::Sum</v>
      </c>
      <c r="B78" t="s">
        <v>41</v>
      </c>
      <c r="C78" t="s">
        <v>80</v>
      </c>
      <c r="D78" t="s">
        <v>87</v>
      </c>
      <c r="E78" t="s">
        <v>83</v>
      </c>
      <c r="F78" t="s">
        <v>52</v>
      </c>
      <c r="G78" t="s">
        <v>57</v>
      </c>
      <c r="H78" t="s">
        <v>18</v>
      </c>
      <c r="I78" t="s">
        <v>22</v>
      </c>
    </row>
    <row r="79" spans="1:9" x14ac:dyDescent="0.2">
      <c r="A79" t="str">
        <f t="shared" si="1"/>
        <v>Media:: Carnation::Medios pagados::TV::Open TV::Effort::TRPs::Sum</v>
      </c>
      <c r="B79" t="s">
        <v>41</v>
      </c>
      <c r="C79" t="s">
        <v>80</v>
      </c>
      <c r="D79" t="s">
        <v>87</v>
      </c>
      <c r="E79" t="s">
        <v>83</v>
      </c>
      <c r="F79" t="s">
        <v>52</v>
      </c>
      <c r="G79" t="s">
        <v>16</v>
      </c>
      <c r="H79" t="s">
        <v>53</v>
      </c>
      <c r="I79" t="s">
        <v>22</v>
      </c>
    </row>
    <row r="80" spans="1:9" x14ac:dyDescent="0.2">
      <c r="A80" t="str">
        <f t="shared" si="1"/>
        <v>Media:: Carnation::Medios pagados::TV::Pay TV::Spend::$::Sum</v>
      </c>
      <c r="B80" t="s">
        <v>41</v>
      </c>
      <c r="C80" t="s">
        <v>80</v>
      </c>
      <c r="D80" t="s">
        <v>87</v>
      </c>
      <c r="E80" t="s">
        <v>83</v>
      </c>
      <c r="F80" t="s">
        <v>78</v>
      </c>
      <c r="G80" t="s">
        <v>57</v>
      </c>
      <c r="H80" t="s">
        <v>18</v>
      </c>
      <c r="I80" t="s">
        <v>22</v>
      </c>
    </row>
    <row r="81" spans="1:9" x14ac:dyDescent="0.2">
      <c r="A81" t="str">
        <f t="shared" si="1"/>
        <v>Media:: Carnation::Medios pagados::TV::Pay TV::Effort::TRPs::Sum</v>
      </c>
      <c r="B81" t="s">
        <v>41</v>
      </c>
      <c r="C81" t="s">
        <v>80</v>
      </c>
      <c r="D81" t="s">
        <v>87</v>
      </c>
      <c r="E81" t="s">
        <v>83</v>
      </c>
      <c r="F81" t="s">
        <v>78</v>
      </c>
      <c r="G81" t="s">
        <v>16</v>
      </c>
      <c r="H81" t="s">
        <v>53</v>
      </c>
      <c r="I81" t="s">
        <v>22</v>
      </c>
    </row>
    <row r="82" spans="1:9" x14ac:dyDescent="0.2">
      <c r="A82" t="str">
        <f t="shared" si="1"/>
        <v>Media:: Carnation::Medios pagados::TV::Open TV::Effort::Frecuencia::Sum</v>
      </c>
      <c r="B82" t="s">
        <v>41</v>
      </c>
      <c r="C82" t="s">
        <v>80</v>
      </c>
      <c r="D82" t="s">
        <v>87</v>
      </c>
      <c r="E82" t="s">
        <v>83</v>
      </c>
      <c r="F82" t="s">
        <v>52</v>
      </c>
      <c r="G82" t="s">
        <v>16</v>
      </c>
      <c r="H82" t="s">
        <v>127</v>
      </c>
      <c r="I82" t="s">
        <v>22</v>
      </c>
    </row>
    <row r="83" spans="1:9" x14ac:dyDescent="0.2">
      <c r="A83" t="str">
        <f t="shared" si="1"/>
        <v>Media:: Carnation::Medios pagados::TV::Open TV::Effort::Reach 1+::Sum</v>
      </c>
      <c r="B83" t="s">
        <v>41</v>
      </c>
      <c r="C83" t="s">
        <v>80</v>
      </c>
      <c r="D83" t="s">
        <v>87</v>
      </c>
      <c r="E83" t="s">
        <v>83</v>
      </c>
      <c r="F83" t="s">
        <v>52</v>
      </c>
      <c r="G83" t="s">
        <v>16</v>
      </c>
      <c r="H83" t="s">
        <v>54</v>
      </c>
      <c r="I83" t="s">
        <v>22</v>
      </c>
    </row>
    <row r="84" spans="1:9" x14ac:dyDescent="0.2">
      <c r="A84" t="str">
        <f t="shared" si="1"/>
        <v>Media:: Carnation::Medios pagados::TV::Open TV::Effort::Reach 3+::Sum</v>
      </c>
      <c r="B84" t="s">
        <v>41</v>
      </c>
      <c r="C84" t="s">
        <v>80</v>
      </c>
      <c r="D84" t="s">
        <v>87</v>
      </c>
      <c r="E84" t="s">
        <v>83</v>
      </c>
      <c r="F84" t="s">
        <v>52</v>
      </c>
      <c r="G84" t="s">
        <v>16</v>
      </c>
      <c r="H84" t="s">
        <v>55</v>
      </c>
      <c r="I84" t="s">
        <v>22</v>
      </c>
    </row>
    <row r="85" spans="1:9" x14ac:dyDescent="0.2">
      <c r="A85" t="str">
        <f t="shared" si="1"/>
        <v>Media:: Carnation::Medios pagados::Medios tradicionales::OOH::Spend::$::Sum</v>
      </c>
      <c r="B85" t="s">
        <v>41</v>
      </c>
      <c r="C85" t="s">
        <v>80</v>
      </c>
      <c r="D85" t="s">
        <v>87</v>
      </c>
      <c r="E85" t="s">
        <v>84</v>
      </c>
      <c r="F85" t="s">
        <v>56</v>
      </c>
      <c r="G85" t="s">
        <v>57</v>
      </c>
      <c r="H85" t="s">
        <v>18</v>
      </c>
      <c r="I85" t="s">
        <v>22</v>
      </c>
    </row>
    <row r="86" spans="1:9" x14ac:dyDescent="0.2">
      <c r="A86" t="str">
        <f t="shared" si="1"/>
        <v>Media:: Carnation::Medios pagados::Medios tradicionales::OOH::Effort::Materiales::Sum</v>
      </c>
      <c r="B86" t="s">
        <v>41</v>
      </c>
      <c r="C86" t="s">
        <v>80</v>
      </c>
      <c r="D86" t="s">
        <v>87</v>
      </c>
      <c r="E86" t="s">
        <v>84</v>
      </c>
      <c r="F86" t="s">
        <v>56</v>
      </c>
      <c r="G86" t="s">
        <v>16</v>
      </c>
      <c r="H86" t="s">
        <v>126</v>
      </c>
      <c r="I86" t="s">
        <v>22</v>
      </c>
    </row>
    <row r="87" spans="1:9" x14ac:dyDescent="0.2">
      <c r="A87" t="str">
        <f>_xlfn.TEXTJOIN("::",TRUE,B87:I87)</f>
        <v>Organic Media::Recetas Nestlé::Recetas Nestlé::Medios orgánicos::Subsitio Carnation::Effort::Visitas::Sum</v>
      </c>
      <c r="B87" t="s">
        <v>58</v>
      </c>
      <c r="C87" t="s">
        <v>61</v>
      </c>
      <c r="D87" t="s">
        <v>61</v>
      </c>
      <c r="E87" t="s">
        <v>88</v>
      </c>
      <c r="F87" t="s">
        <v>123</v>
      </c>
      <c r="G87" t="s">
        <v>16</v>
      </c>
      <c r="H87" t="s">
        <v>124</v>
      </c>
      <c r="I87" t="s">
        <v>22</v>
      </c>
    </row>
    <row r="88" spans="1:9" x14ac:dyDescent="0.2">
      <c r="A88" t="str">
        <f>_xlfn.TEXTJOIN("::",TRUE,B88:I88)</f>
        <v>Organic Media::Recetas Nestlé::Recetas Nestlé::Medios orgánicos::Sitio Recetas Nestlé::Effort::Visitas::Sum</v>
      </c>
      <c r="B88" t="s">
        <v>58</v>
      </c>
      <c r="C88" t="s">
        <v>61</v>
      </c>
      <c r="D88" t="s">
        <v>61</v>
      </c>
      <c r="E88" t="s">
        <v>88</v>
      </c>
      <c r="F88" t="s">
        <v>125</v>
      </c>
      <c r="G88" t="s">
        <v>16</v>
      </c>
      <c r="H88" t="s">
        <v>124</v>
      </c>
      <c r="I88" t="s">
        <v>22</v>
      </c>
    </row>
    <row r="89" spans="1:9" x14ac:dyDescent="0.2">
      <c r="A89" t="str">
        <f>_xlfn.TEXTJOIN("::",TRUE,B89:I89)</f>
        <v>Organic Media::Recetas Nestlé::Recetas Nestlé::Medios orgánicos::CRM::Effort::Envíos::Sum</v>
      </c>
      <c r="B89" t="s">
        <v>58</v>
      </c>
      <c r="C89" t="s">
        <v>61</v>
      </c>
      <c r="D89" t="s">
        <v>61</v>
      </c>
      <c r="E89" t="s">
        <v>88</v>
      </c>
      <c r="F89" t="s">
        <v>174</v>
      </c>
      <c r="G89" t="s">
        <v>16</v>
      </c>
      <c r="H89" t="s">
        <v>175</v>
      </c>
      <c r="I89" t="s">
        <v>22</v>
      </c>
    </row>
    <row r="90" spans="1:9" x14ac:dyDescent="0.2">
      <c r="A90" t="str">
        <f>_xlfn.TEXTJOIN("::",TRUE,B90:I90)</f>
        <v>Macroeconomic::-::INPC::Alimentos y bebidas::Mensual::Independent::%::Sum</v>
      </c>
      <c r="B90" t="s">
        <v>129</v>
      </c>
      <c r="C90" t="s">
        <v>130</v>
      </c>
      <c r="D90" t="s">
        <v>131</v>
      </c>
      <c r="E90" t="s">
        <v>132</v>
      </c>
      <c r="F90" t="s">
        <v>133</v>
      </c>
      <c r="G90" t="s">
        <v>17</v>
      </c>
      <c r="H90" t="s">
        <v>21</v>
      </c>
      <c r="I90" t="s">
        <v>22</v>
      </c>
    </row>
    <row r="91" spans="1:9" x14ac:dyDescent="0.2">
      <c r="A91" t="str">
        <f>_xlfn.TEXTJOIN("::",TRUE,B91:I91)</f>
        <v>Pricing Discount:: Carnation::Pricing Discount::Pricing Discount::Pricing Discount::Effort::%::Average</v>
      </c>
      <c r="B91" t="s">
        <v>177</v>
      </c>
      <c r="C91" t="s">
        <v>80</v>
      </c>
      <c r="D91" t="s">
        <v>177</v>
      </c>
      <c r="E91" t="s">
        <v>177</v>
      </c>
      <c r="F91" t="s">
        <v>177</v>
      </c>
      <c r="G91" t="s">
        <v>16</v>
      </c>
      <c r="H91" t="s">
        <v>21</v>
      </c>
      <c r="I91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41b3ba-1188-45b5-a271-dfb9a9a8da58">
      <Terms xmlns="http://schemas.microsoft.com/office/infopath/2007/PartnerControls"/>
    </lcf76f155ced4ddcb4097134ff3c332f>
    <TaxCatchAll xmlns="35f0cdc8-4de3-4117-a0d7-8fd86872aa5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3c8d67e1dd6cd218e736507e601e000a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824c48bdaea88d6a16c16658edfce594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9597F2-FD03-4578-97E3-C2836DAF5910}">
  <ds:schemaRefs>
    <ds:schemaRef ds:uri="http://schemas.microsoft.com/office/2006/metadata/properties"/>
    <ds:schemaRef ds:uri="http://schemas.microsoft.com/office/infopath/2007/PartnerControls"/>
    <ds:schemaRef ds:uri="02771c55-b75c-478f-aa14-cf2e8c4d18b3"/>
    <ds:schemaRef ds:uri="bc493a90-f397-43ef-9c5a-2ec8f4947d25"/>
    <ds:schemaRef ds:uri="6041b3ba-1188-45b5-a271-dfb9a9a8da58"/>
    <ds:schemaRef ds:uri="35f0cdc8-4de3-4117-a0d7-8fd86872aa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9B592B1-76C8-453B-B4EF-65ECF4377B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50AE50-26CC-456C-906C-7B15F489F011}"/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Monrroy</dc:creator>
  <cp:lastModifiedBy>Fernando Monrroy</cp:lastModifiedBy>
  <dcterms:created xsi:type="dcterms:W3CDTF">2016-01-14T15:29:03Z</dcterms:created>
  <dcterms:modified xsi:type="dcterms:W3CDTF">2026-05-13T23:52:35Z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0x0101009A5B2EB65F0D434998DAF77486C1C599</vt:lpwstr>
  </property>
  <property fmtid="{D5CDD505-2E9C-101B-9397-08002B2CF9AE}" pid="3" name="MediaServiceImageTags">
    <vt:lpwstr/>
  </property>
</Properties>
</file>